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List w Rev.His" sheetId="1" r:id="rId4"/>
    <sheet state="visible" name="Block Diagram" sheetId="2" r:id="rId5"/>
    <sheet state="visible" name="Addres Map" sheetId="3" r:id="rId6"/>
    <sheet state="visible" name="PJT-INFO" sheetId="4" r:id="rId7"/>
    <sheet state="visible" name="BOARD-ID" sheetId="5" r:id="rId8"/>
    <sheet state="visible" name="CFGx8-C2X" sheetId="6" r:id="rId9"/>
    <sheet state="visible" name="LBx8-C2P" sheetId="7" r:id="rId10"/>
    <sheet state="visible" name="LBx8-C2T" sheetId="8" r:id="rId11"/>
    <sheet state="visible" name="ADC-AD7606" sheetId="9" r:id="rId12"/>
    <sheet state="visible" name="DAC-DAC7578" sheetId="10" r:id="rId13"/>
    <sheet state="visible" name="DPS-I2C" sheetId="11" r:id="rId14"/>
    <sheet state="visible" name="PE-PE800" sheetId="12" r:id="rId15"/>
    <sheet state="visible" name="시트1" sheetId="13" r:id="rId16"/>
  </sheets>
  <definedNames/>
  <calcPr/>
  <extLst>
    <ext uri="GoogleSheetsCustomDataVersion1">
      <go:sheetsCustomData xmlns:go="http://customooxmlschemas.google.com/" r:id="rId17" roundtripDataSignature="AMtx7mg7pO6bynXreB5vdrDtvuKz/F15Ng=="/>
    </ext>
  </extLst>
</workbook>
</file>

<file path=xl/sharedStrings.xml><?xml version="1.0" encoding="utf-8"?>
<sst xmlns="http://schemas.openxmlformats.org/spreadsheetml/2006/main" count="889" uniqueCount="462">
  <si>
    <t>FPGA</t>
  </si>
  <si>
    <t>IP Name</t>
  </si>
  <si>
    <t>IP Version</t>
  </si>
  <si>
    <t>Description</t>
  </si>
  <si>
    <t>IP Update Date</t>
  </si>
  <si>
    <t>Verification Date</t>
  </si>
  <si>
    <t>IPs @ CTRL</t>
  </si>
  <si>
    <r>
      <rPr>
        <rFont val="Calibri"/>
        <color theme="1"/>
        <sz val="11.0"/>
      </rPr>
      <t xml:space="preserve"> SITE </t>
    </r>
    <r>
      <rPr>
        <rFont val="Malgun Gothic"/>
        <color theme="1"/>
        <sz val="11.0"/>
      </rPr>
      <t>&amp; BIB ID</t>
    </r>
  </si>
  <si>
    <r>
      <rPr>
        <rFont val="Calibri"/>
        <color theme="1"/>
        <sz val="11.0"/>
      </rPr>
      <t xml:space="preserve"> </t>
    </r>
    <r>
      <rPr>
        <rFont val="Malgun Gothic"/>
        <color theme="1"/>
        <sz val="11.0"/>
      </rPr>
      <t xml:space="preserve">x8 </t>
    </r>
    <r>
      <rPr>
        <rFont val="等线"/>
        <color theme="1"/>
        <sz val="11.0"/>
      </rPr>
      <t xml:space="preserve">Config Logic, CTRL to </t>
    </r>
    <r>
      <rPr>
        <rFont val="Malgun Gothic"/>
        <color theme="1"/>
        <sz val="11.0"/>
      </rPr>
      <t>TG/PG</t>
    </r>
  </si>
  <si>
    <t xml:space="preserve"> x8 Local Bus, CTRL to PG</t>
  </si>
  <si>
    <r>
      <rPr>
        <rFont val="Calibri"/>
        <color theme="1"/>
        <sz val="11.0"/>
      </rPr>
      <t xml:space="preserve"> x8 Local Bus, CTRL to </t>
    </r>
    <r>
      <rPr>
        <rFont val="Malgun Gothic"/>
        <color theme="1"/>
        <sz val="11.0"/>
      </rPr>
      <t>TG</t>
    </r>
  </si>
  <si>
    <r>
      <rPr>
        <rFont val="Calibri"/>
        <color theme="1"/>
        <sz val="11.0"/>
      </rPr>
      <t xml:space="preserve"> Control Logic for AD</t>
    </r>
    <r>
      <rPr>
        <rFont val="Malgun Gothic"/>
        <color theme="1"/>
        <sz val="11.0"/>
      </rPr>
      <t>7606</t>
    </r>
  </si>
  <si>
    <r>
      <rPr>
        <rFont val="Calibri"/>
        <color theme="1"/>
        <sz val="11.0"/>
      </rPr>
      <t xml:space="preserve"> Control Logic for</t>
    </r>
    <r>
      <rPr>
        <rFont val="Malgun Gothic"/>
        <color theme="1"/>
        <sz val="11.0"/>
      </rPr>
      <t xml:space="preserve"> DAC7578</t>
    </r>
  </si>
  <si>
    <r>
      <rPr>
        <rFont val="Calibri"/>
        <color theme="1"/>
        <sz val="11.0"/>
      </rPr>
      <t xml:space="preserve"> Control Logic for</t>
    </r>
    <r>
      <rPr>
        <rFont val="Malgun Gothic"/>
        <color theme="1"/>
        <sz val="11.0"/>
      </rPr>
      <t xml:space="preserve"> DPS</t>
    </r>
  </si>
  <si>
    <r>
      <rPr>
        <rFont val="Calibri"/>
        <color theme="1"/>
        <sz val="11.0"/>
      </rPr>
      <t xml:space="preserve"> Control Logic for</t>
    </r>
    <r>
      <rPr>
        <rFont val="Malgun Gothic"/>
        <color theme="1"/>
        <sz val="11.0"/>
      </rPr>
      <t xml:space="preserve"> PE800</t>
    </r>
  </si>
  <si>
    <t xml:space="preserve"> Top Design for CTRL FPGA</t>
  </si>
  <si>
    <t>STS</t>
  </si>
  <si>
    <t>Date</t>
  </si>
  <si>
    <t xml:space="preserve"> Description</t>
  </si>
  <si>
    <t>RTL Simulation</t>
  </si>
  <si>
    <t>FPGA Verification</t>
  </si>
  <si>
    <t>Remark</t>
  </si>
  <si>
    <t>P</t>
  </si>
  <si>
    <t>BOARD-ID</t>
  </si>
  <si>
    <t xml:space="preserve"> - Init Version</t>
  </si>
  <si>
    <t>-</t>
  </si>
  <si>
    <t>CFGx8-C2X</t>
  </si>
  <si>
    <t>LBx8-C2P</t>
  </si>
  <si>
    <t>LBx8-C2T</t>
  </si>
  <si>
    <t>ADC-AD7606</t>
  </si>
  <si>
    <t>DAC-DAC7578</t>
  </si>
  <si>
    <r>
      <rPr>
        <rFont val="Calibri"/>
        <b/>
        <color theme="1"/>
        <sz val="11.0"/>
      </rPr>
      <t xml:space="preserve"> - </t>
    </r>
    <r>
      <rPr>
        <rFont val="Malgun Gothic"/>
        <b/>
        <color theme="1"/>
        <sz val="11.0"/>
      </rPr>
      <t>Mod, register map</t>
    </r>
  </si>
  <si>
    <t>DPS-I2C</t>
  </si>
  <si>
    <t>PE-PE800</t>
  </si>
  <si>
    <t>PJT-INFO</t>
  </si>
  <si>
    <t>Cell</t>
  </si>
  <si>
    <t>Base Name</t>
  </si>
  <si>
    <t>Offset Address</t>
  </si>
  <si>
    <t>Range</t>
  </si>
  <si>
    <t>High Address</t>
  </si>
  <si>
    <t>REMARK</t>
  </si>
  <si>
    <t>BAR2 ( pcie_xdma_bypass : base [ 0xC000_0000 ] )</t>
  </si>
  <si>
    <t>Reg</t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</si>
  <si>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0</t>
    </r>
    <r>
      <rPr>
        <rFont val="等线"/>
        <color theme="1"/>
        <sz val="11.0"/>
      </rPr>
      <t>000</t>
    </r>
  </si>
  <si>
    <t>4K</t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</si>
  <si>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0</t>
    </r>
    <r>
      <rPr>
        <rFont val="等线"/>
        <color theme="1"/>
        <sz val="11.0"/>
      </rPr>
      <t>FFF</t>
    </r>
  </si>
  <si>
    <r>
      <rPr>
        <rFont val="Calibri"/>
        <color theme="1"/>
        <sz val="11.0"/>
      </rPr>
      <t>CFG</t>
    </r>
    <r>
      <rPr>
        <rFont val="Malgun Gothic"/>
        <color theme="1"/>
        <sz val="11.0"/>
      </rPr>
      <t>x</t>
    </r>
    <r>
      <rPr>
        <rFont val="等线"/>
        <color theme="1"/>
        <sz val="11.0"/>
      </rPr>
      <t>8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C2X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</si>
  <si>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1</t>
    </r>
    <r>
      <rPr>
        <rFont val="等线"/>
        <color theme="1"/>
        <sz val="11.0"/>
      </rPr>
      <t>000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</si>
  <si>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1</t>
    </r>
    <r>
      <rPr>
        <rFont val="等线"/>
        <color theme="1"/>
        <sz val="11.0"/>
      </rPr>
      <t>FFF</t>
    </r>
  </si>
  <si>
    <r>
      <rPr>
        <rFont val="Calibri"/>
        <color theme="1"/>
        <sz val="11.0"/>
      </rPr>
      <t>LB</t>
    </r>
    <r>
      <rPr>
        <rFont val="Malgun Gothic"/>
        <color theme="1"/>
        <sz val="11.0"/>
      </rPr>
      <t>x</t>
    </r>
    <r>
      <rPr>
        <rFont val="等线"/>
        <color theme="1"/>
        <sz val="11.0"/>
      </rPr>
      <t>8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C2</t>
    </r>
    <r>
      <rPr>
        <rFont val="Malgun Gothic"/>
        <color theme="1"/>
        <sz val="11.0"/>
      </rPr>
      <t>P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</si>
  <si>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2</t>
    </r>
    <r>
      <rPr>
        <rFont val="等线"/>
        <color theme="1"/>
        <sz val="11.0"/>
      </rPr>
      <t>000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</si>
  <si>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2</t>
    </r>
    <r>
      <rPr>
        <rFont val="等线"/>
        <color theme="1"/>
        <sz val="11.0"/>
      </rPr>
      <t>FFF</t>
    </r>
  </si>
  <si>
    <r>
      <rPr>
        <rFont val="Calibri"/>
        <color theme="1"/>
        <sz val="11.0"/>
      </rPr>
      <t>LB</t>
    </r>
    <r>
      <rPr>
        <rFont val="Malgun Gothic"/>
        <color theme="1"/>
        <sz val="11.0"/>
      </rPr>
      <t>x</t>
    </r>
    <r>
      <rPr>
        <rFont val="等线"/>
        <color theme="1"/>
        <sz val="11.0"/>
      </rPr>
      <t>8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C2</t>
    </r>
    <r>
      <rPr>
        <rFont val="Malgun Gothic"/>
        <color theme="1"/>
        <sz val="11.0"/>
      </rPr>
      <t>T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</si>
  <si>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3</t>
    </r>
    <r>
      <rPr>
        <rFont val="等线"/>
        <color theme="1"/>
        <sz val="11.0"/>
      </rPr>
      <t>000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</si>
  <si>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3</t>
    </r>
    <r>
      <rPr>
        <rFont val="等线"/>
        <color theme="1"/>
        <sz val="11.0"/>
      </rPr>
      <t>FFF</t>
    </r>
  </si>
  <si>
    <t>only for HSBI</t>
  </si>
  <si>
    <r>
      <rPr>
        <rFont val="Calibri"/>
        <color theme="1"/>
        <sz val="11.0"/>
      </rPr>
      <t>ADC</t>
    </r>
    <r>
      <rPr>
        <rFont val="Malgun Gothic"/>
        <color theme="1"/>
        <sz val="11.0"/>
      </rPr>
      <t>-AD7606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</si>
  <si>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4</t>
    </r>
    <r>
      <rPr>
        <rFont val="等线"/>
        <color theme="1"/>
        <sz val="11.0"/>
      </rPr>
      <t>000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</si>
  <si>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4</t>
    </r>
    <r>
      <rPr>
        <rFont val="等线"/>
        <color theme="1"/>
        <sz val="11.0"/>
      </rPr>
      <t>FFF</t>
    </r>
  </si>
  <si>
    <r>
      <rPr>
        <rFont val="Calibri"/>
        <color theme="1"/>
        <sz val="11.0"/>
      </rPr>
      <t>DAC</t>
    </r>
    <r>
      <rPr>
        <rFont val="Malgun Gothic"/>
        <color theme="1"/>
        <sz val="11.0"/>
      </rPr>
      <t>-DAC7578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</si>
  <si>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5</t>
    </r>
    <r>
      <rPr>
        <rFont val="等线"/>
        <color theme="1"/>
        <sz val="11.0"/>
      </rPr>
      <t>000</t>
    </r>
  </si>
  <si>
    <r>
      <rPr>
        <rFont val="Calibri"/>
        <color theme="1"/>
        <sz val="11.0"/>
      </rPr>
      <t>0x0000_</t>
    </r>
    <r>
      <rPr>
        <rFont val="Malgun Gothic"/>
        <color theme="1"/>
        <sz val="11.0"/>
      </rPr>
      <t>5</t>
    </r>
    <r>
      <rPr>
        <rFont val="等线"/>
        <color theme="1"/>
        <sz val="11.0"/>
      </rPr>
      <t>FFF</t>
    </r>
  </si>
  <si>
    <r>
      <rPr>
        <rFont val="Calibri"/>
        <color theme="1"/>
        <sz val="11.0"/>
      </rPr>
      <t>DPS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I2C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</si>
  <si>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0000_6</t>
    </r>
    <r>
      <rPr>
        <rFont val="等线"/>
        <color theme="1"/>
        <sz val="11.0"/>
      </rPr>
      <t>000</t>
    </r>
  </si>
  <si>
    <t>0x0000_6FFF</t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</si>
  <si>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0000_7</t>
    </r>
    <r>
      <rPr>
        <rFont val="等线"/>
        <color theme="1"/>
        <sz val="11.0"/>
      </rPr>
      <t>000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</si>
  <si>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0000_7</t>
    </r>
    <r>
      <rPr>
        <rFont val="等线"/>
        <color theme="1"/>
        <sz val="11.0"/>
      </rPr>
      <t>FFF</t>
    </r>
  </si>
  <si>
    <r>
      <rPr>
        <rFont val="Calibri"/>
        <color theme="1"/>
        <sz val="11.0"/>
      </rPr>
      <t>PJT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INFO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</si>
  <si>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0000</t>
    </r>
    <r>
      <rPr>
        <rFont val="等线"/>
        <color theme="1"/>
        <sz val="11.0"/>
      </rPr>
      <t>_</t>
    </r>
    <r>
      <rPr>
        <rFont val="Malgun Gothic"/>
        <color theme="1"/>
        <sz val="11.0"/>
      </rPr>
      <t>F</t>
    </r>
    <r>
      <rPr>
        <rFont val="等线"/>
        <color theme="1"/>
        <sz val="11.0"/>
      </rPr>
      <t>000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</si>
  <si>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0000_F</t>
    </r>
    <r>
      <rPr>
        <rFont val="等线"/>
        <color theme="1"/>
        <sz val="11.0"/>
      </rPr>
      <t>FFF</t>
    </r>
  </si>
  <si>
    <r>
      <rPr>
        <rFont val="Calibri"/>
        <color theme="1"/>
        <sz val="11.0"/>
      </rPr>
      <t>CFG</t>
    </r>
    <r>
      <rPr>
        <rFont val="Malgun Gothic"/>
        <color theme="1"/>
        <sz val="11.0"/>
      </rPr>
      <t>x</t>
    </r>
    <r>
      <rPr>
        <rFont val="等线"/>
        <color theme="1"/>
        <sz val="11.0"/>
      </rPr>
      <t>8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C2X_BUF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</si>
  <si>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</t>
    </r>
    <r>
      <rPr>
        <rFont val="等线"/>
        <color theme="1"/>
        <sz val="11.0"/>
      </rPr>
      <t>0</t>
    </r>
    <r>
      <rPr>
        <rFont val="Malgun Gothic"/>
        <color theme="1"/>
        <sz val="11.0"/>
      </rPr>
      <t>01</t>
    </r>
    <r>
      <rPr>
        <rFont val="等线"/>
        <color theme="1"/>
        <sz val="11.0"/>
      </rPr>
      <t>_</t>
    </r>
    <r>
      <rPr>
        <rFont val="Malgun Gothic"/>
        <color theme="1"/>
        <sz val="11.0"/>
      </rPr>
      <t>0</t>
    </r>
    <r>
      <rPr>
        <rFont val="等线"/>
        <color theme="1"/>
        <sz val="11.0"/>
      </rPr>
      <t>000</t>
    </r>
  </si>
  <si>
    <t>64K</t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</si>
  <si>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0001</t>
    </r>
    <r>
      <rPr>
        <rFont val="等线"/>
        <color theme="1"/>
        <sz val="11.0"/>
      </rPr>
      <t>_FFFF</t>
    </r>
  </si>
  <si>
    <r>
      <rPr>
        <rFont val="Calibri"/>
        <color theme="1"/>
        <sz val="11.0"/>
      </rPr>
      <t>LB</t>
    </r>
    <r>
      <rPr>
        <rFont val="Malgun Gothic"/>
        <color theme="1"/>
        <sz val="11.0"/>
      </rPr>
      <t>x</t>
    </r>
    <r>
      <rPr>
        <rFont val="等线"/>
        <color theme="1"/>
        <sz val="11.0"/>
      </rPr>
      <t>8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C2</t>
    </r>
    <r>
      <rPr>
        <rFont val="Malgun Gothic"/>
        <color theme="1"/>
        <sz val="11.0"/>
      </rPr>
      <t>P</t>
    </r>
    <r>
      <rPr>
        <rFont val="等线"/>
        <color theme="1"/>
        <sz val="11.0"/>
      </rPr>
      <t>_BUF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</si>
  <si>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0002</t>
    </r>
    <r>
      <rPr>
        <rFont val="等线"/>
        <color theme="1"/>
        <sz val="11.0"/>
      </rPr>
      <t>_0000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</si>
  <si>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0002</t>
    </r>
    <r>
      <rPr>
        <rFont val="等线"/>
        <color theme="1"/>
        <sz val="11.0"/>
      </rPr>
      <t>_FFFF</t>
    </r>
  </si>
  <si>
    <r>
      <rPr>
        <rFont val="Calibri"/>
        <color theme="1"/>
        <sz val="11.0"/>
      </rPr>
      <t>LB</t>
    </r>
    <r>
      <rPr>
        <rFont val="Malgun Gothic"/>
        <color theme="1"/>
        <sz val="11.0"/>
      </rPr>
      <t>x</t>
    </r>
    <r>
      <rPr>
        <rFont val="等线"/>
        <color theme="1"/>
        <sz val="11.0"/>
      </rPr>
      <t>8</t>
    </r>
    <r>
      <rPr>
        <rFont val="Malgun Gothic"/>
        <color theme="1"/>
        <sz val="11.0"/>
      </rPr>
      <t>-</t>
    </r>
    <r>
      <rPr>
        <rFont val="等线"/>
        <color theme="1"/>
        <sz val="11.0"/>
      </rPr>
      <t>C2</t>
    </r>
    <r>
      <rPr>
        <rFont val="Malgun Gothic"/>
        <color theme="1"/>
        <sz val="11.0"/>
      </rPr>
      <t>T</t>
    </r>
    <r>
      <rPr>
        <rFont val="等线"/>
        <color theme="1"/>
        <sz val="11.0"/>
      </rPr>
      <t>_BUF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</si>
  <si>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0003</t>
    </r>
    <r>
      <rPr>
        <rFont val="等线"/>
        <color theme="1"/>
        <sz val="11.0"/>
      </rPr>
      <t>_0000</t>
    </r>
  </si>
  <si>
    <r>
      <rPr>
        <rFont val="Calibri"/>
        <color theme="1"/>
        <sz val="11.0"/>
      </rPr>
      <t>0x</t>
    </r>
    <r>
      <rPr>
        <rFont val="Malgun Gothic"/>
        <color theme="1"/>
        <sz val="11.0"/>
      </rPr>
      <t>0003</t>
    </r>
    <r>
      <rPr>
        <rFont val="等线"/>
        <color theme="1"/>
        <sz val="11.0"/>
      </rPr>
      <t>_FFFF</t>
    </r>
  </si>
  <si>
    <t>DEVICE</t>
  </si>
  <si>
    <t>BASE</t>
  </si>
  <si>
    <t>OFFSET</t>
  </si>
  <si>
    <t>NAME</t>
  </si>
  <si>
    <t>RW</t>
  </si>
  <si>
    <t>PJT-INFO
@ CTRL</t>
  </si>
  <si>
    <t>0000_F</t>
  </si>
  <si>
    <t>RO</t>
  </si>
  <si>
    <r>
      <rPr>
        <rFont val="Calibri"/>
        <color theme="1"/>
        <sz val="11.0"/>
      </rPr>
      <t>"</t>
    </r>
    <r>
      <rPr>
        <rFont val="Malgun Gothic"/>
        <color theme="1"/>
        <sz val="11.0"/>
      </rPr>
      <t>CTRL-HDNM330</t>
    </r>
    <r>
      <rPr>
        <rFont val="等线"/>
        <color theme="1"/>
        <sz val="11.0"/>
      </rPr>
      <t>"</t>
    </r>
  </si>
  <si>
    <t>VERSION</t>
  </si>
  <si>
    <t>MAJOR ( DECIMAL )</t>
  </si>
  <si>
    <t>MINOR ( DECIMAL )</t>
  </si>
  <si>
    <t>DATE</t>
  </si>
  <si>
    <t>YEAR ( DECIMAL )</t>
  </si>
  <si>
    <t>MONTH ( DECIMAL )</t>
  </si>
  <si>
    <t>DATE ( DECIMAL )</t>
  </si>
  <si>
    <t>DUMMY</t>
  </si>
  <si>
    <t>BOARD-ID
@ CTRL</t>
  </si>
  <si>
    <t>0000_0</t>
  </si>
  <si>
    <t>"BOARD-ID"</t>
  </si>
  <si>
    <t>BIB.INUSE</t>
  </si>
  <si>
    <t>INUSE</t>
  </si>
  <si>
    <t>BIB.ID</t>
  </si>
  <si>
    <t>DIR</t>
  </si>
  <si>
    <t>BIB.ID[7:0]</t>
  </si>
  <si>
    <t>BIB.CW</t>
  </si>
  <si>
    <t xml:space="preserve"> BIB.CW[15:0]</t>
  </si>
  <si>
    <t>SITE.ID</t>
  </si>
  <si>
    <t>SITE.ID[7:0]</t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</si>
  <si>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BIB.</t>
    </r>
    <r>
      <rPr>
        <rFont val="Malgun Gothic"/>
        <b/>
        <color rgb="FF9C6500"/>
        <sz val="11.0"/>
      </rPr>
      <t>INUSE</t>
    </r>
    <r>
      <rPr>
        <rFont val="等线"/>
        <b/>
        <color rgb="FF9C6500"/>
        <sz val="11.0"/>
      </rPr>
      <t xml:space="preserve"> [ 0x0000_</t>
    </r>
    <r>
      <rPr>
        <rFont val="Malgun Gothic"/>
        <b/>
        <color rgb="FF9C6500"/>
        <sz val="11.0"/>
      </rPr>
      <t>0</t>
    </r>
    <r>
      <rPr>
        <rFont val="等线"/>
        <b/>
        <color rgb="FF9C6500"/>
        <sz val="11.0"/>
      </rPr>
      <t>_02</t>
    </r>
    <r>
      <rPr>
        <rFont val="Malgun Gothic"/>
        <b/>
        <color rgb="FF9C6500"/>
        <sz val="11.0"/>
      </rPr>
      <t>0</t>
    </r>
    <r>
      <rPr>
        <rFont val="等线"/>
        <b/>
        <color rgb="FF9C6500"/>
        <sz val="11.0"/>
      </rPr>
      <t xml:space="preserve"> ]</t>
    </r>
  </si>
  <si>
    <t xml:space="preserve"> Active high, read-only INUSE pin.
 INUSE = 1 indicates BIB is inserted.</t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</si>
  <si>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BIB.</t>
    </r>
    <r>
      <rPr>
        <rFont val="Malgun Gothic"/>
        <b/>
        <color rgb="FF9C6500"/>
        <sz val="11.0"/>
      </rPr>
      <t>ID</t>
    </r>
    <r>
      <rPr>
        <rFont val="等线"/>
        <b/>
        <color rgb="FF9C6500"/>
        <sz val="11.0"/>
      </rPr>
      <t xml:space="preserve"> [ 0x0000_</t>
    </r>
    <r>
      <rPr>
        <rFont val="Malgun Gothic"/>
        <b/>
        <color rgb="FF9C6500"/>
        <sz val="11.0"/>
      </rPr>
      <t>0</t>
    </r>
    <r>
      <rPr>
        <rFont val="等线"/>
        <b/>
        <color rgb="FF9C6500"/>
        <sz val="11.0"/>
      </rPr>
      <t>_02</t>
    </r>
    <r>
      <rPr>
        <rFont val="Malgun Gothic"/>
        <b/>
        <color rgb="FF9C6500"/>
        <sz val="11.0"/>
      </rPr>
      <t>4</t>
    </r>
    <r>
      <rPr>
        <rFont val="等线"/>
        <b/>
        <color rgb="FF9C6500"/>
        <sz val="11.0"/>
      </rPr>
      <t xml:space="preserve"> ]</t>
    </r>
  </si>
  <si>
    <r>
      <rPr>
        <rFont val="Calibri"/>
        <b/>
        <color rgb="FF006100"/>
        <sz val="11.0"/>
      </rPr>
      <t>DIR[1</t>
    </r>
    <r>
      <rPr>
        <rFont val="Malgun Gothic"/>
        <b/>
        <color rgb="FF006100"/>
        <sz val="11.0"/>
      </rPr>
      <t>6</t>
    </r>
    <r>
      <rPr>
        <rFont val="等线"/>
        <b/>
        <color rgb="FF006100"/>
        <sz val="11.0"/>
      </rPr>
      <t>]</t>
    </r>
  </si>
  <si>
    <r>
      <rPr>
        <rFont val="等线"/>
        <color rgb="FF9C0006"/>
        <sz val="11.0"/>
      </rPr>
      <t xml:space="preserve"> Default, 0 indicates BIB.ID is output</t>
    </r>
  </si>
  <si>
    <r>
      <rPr>
        <rFont val="Malgun Gothic"/>
        <color theme="1"/>
        <sz val="11.0"/>
      </rPr>
      <t xml:space="preserve"> 1 indicates</t>
    </r>
    <r>
      <rPr>
        <rFont val="等线"/>
        <color theme="1"/>
        <sz val="11.0"/>
      </rPr>
      <t xml:space="preserve"> BIB.</t>
    </r>
    <r>
      <rPr>
        <rFont val="Malgun Gothic"/>
        <color theme="1"/>
        <sz val="11.0"/>
      </rPr>
      <t>ID</t>
    </r>
    <r>
      <rPr>
        <rFont val="等线"/>
        <color theme="1"/>
        <sz val="11.0"/>
      </rPr>
      <t xml:space="preserve"> </t>
    </r>
    <r>
      <rPr>
        <rFont val="Malgun Gothic"/>
        <color theme="1"/>
        <sz val="11.0"/>
      </rPr>
      <t>i</t>
    </r>
    <r>
      <rPr>
        <rFont val="等线"/>
        <color theme="1"/>
        <sz val="11.0"/>
      </rPr>
      <t>s input</t>
    </r>
  </si>
  <si>
    <t xml:space="preserve"> 8-bit BIB.CW GPIO</t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</si>
  <si>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BIB.CW [ 0x0000_</t>
    </r>
    <r>
      <rPr>
        <rFont val="Malgun Gothic"/>
        <b/>
        <color rgb="FF9C6500"/>
        <sz val="11.0"/>
      </rPr>
      <t>0</t>
    </r>
    <r>
      <rPr>
        <rFont val="等线"/>
        <b/>
        <color rgb="FF9C6500"/>
        <sz val="11.0"/>
      </rPr>
      <t>_02</t>
    </r>
    <r>
      <rPr>
        <rFont val="Malgun Gothic"/>
        <b/>
        <color rgb="FF9C6500"/>
        <sz val="11.0"/>
      </rPr>
      <t>8</t>
    </r>
    <r>
      <rPr>
        <rFont val="等线"/>
        <b/>
        <color rgb="FF9C6500"/>
        <sz val="11.0"/>
      </rPr>
      <t xml:space="preserve"> ]</t>
    </r>
  </si>
  <si>
    <r>
      <rPr>
        <rFont val="Calibri"/>
        <b/>
        <color rgb="FF006100"/>
        <sz val="11.0"/>
      </rPr>
      <t>DIR[1</t>
    </r>
    <r>
      <rPr>
        <rFont val="Malgun Gothic"/>
        <b/>
        <color rgb="FF006100"/>
        <sz val="11.0"/>
      </rPr>
      <t>6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</si>
  <si>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0 indicates </t>
    </r>
    <r>
      <rPr>
        <rFont val="等线"/>
        <color theme="1"/>
        <sz val="11.0"/>
      </rPr>
      <t xml:space="preserve">BIB.CW </t>
    </r>
    <r>
      <rPr>
        <rFont val="Malgun Gothic"/>
        <color theme="1"/>
        <sz val="11.0"/>
      </rPr>
      <t>is</t>
    </r>
    <r>
      <rPr>
        <rFont val="等线"/>
        <color theme="1"/>
        <sz val="11.0"/>
      </rPr>
      <t xml:space="preserve"> output</t>
    </r>
  </si>
  <si>
    <r>
      <rPr>
        <rFont val="等线"/>
        <color rgb="FF9C0006"/>
        <sz val="11.0"/>
      </rPr>
      <t xml:space="preserve"> Default, 1 indicates BIB.CW is input</t>
    </r>
  </si>
  <si>
    <t xml:space="preserve"> 16-bit BIB.CW GPIO</t>
  </si>
  <si>
    <r>
      <rPr>
        <rFont val="Malgun Gothic"/>
        <b/>
        <color rgb="FF9C6500"/>
        <sz val="11.0"/>
      </rPr>
      <t xml:space="preserve"> SITE</t>
    </r>
    <r>
      <rPr>
        <rFont val="等线"/>
        <b/>
        <color rgb="FF9C6500"/>
        <sz val="11.0"/>
      </rPr>
      <t>.</t>
    </r>
    <r>
      <rPr>
        <rFont val="Malgun Gothic"/>
        <b/>
        <color rgb="FF9C6500"/>
        <sz val="11.0"/>
      </rPr>
      <t>ID</t>
    </r>
    <r>
      <rPr>
        <rFont val="等线"/>
        <b/>
        <color rgb="FF9C6500"/>
        <sz val="11.0"/>
      </rPr>
      <t xml:space="preserve"> [ 0x0000_</t>
    </r>
    <r>
      <rPr>
        <rFont val="Malgun Gothic"/>
        <b/>
        <color rgb="FF9C6500"/>
        <sz val="11.0"/>
      </rPr>
      <t>0</t>
    </r>
    <r>
      <rPr>
        <rFont val="等线"/>
        <b/>
        <color rgb="FF9C6500"/>
        <sz val="11.0"/>
      </rPr>
      <t>_02</t>
    </r>
    <r>
      <rPr>
        <rFont val="Malgun Gothic"/>
        <b/>
        <color rgb="FF9C6500"/>
        <sz val="11.0"/>
      </rPr>
      <t>C</t>
    </r>
    <r>
      <rPr>
        <rFont val="等线"/>
        <b/>
        <color rgb="FF9C6500"/>
        <sz val="11.0"/>
      </rPr>
      <t xml:space="preserve"> ]</t>
    </r>
  </si>
  <si>
    <t xml:space="preserve"> 8-bit read-only SITE-ID</t>
  </si>
  <si>
    <t>CFGx8-C2X
@ CTRL to TGPG</t>
  </si>
  <si>
    <t>0000_1</t>
  </si>
  <si>
    <t>"CFGx8-C2X"</t>
  </si>
  <si>
    <t>CMD</t>
  </si>
  <si>
    <t>RST</t>
  </si>
  <si>
    <t>LAST</t>
  </si>
  <si>
    <t>START</t>
  </si>
  <si>
    <t>PG.3</t>
  </si>
  <si>
    <t>PG.2</t>
  </si>
  <si>
    <t>PG.1</t>
  </si>
  <si>
    <t>PG.0</t>
  </si>
  <si>
    <t>TG.1</t>
  </si>
  <si>
    <t>TG.0</t>
  </si>
  <si>
    <r>
      <rPr>
        <rFont val="Calibri"/>
        <color theme="1"/>
        <sz val="11.0"/>
      </rPr>
      <t>BURST.LENGTH[</t>
    </r>
    <r>
      <rPr>
        <rFont val="Malgun Gothic"/>
        <color theme="1"/>
        <sz val="11.0"/>
      </rPr>
      <t>15:0</t>
    </r>
    <r>
      <rPr>
        <rFont val="等线"/>
        <color theme="1"/>
        <sz val="11.0"/>
      </rPr>
      <t>]</t>
    </r>
  </si>
  <si>
    <t>STATUS</t>
  </si>
  <si>
    <t>D.ALL</t>
  </si>
  <si>
    <t>D.PG3</t>
  </si>
  <si>
    <t>D.PG2</t>
  </si>
  <si>
    <t>D.PG1</t>
  </si>
  <si>
    <t>D.PG0</t>
  </si>
  <si>
    <t>D.TG1</t>
  </si>
  <si>
    <t>D.TG0</t>
  </si>
  <si>
    <t>INIT.E</t>
  </si>
  <si>
    <t>D.E</t>
  </si>
  <si>
    <t>INI.S</t>
  </si>
  <si>
    <t>D.S</t>
  </si>
  <si>
    <t>EOS</t>
  </si>
  <si>
    <t>BUSY</t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</si>
  <si>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CMD</t>
    </r>
    <r>
      <rPr>
        <rFont val="Malgun Gothic"/>
        <b/>
        <color rgb="FF9C6500"/>
        <sz val="11.0"/>
      </rPr>
      <t xml:space="preserve"> [ 0x0000_1_020 ]</t>
    </r>
  </si>
  <si>
    <r>
      <rPr>
        <rFont val="Calibri"/>
        <b/>
        <color rgb="FF006100"/>
        <sz val="11.0"/>
      </rPr>
      <t>RST[</t>
    </r>
    <r>
      <rPr>
        <rFont val="Malgun Gothic"/>
        <b/>
        <color rgb="FF006100"/>
        <sz val="11.0"/>
      </rPr>
      <t>31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</si>
  <si>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Active high, r</t>
    </r>
    <r>
      <rPr>
        <rFont val="等线"/>
        <color theme="1"/>
        <sz val="11.0"/>
      </rPr>
      <t xml:space="preserve">eset the </t>
    </r>
    <r>
      <rPr>
        <rFont val="Malgun Gothic"/>
        <color theme="1"/>
        <sz val="11.0"/>
      </rPr>
      <t xml:space="preserve">Logic </t>
    </r>
    <r>
      <rPr>
        <rFont val="等线"/>
        <color theme="1"/>
        <sz val="11.0"/>
      </rPr>
      <t>IP</t>
    </r>
  </si>
  <si>
    <t>PG.3~0[23:20]</t>
  </si>
  <si>
    <t xml:space="preserve"> PG FPGA Select bit</t>
  </si>
  <si>
    <r>
      <rPr>
        <rFont val="Malgun Gothic"/>
        <b/>
        <color rgb="FF006100"/>
        <sz val="11.0"/>
      </rPr>
      <t>BL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15:0</t>
    </r>
    <r>
      <rPr>
        <rFont val="等线"/>
        <b/>
        <color rgb="FF006100"/>
        <sz val="11.0"/>
      </rPr>
      <t>]</t>
    </r>
  </si>
  <si>
    <t xml:space="preserve"> Byte size of transfer data.
 0 means 1-Byte, max 64KB</t>
  </si>
  <si>
    <r>
      <rPr>
        <rFont val="Calibri"/>
        <b/>
        <color rgb="FF006100"/>
        <sz val="11.0"/>
      </rPr>
      <t>LAST[</t>
    </r>
    <r>
      <rPr>
        <rFont val="Malgun Gothic"/>
        <b/>
        <color rgb="FF006100"/>
        <sz val="11.0"/>
      </rPr>
      <t>25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</si>
  <si>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Active high, transfer</t>
    </r>
    <r>
      <rPr>
        <rFont val="等线"/>
        <color theme="1"/>
        <sz val="11.0"/>
      </rPr>
      <t xml:space="preserve"> </t>
    </r>
    <r>
      <rPr>
        <rFont val="Malgun Gothic"/>
        <color theme="1"/>
        <sz val="11.0"/>
      </rPr>
      <t xml:space="preserve">the </t>
    </r>
    <r>
      <rPr>
        <rFont val="等线"/>
        <color theme="1"/>
        <sz val="11.0"/>
      </rPr>
      <t>Last Frame of Bitstream</t>
    </r>
  </si>
  <si>
    <t>TG.1~0[17:16]</t>
  </si>
  <si>
    <t xml:space="preserve"> TG FPGA Select bit</t>
  </si>
  <si>
    <r>
      <rPr>
        <rFont val="Calibri"/>
        <b/>
        <color rgb="FF006100"/>
        <sz val="11.0"/>
      </rPr>
      <t>START[</t>
    </r>
    <r>
      <rPr>
        <rFont val="Malgun Gothic"/>
        <b/>
        <color rgb="FF006100"/>
        <sz val="11.0"/>
      </rPr>
      <t>24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</si>
  <si>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Active high, transfer</t>
    </r>
    <r>
      <rPr>
        <rFont val="等线"/>
        <color theme="1"/>
        <sz val="11.0"/>
      </rPr>
      <t xml:space="preserve"> </t>
    </r>
    <r>
      <rPr>
        <rFont val="Malgun Gothic"/>
        <color theme="1"/>
        <sz val="11.0"/>
      </rPr>
      <t>the Frame of</t>
    </r>
    <r>
      <rPr>
        <rFont val="等线"/>
        <color theme="1"/>
        <sz val="11.0"/>
      </rPr>
      <t xml:space="preserve"> Bitstream</t>
    </r>
    <r>
      <rPr>
        <rFont val="Malgun Gothic"/>
        <color theme="1"/>
        <sz val="11.0"/>
      </rPr>
      <t>, 
 except of Last Frame</t>
    </r>
  </si>
  <si>
    <t xml:space="preserve"> STATUS [ 0x0000_1_030 ]</t>
  </si>
  <si>
    <r>
      <rPr>
        <rFont val="Malgun Gothic"/>
        <b/>
        <color rgb="FF006100"/>
        <sz val="11.0"/>
      </rPr>
      <t>D.ALL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24</t>
    </r>
    <r>
      <rPr>
        <rFont val="等线"/>
        <b/>
        <color rgb="FF006100"/>
        <sz val="11.0"/>
      </rPr>
      <t>]</t>
    </r>
  </si>
  <si>
    <t xml:space="preserve"> And of all FPGA done signal</t>
  </si>
  <si>
    <t>INIT.E[7]</t>
  </si>
  <si>
    <r>
      <rPr>
        <rFont val="Malgun Gothic"/>
        <color theme="1"/>
        <sz val="11.0"/>
      </rPr>
      <t xml:space="preserve"> Active high, </t>
    </r>
    <r>
      <rPr>
        <rFont val="等线"/>
        <color theme="1"/>
        <sz val="11.0"/>
      </rPr>
      <t>INIT_B Error</t>
    </r>
  </si>
  <si>
    <t>EOS[3]</t>
  </si>
  <si>
    <t xml:space="preserve"> 1 indicates the end of operation</t>
  </si>
  <si>
    <r>
      <rPr>
        <rFont val="Malgun Gothic"/>
        <b/>
        <color rgb="FF006100"/>
        <sz val="11.0"/>
      </rPr>
      <t>D.PG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23:20</t>
    </r>
    <r>
      <rPr>
        <rFont val="等线"/>
        <b/>
        <color rgb="FF006100"/>
        <sz val="11.0"/>
      </rPr>
      <t>]</t>
    </r>
  </si>
  <si>
    <t xml:space="preserve"> Each PG FPGA done signal</t>
  </si>
  <si>
    <t>D.E[6]</t>
  </si>
  <si>
    <r>
      <rPr>
        <rFont val="Malgun Gothic"/>
        <color theme="1"/>
        <sz val="11.0"/>
      </rPr>
      <t xml:space="preserve"> Active high, </t>
    </r>
    <r>
      <rPr>
        <rFont val="等线"/>
        <color theme="1"/>
        <sz val="11.0"/>
      </rPr>
      <t>Done Error</t>
    </r>
  </si>
  <si>
    <t>BUSY[0]</t>
  </si>
  <si>
    <r>
      <rPr>
        <rFont val="Malgun Gothic"/>
        <color theme="1"/>
        <sz val="11.0"/>
      </rPr>
      <t xml:space="preserve"> 1 i</t>
    </r>
    <r>
      <rPr>
        <rFont val="等线"/>
        <color theme="1"/>
        <sz val="11.0"/>
      </rPr>
      <t>ndicate</t>
    </r>
    <r>
      <rPr>
        <rFont val="Malgun Gothic"/>
        <color theme="1"/>
        <sz val="11.0"/>
      </rPr>
      <t>s</t>
    </r>
    <r>
      <rPr>
        <rFont val="等线"/>
        <color theme="1"/>
        <sz val="11.0"/>
      </rPr>
      <t xml:space="preserve"> that the IP is BUSY</t>
    </r>
  </si>
  <si>
    <r>
      <rPr>
        <rFont val="Malgun Gothic"/>
        <b/>
        <color rgb="FF006100"/>
        <sz val="11.0"/>
      </rPr>
      <t>D.TG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17:16</t>
    </r>
    <r>
      <rPr>
        <rFont val="等线"/>
        <b/>
        <color rgb="FF006100"/>
        <sz val="11.0"/>
      </rPr>
      <t>]</t>
    </r>
  </si>
  <si>
    <t xml:space="preserve"> Each TG FPGA done signal</t>
  </si>
  <si>
    <t>INI.S[5]</t>
  </si>
  <si>
    <r>
      <rPr>
        <rFont val="Malgun Gothic"/>
        <color theme="1"/>
        <sz val="11.0"/>
      </rPr>
      <t xml:space="preserve"> </t>
    </r>
    <r>
      <rPr>
        <rFont val="等线"/>
        <color theme="1"/>
        <sz val="11.0"/>
      </rPr>
      <t>INIT_B Signal</t>
    </r>
    <r>
      <rPr>
        <rFont val="Malgun Gothic"/>
        <color theme="1"/>
        <sz val="11.0"/>
      </rPr>
      <t xml:space="preserve"> of selected FPGA</t>
    </r>
  </si>
  <si>
    <t>D.S[4]</t>
  </si>
  <si>
    <r>
      <rPr>
        <rFont val="Malgun Gothic"/>
        <color theme="1"/>
        <sz val="11.0"/>
      </rPr>
      <t xml:space="preserve"> </t>
    </r>
    <r>
      <rPr>
        <rFont val="等线"/>
        <color theme="1"/>
        <sz val="11.0"/>
      </rPr>
      <t>DONE Signal</t>
    </r>
    <r>
      <rPr>
        <rFont val="Malgun Gothic"/>
        <color theme="1"/>
        <sz val="11.0"/>
      </rPr>
      <t xml:space="preserve"> of selected FPGA</t>
    </r>
  </si>
  <si>
    <t>LBx8_MASTER
@ CTRL to PG</t>
  </si>
  <si>
    <t>0000_2</t>
  </si>
  <si>
    <t>"LBx8-C2P"</t>
  </si>
  <si>
    <t>ADDRESS</t>
  </si>
  <si>
    <t>ADDR[31:0]</t>
  </si>
  <si>
    <t>DDR</t>
  </si>
  <si>
    <t>MSB[27:26]</t>
  </si>
  <si>
    <t>WR</t>
  </si>
  <si>
    <t>RD</t>
  </si>
  <si>
    <r>
      <rPr>
        <rFont val="Calibri"/>
        <color theme="1"/>
        <sz val="11.0"/>
      </rPr>
      <t>BURST.LENGTH[</t>
    </r>
    <r>
      <rPr>
        <rFont val="Malgun Gothic"/>
        <color theme="1"/>
        <sz val="11.0"/>
      </rPr>
      <t>15:0</t>
    </r>
    <r>
      <rPr>
        <rFont val="等线"/>
        <color theme="1"/>
        <sz val="11.0"/>
      </rPr>
      <t>]</t>
    </r>
  </si>
  <si>
    <t>LATENCY</t>
  </si>
  <si>
    <r>
      <rPr>
        <rFont val="Calibri"/>
        <color theme="1"/>
        <sz val="11.0"/>
      </rPr>
      <t>READ.LATENCY[</t>
    </r>
    <r>
      <rPr>
        <rFont val="Malgun Gothic"/>
        <color theme="1"/>
        <sz val="11.0"/>
      </rPr>
      <t>7:0</t>
    </r>
    <r>
      <rPr>
        <rFont val="等线"/>
        <color theme="1"/>
        <sz val="11.0"/>
      </rPr>
      <t>]</t>
    </r>
  </si>
  <si>
    <t>PG.3.STATUS</t>
  </si>
  <si>
    <t>PG.2.STATUS</t>
  </si>
  <si>
    <t>PG.1.STATUS</t>
  </si>
  <si>
    <t>WC.E</t>
  </si>
  <si>
    <t>WD.E</t>
  </si>
  <si>
    <t>RC.E</t>
  </si>
  <si>
    <t>RD.E</t>
  </si>
  <si>
    <t xml:space="preserve"> ADDRESS [ 0x0000_2_020 ]</t>
  </si>
  <si>
    <t>ADDR</t>
  </si>
  <si>
    <r>
      <rPr>
        <rFont val="Malgun Gothic"/>
        <color theme="1"/>
        <sz val="11.0"/>
      </rPr>
      <t xml:space="preserve"> </t>
    </r>
    <r>
      <rPr>
        <rFont val="等线"/>
        <color theme="1"/>
        <sz val="11.0"/>
      </rPr>
      <t>PG_# 32-bit Address, 4GB range</t>
    </r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</si>
  <si>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CMD</t>
    </r>
    <r>
      <rPr>
        <rFont val="Malgun Gothic"/>
        <b/>
        <color rgb="FF9C6500"/>
        <sz val="11.0"/>
      </rPr>
      <t xml:space="preserve"> [ 0x0000_2_024 ]</t>
    </r>
  </si>
  <si>
    <r>
      <rPr>
        <rFont val="Calibri"/>
        <b/>
        <color rgb="FF006100"/>
        <sz val="11.0"/>
      </rPr>
      <t>RST[</t>
    </r>
    <r>
      <rPr>
        <rFont val="Malgun Gothic"/>
        <b/>
        <color rgb="FF006100"/>
        <sz val="11.0"/>
      </rPr>
      <t>31</t>
    </r>
    <r>
      <rPr>
        <rFont val="等线"/>
        <b/>
        <color rgb="FF006100"/>
        <sz val="11.0"/>
      </rPr>
      <t>]</t>
    </r>
  </si>
  <si>
    <t xml:space="preserve"> Active high, reset the Logic IP</t>
  </si>
  <si>
    <t>PG.3~0[19:16]</t>
  </si>
  <si>
    <r>
      <rPr>
        <rFont val="Malgun Gothic"/>
        <b/>
        <color rgb="FF006100"/>
        <sz val="11.0"/>
      </rPr>
      <t>BL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15:0</t>
    </r>
    <r>
      <rPr>
        <rFont val="等线"/>
        <b/>
        <color rgb="FF006100"/>
        <sz val="11.0"/>
      </rPr>
      <t>]</t>
    </r>
  </si>
  <si>
    <t xml:space="preserve"> Byte size of transfer data.
 0 means 1-Byte, max 63KB</t>
  </si>
  <si>
    <t>DDR.MSB</t>
  </si>
  <si>
    <t xml:space="preserve"> For 16GB SODIMM access</t>
  </si>
  <si>
    <r>
      <rPr>
        <rFont val="Malgun Gothic"/>
        <b/>
        <color rgb="FF006100"/>
        <sz val="11.0"/>
      </rPr>
      <t>WR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25</t>
    </r>
    <r>
      <rPr>
        <rFont val="等线"/>
        <b/>
        <color rgb="FF006100"/>
        <sz val="11.0"/>
      </rPr>
      <t>]</t>
    </r>
  </si>
  <si>
    <t xml:space="preserve"> Active high, do write operation</t>
  </si>
  <si>
    <r>
      <rPr>
        <rFont val="Malgun Gothic"/>
        <b/>
        <color rgb="FF006100"/>
        <sz val="11.0"/>
      </rPr>
      <t>RD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24</t>
    </r>
    <r>
      <rPr>
        <rFont val="等线"/>
        <b/>
        <color rgb="FF006100"/>
        <sz val="11.0"/>
      </rPr>
      <t>]</t>
    </r>
  </si>
  <si>
    <t xml:space="preserve"> Active high, do read operation</t>
  </si>
  <si>
    <t>x</t>
  </si>
  <si>
    <t xml:space="preserve"> Write PG Register</t>
  </si>
  <si>
    <t xml:space="preserve"> Read PG Register</t>
  </si>
  <si>
    <t xml:space="preserve"> LATENCY [ 0x0000_2_02C ]</t>
  </si>
  <si>
    <r>
      <rPr>
        <rFont val="Calibri"/>
        <color rgb="FF3F3F76"/>
        <sz val="11.0"/>
      </rPr>
      <t xml:space="preserve"> Write SODIMM w/ 0x0_0000_0000 ~ 0x0_FFFF_FFFF, lowe</t>
    </r>
    <r>
      <rPr>
        <rFont val="Malgun Gothic"/>
        <color rgb="FF3F3F76"/>
        <sz val="11.0"/>
      </rPr>
      <t>st</t>
    </r>
    <r>
      <rPr>
        <rFont val="等线"/>
        <color rgb="FF3F3F76"/>
        <sz val="11.0"/>
      </rPr>
      <t xml:space="preserve"> 4GB</t>
    </r>
    <r>
      <rPr>
        <rFont val="Malgun Gothic"/>
        <color rgb="FF3F3F76"/>
        <sz val="11.0"/>
      </rPr>
      <t xml:space="preserve"> / 16GB</t>
    </r>
  </si>
  <si>
    <r>
      <rPr>
        <rFont val="Malgun Gothic"/>
        <b/>
        <color rgb="FF006100"/>
        <sz val="11.0"/>
      </rPr>
      <t>RL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7:0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</si>
  <si>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</t>
    </r>
    <r>
      <rPr>
        <rFont val="等线"/>
        <color theme="1"/>
        <sz val="11.0"/>
      </rPr>
      <t>Set as PG Register Read Latency</t>
    </r>
    <r>
      <rPr>
        <rFont val="Malgun Gothic"/>
        <color theme="1"/>
        <sz val="11.0"/>
      </rPr>
      <t>.</t>
    </r>
  </si>
  <si>
    <r>
      <rPr>
        <rFont val="Calibri"/>
        <color rgb="FF3F3F76"/>
        <sz val="11.0"/>
      </rPr>
      <t xml:space="preserve"> Read SODIMM w/ 0x</t>
    </r>
    <r>
      <rPr>
        <rFont val="Malgun Gothic"/>
        <color rgb="FF3F3F76"/>
        <sz val="11.0"/>
      </rPr>
      <t>1</t>
    </r>
    <r>
      <rPr>
        <rFont val="等线"/>
        <color rgb="FF3F3F76"/>
        <sz val="11.0"/>
      </rPr>
      <t>_0000_0000 ~ 0x</t>
    </r>
    <r>
      <rPr>
        <rFont val="Malgun Gothic"/>
        <color rgb="FF3F3F76"/>
        <sz val="11.0"/>
      </rPr>
      <t>1</t>
    </r>
    <r>
      <rPr>
        <rFont val="等线"/>
        <color rgb="FF3F3F76"/>
        <sz val="11.0"/>
      </rPr>
      <t>_FFFF_FFFF</t>
    </r>
  </si>
  <si>
    <r>
      <rPr>
        <rFont val="Calibri"/>
        <color rgb="FF9C0006"/>
        <sz val="11.0"/>
      </rPr>
      <t xml:space="preserve"> Default, RL = </t>
    </r>
    <r>
      <rPr>
        <rFont val="Malgun Gothic"/>
        <color rgb="FF9C0006"/>
        <sz val="11.0"/>
      </rPr>
      <t>0</t>
    </r>
  </si>
  <si>
    <r>
      <rPr>
        <rFont val="Calibri"/>
        <color rgb="FF3F3F76"/>
        <sz val="11.0"/>
      </rPr>
      <t xml:space="preserve"> Write SODIMM w/ 0x</t>
    </r>
    <r>
      <rPr>
        <rFont val="Malgun Gothic"/>
        <color rgb="FF3F3F76"/>
        <sz val="11.0"/>
      </rPr>
      <t>2</t>
    </r>
    <r>
      <rPr>
        <rFont val="等线"/>
        <color rgb="FF3F3F76"/>
        <sz val="11.0"/>
      </rPr>
      <t>_0000_0000 ~ 0x</t>
    </r>
    <r>
      <rPr>
        <rFont val="Malgun Gothic"/>
        <color rgb="FF3F3F76"/>
        <sz val="11.0"/>
      </rPr>
      <t>2</t>
    </r>
    <r>
      <rPr>
        <rFont val="等线"/>
        <color rgb="FF3F3F76"/>
        <sz val="11.0"/>
      </rPr>
      <t>_FFFF_FFFF</t>
    </r>
  </si>
  <si>
    <r>
      <rPr>
        <rFont val="Calibri"/>
        <color rgb="FF3F3F76"/>
        <sz val="11.0"/>
      </rPr>
      <t xml:space="preserve"> Read SODIMM w/ 0x</t>
    </r>
    <r>
      <rPr>
        <rFont val="Malgun Gothic"/>
        <color rgb="FF3F3F76"/>
        <sz val="11.0"/>
      </rPr>
      <t>3</t>
    </r>
    <r>
      <rPr>
        <rFont val="等线"/>
        <color rgb="FF3F3F76"/>
        <sz val="11.0"/>
      </rPr>
      <t>_0000_0000 ~ 0x</t>
    </r>
    <r>
      <rPr>
        <rFont val="Malgun Gothic"/>
        <color rgb="FF3F3F76"/>
        <sz val="11.0"/>
      </rPr>
      <t>3</t>
    </r>
    <r>
      <rPr>
        <rFont val="等线"/>
        <color rgb="FF3F3F76"/>
        <sz val="11.0"/>
      </rPr>
      <t>_FFFF_FFFF, uppe</t>
    </r>
    <r>
      <rPr>
        <rFont val="Malgun Gothic"/>
        <color rgb="FF3F3F76"/>
        <sz val="11.0"/>
      </rPr>
      <t>st</t>
    </r>
    <r>
      <rPr>
        <rFont val="等线"/>
        <color rgb="FF3F3F76"/>
        <sz val="11.0"/>
      </rPr>
      <t xml:space="preserve"> 4GB / 16GB</t>
    </r>
  </si>
  <si>
    <t xml:space="preserve"> STATUS [ 0x0000_2_030 ]</t>
  </si>
  <si>
    <t>WC.E[7]</t>
  </si>
  <si>
    <t xml:space="preserve"> LB write command error</t>
  </si>
  <si>
    <t>WD.E[6]</t>
  </si>
  <si>
    <t xml:space="preserve"> LB write data CRC error</t>
  </si>
  <si>
    <r>
      <rPr>
        <rFont val="Malgun Gothic"/>
        <color theme="1"/>
        <sz val="11.0"/>
      </rPr>
      <t xml:space="preserve"> 1 i</t>
    </r>
    <r>
      <rPr>
        <rFont val="等线"/>
        <color theme="1"/>
        <sz val="11.0"/>
      </rPr>
      <t>ndicate</t>
    </r>
    <r>
      <rPr>
        <rFont val="Malgun Gothic"/>
        <color theme="1"/>
        <sz val="11.0"/>
      </rPr>
      <t>s</t>
    </r>
    <r>
      <rPr>
        <rFont val="等线"/>
        <color theme="1"/>
        <sz val="11.0"/>
      </rPr>
      <t xml:space="preserve"> that the IP is BUSY</t>
    </r>
  </si>
  <si>
    <t>RC.E[5]</t>
  </si>
  <si>
    <t xml:space="preserve"> LB read command error</t>
  </si>
  <si>
    <t>RD.E[4]</t>
  </si>
  <si>
    <t xml:space="preserve"> LB read data CRC error</t>
  </si>
  <si>
    <r>
      <rPr>
        <rFont val="Calibri"/>
        <color theme="1"/>
        <sz val="11.0"/>
      </rPr>
      <t xml:space="preserve">LBx8_MASTER
@ CTRL to </t>
    </r>
    <r>
      <rPr>
        <rFont val="Malgun Gothic"/>
        <color theme="1"/>
        <sz val="11.0"/>
      </rPr>
      <t>T</t>
    </r>
    <r>
      <rPr>
        <rFont val="等线"/>
        <color theme="1"/>
        <sz val="11.0"/>
      </rPr>
      <t>G</t>
    </r>
  </si>
  <si>
    <t>0000_3</t>
  </si>
  <si>
    <r>
      <rPr>
        <rFont val="Calibri"/>
        <color theme="1"/>
        <sz val="11.0"/>
      </rPr>
      <t>"LBx8-C2</t>
    </r>
    <r>
      <rPr>
        <rFont val="Malgun Gothic"/>
        <color theme="1"/>
        <sz val="11.0"/>
      </rPr>
      <t>T</t>
    </r>
    <r>
      <rPr>
        <rFont val="等线"/>
        <color theme="1"/>
        <sz val="11.0"/>
      </rPr>
      <t>"</t>
    </r>
  </si>
  <si>
    <r>
      <rPr>
        <rFont val="Malgun Gothic"/>
        <color theme="1"/>
        <sz val="11.0"/>
      </rPr>
      <t>T</t>
    </r>
    <r>
      <rPr>
        <rFont val="等线"/>
        <color theme="1"/>
        <sz val="11.0"/>
      </rPr>
      <t>G.1</t>
    </r>
  </si>
  <si>
    <r>
      <rPr>
        <rFont val="Malgun Gothic"/>
        <color theme="1"/>
        <sz val="11.0"/>
      </rPr>
      <t>T</t>
    </r>
    <r>
      <rPr>
        <rFont val="等线"/>
        <color theme="1"/>
        <sz val="11.0"/>
      </rPr>
      <t>G.0</t>
    </r>
  </si>
  <si>
    <r>
      <rPr>
        <rFont val="Calibri"/>
        <color theme="1"/>
        <sz val="11.0"/>
      </rPr>
      <t>BURST.LENGTH[</t>
    </r>
    <r>
      <rPr>
        <rFont val="Malgun Gothic"/>
        <color theme="1"/>
        <sz val="11.0"/>
      </rPr>
      <t>15:0</t>
    </r>
    <r>
      <rPr>
        <rFont val="等线"/>
        <color theme="1"/>
        <sz val="11.0"/>
      </rPr>
      <t>]</t>
    </r>
  </si>
  <si>
    <r>
      <rPr>
        <rFont val="Calibri"/>
        <color theme="1"/>
        <sz val="11.0"/>
      </rPr>
      <t>READ.LATENCY[</t>
    </r>
    <r>
      <rPr>
        <rFont val="Malgun Gothic"/>
        <color theme="1"/>
        <sz val="11.0"/>
      </rPr>
      <t>7:0</t>
    </r>
    <r>
      <rPr>
        <rFont val="等线"/>
        <color theme="1"/>
        <sz val="11.0"/>
      </rPr>
      <t>]</t>
    </r>
  </si>
  <si>
    <t>TG.1.STATUS</t>
  </si>
  <si>
    <t xml:space="preserve"> ADDRESS [ 0x0000_3_020 ]</t>
  </si>
  <si>
    <r>
      <rPr>
        <rFont val="Malgun Gothic"/>
        <color theme="1"/>
        <sz val="11.0"/>
      </rPr>
      <t xml:space="preserve"> T</t>
    </r>
    <r>
      <rPr>
        <rFont val="等线"/>
        <color theme="1"/>
        <sz val="11.0"/>
      </rPr>
      <t>G_# 32-bit Address, 4GB range</t>
    </r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</si>
  <si>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CMD</t>
    </r>
    <r>
      <rPr>
        <rFont val="Malgun Gothic"/>
        <b/>
        <color rgb="FF9C6500"/>
        <sz val="11.0"/>
      </rPr>
      <t xml:space="preserve"> [ 0x0000_3_024 ]</t>
    </r>
  </si>
  <si>
    <r>
      <rPr>
        <rFont val="Calibri"/>
        <b/>
        <color rgb="FF006100"/>
        <sz val="11.0"/>
      </rPr>
      <t>RST[</t>
    </r>
    <r>
      <rPr>
        <rFont val="Malgun Gothic"/>
        <b/>
        <color rgb="FF006100"/>
        <sz val="11.0"/>
      </rPr>
      <t>31</t>
    </r>
    <r>
      <rPr>
        <rFont val="等线"/>
        <b/>
        <color rgb="FF006100"/>
        <sz val="11.0"/>
      </rPr>
      <t>]</t>
    </r>
  </si>
  <si>
    <r>
      <rPr>
        <rFont val="Malgun Gothic"/>
        <b/>
        <color rgb="FF006100"/>
        <sz val="11.0"/>
      </rPr>
      <t>BL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15:0</t>
    </r>
    <r>
      <rPr>
        <rFont val="等线"/>
        <b/>
        <color rgb="FF006100"/>
        <sz val="11.0"/>
      </rPr>
      <t>]</t>
    </r>
  </si>
  <si>
    <r>
      <rPr>
        <rFont val="Malgun Gothic"/>
        <b/>
        <color rgb="FF006100"/>
        <sz val="11.0"/>
      </rPr>
      <t>WR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25</t>
    </r>
    <r>
      <rPr>
        <rFont val="等线"/>
        <b/>
        <color rgb="FF006100"/>
        <sz val="11.0"/>
      </rPr>
      <t>]</t>
    </r>
  </si>
  <si>
    <r>
      <rPr>
        <rFont val="Malgun Gothic"/>
        <b/>
        <color rgb="FF006100"/>
        <sz val="11.0"/>
      </rPr>
      <t>RD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24</t>
    </r>
    <r>
      <rPr>
        <rFont val="等线"/>
        <b/>
        <color rgb="FF006100"/>
        <sz val="11.0"/>
      </rPr>
      <t>]</t>
    </r>
  </si>
  <si>
    <t xml:space="preserve"> LATENCY [ 0x0000_3_02C ]</t>
  </si>
  <si>
    <r>
      <rPr>
        <rFont val="Malgun Gothic"/>
        <b/>
        <color rgb="FF006100"/>
        <sz val="11.0"/>
      </rPr>
      <t>RL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7:0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</si>
  <si>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</t>
    </r>
    <r>
      <rPr>
        <rFont val="等线"/>
        <color theme="1"/>
        <sz val="11.0"/>
      </rPr>
      <t>Set as PG Register Read Latency</t>
    </r>
    <r>
      <rPr>
        <rFont val="Malgun Gothic"/>
        <color theme="1"/>
        <sz val="11.0"/>
      </rPr>
      <t>.</t>
    </r>
  </si>
  <si>
    <r>
      <rPr>
        <rFont val="Calibri"/>
        <color rgb="FF9C0006"/>
        <sz val="11.0"/>
      </rPr>
      <t xml:space="preserve"> Default, RL = </t>
    </r>
    <r>
      <rPr>
        <rFont val="Malgun Gothic"/>
        <color rgb="FF9C0006"/>
        <sz val="11.0"/>
      </rPr>
      <t>0</t>
    </r>
  </si>
  <si>
    <t xml:space="preserve"> STATUS [ 0x0000_3_030 ]</t>
  </si>
  <si>
    <r>
      <rPr>
        <rFont val="Malgun Gothic"/>
        <color theme="1"/>
        <sz val="11.0"/>
      </rPr>
      <t xml:space="preserve"> 1 i</t>
    </r>
    <r>
      <rPr>
        <rFont val="等线"/>
        <color theme="1"/>
        <sz val="11.0"/>
      </rPr>
      <t>ndicate</t>
    </r>
    <r>
      <rPr>
        <rFont val="Malgun Gothic"/>
        <color theme="1"/>
        <sz val="11.0"/>
      </rPr>
      <t>s</t>
    </r>
    <r>
      <rPr>
        <rFont val="等线"/>
        <color theme="1"/>
        <sz val="11.0"/>
      </rPr>
      <t xml:space="preserve"> that the IP is BUSY</t>
    </r>
  </si>
  <si>
    <r>
      <rPr>
        <rFont val="Calibri"/>
        <color theme="1"/>
        <sz val="11.0"/>
      </rPr>
      <t>ADC-AD</t>
    </r>
    <r>
      <rPr>
        <rFont val="Malgun Gothic"/>
        <color theme="1"/>
        <sz val="11.0"/>
      </rPr>
      <t>7606</t>
    </r>
    <r>
      <rPr>
        <rFont val="等线"/>
        <color theme="1"/>
        <sz val="11.0"/>
      </rPr>
      <t xml:space="preserve">
@ CTRL</t>
    </r>
  </si>
  <si>
    <t>0000_4</t>
  </si>
  <si>
    <r>
      <rPr>
        <rFont val="Calibri"/>
        <color theme="1"/>
        <sz val="11.0"/>
      </rPr>
      <t>"</t>
    </r>
    <r>
      <rPr>
        <rFont val="Malgun Gothic"/>
        <color theme="1"/>
        <sz val="11.0"/>
      </rPr>
      <t>ADC-AD7606</t>
    </r>
    <r>
      <rPr>
        <rFont val="等线"/>
        <color theme="1"/>
        <sz val="11.0"/>
      </rPr>
      <t>"</t>
    </r>
  </si>
  <si>
    <t>SELECT</t>
  </si>
  <si>
    <t>CLR</t>
  </si>
  <si>
    <t>SET</t>
  </si>
  <si>
    <r>
      <rPr>
        <rFont val="Calibri"/>
        <color theme="1"/>
        <sz val="11.0"/>
      </rPr>
      <t>MUX[</t>
    </r>
    <r>
      <rPr>
        <rFont val="Malgun Gothic"/>
        <color theme="1"/>
        <sz val="11.0"/>
      </rPr>
      <t>2</t>
    </r>
    <r>
      <rPr>
        <rFont val="等线"/>
        <color theme="1"/>
        <sz val="11.0"/>
      </rPr>
      <t>:0]</t>
    </r>
  </si>
  <si>
    <t>SETTLING</t>
  </si>
  <si>
    <r>
      <rPr>
        <rFont val="Calibri"/>
        <color theme="1"/>
        <sz val="11.0"/>
      </rPr>
      <t>SETTLING</t>
    </r>
    <r>
      <rPr>
        <rFont val="Malgun Gothic"/>
        <color theme="1"/>
        <sz val="11.0"/>
      </rPr>
      <t>.</t>
    </r>
    <r>
      <rPr>
        <rFont val="等线"/>
        <color theme="1"/>
        <sz val="11.0"/>
      </rPr>
      <t>TIME[31:0]</t>
    </r>
  </si>
  <si>
    <t>RANGE</t>
  </si>
  <si>
    <t>R.1</t>
  </si>
  <si>
    <t>R.0</t>
  </si>
  <si>
    <t>OS</t>
  </si>
  <si>
    <t>OS.1[6:4]</t>
  </si>
  <si>
    <t>OS.0[2:0]</t>
  </si>
  <si>
    <r>
      <rPr>
        <rFont val="Calibri"/>
        <color theme="1"/>
        <sz val="11.0"/>
      </rPr>
      <t>MUX[</t>
    </r>
    <r>
      <rPr>
        <rFont val="Malgun Gothic"/>
        <color theme="1"/>
        <sz val="11.0"/>
      </rPr>
      <t>2</t>
    </r>
    <r>
      <rPr>
        <rFont val="等线"/>
        <color theme="1"/>
        <sz val="11.0"/>
      </rPr>
      <t>:0]</t>
    </r>
  </si>
  <si>
    <t>MUX_ADC</t>
  </si>
  <si>
    <t>MUX_ADC1</t>
  </si>
  <si>
    <r>
      <rPr>
        <rFont val="Calibri"/>
        <color theme="1"/>
        <sz val="11.0"/>
      </rPr>
      <t>MU</t>
    </r>
    <r>
      <rPr>
        <rFont val="Malgun Gothic"/>
        <color theme="1"/>
        <sz val="11.0"/>
      </rPr>
      <t>X</t>
    </r>
    <r>
      <rPr>
        <rFont val="等线"/>
        <color theme="1"/>
        <sz val="11.0"/>
      </rPr>
      <t>_ADC0</t>
    </r>
  </si>
  <si>
    <t>MUX_ADC3</t>
  </si>
  <si>
    <t>MUX_ADC2</t>
  </si>
  <si>
    <t>MUX_ADC5</t>
  </si>
  <si>
    <t>MUX_ADC4</t>
  </si>
  <si>
    <t>MUX_ADC7</t>
  </si>
  <si>
    <t>MUX_ADC6</t>
  </si>
  <si>
    <t xml:space="preserve"> CMD [ 0x0000_4_020 ]</t>
  </si>
  <si>
    <r>
      <rPr>
        <rFont val="Calibri"/>
        <b/>
        <color rgb="FF006100"/>
        <sz val="11.0"/>
      </rPr>
      <t>RST[</t>
    </r>
    <r>
      <rPr>
        <rFont val="Malgun Gothic"/>
        <b/>
        <color rgb="FF006100"/>
        <sz val="11.0"/>
      </rPr>
      <t>8</t>
    </r>
    <r>
      <rPr>
        <rFont val="等线"/>
        <b/>
        <color rgb="FF006100"/>
        <sz val="11.0"/>
      </rPr>
      <t>]</t>
    </r>
  </si>
  <si>
    <t>MUX[2:0]</t>
  </si>
  <si>
    <t xml:space="preserve"> PE_CAL_MUX when ADC_0 Selected</t>
  </si>
  <si>
    <t>SPAN</t>
  </si>
  <si>
    <t>SELECT[7:6]</t>
  </si>
  <si>
    <t xml:space="preserve"> ADC No. ( 0 or 1 )</t>
  </si>
  <si>
    <t xml:space="preserve"> SPWR_MUX when ADC_1 Selected</t>
  </si>
  <si>
    <t>SCALE</t>
  </si>
  <si>
    <t>CLR[5]</t>
  </si>
  <si>
    <t xml:space="preserve"> Active high, ADC clear operation</t>
  </si>
  <si>
    <t>SET[4]</t>
  </si>
  <si>
    <t xml:space="preserve"> Active high, do conversion operation</t>
  </si>
  <si>
    <t>Code</t>
  </si>
  <si>
    <t>Volt</t>
  </si>
  <si>
    <t xml:space="preserve"> SETTLING [ 0x0000_4_024 ]</t>
  </si>
  <si>
    <t xml:space="preserve"> Settling time before ADC conversion, 10ns/LSB</t>
  </si>
  <si>
    <t xml:space="preserve"> RANGE [ 0x0000_4_028 ]</t>
  </si>
  <si>
    <t>R.1[1]</t>
  </si>
  <si>
    <t xml:space="preserve"> Default 0, ADC_1 : +/- 5V Range</t>
  </si>
  <si>
    <t xml:space="preserve"> for ADC_1 : +/- 10V Range, set as 1</t>
  </si>
  <si>
    <t>R.0[0]</t>
  </si>
  <si>
    <t xml:space="preserve"> Default 0, ADC_0 : +/- 5V Range</t>
  </si>
  <si>
    <t xml:space="preserve"> for ADC_0 : +/- 10V Range, set as 1</t>
  </si>
  <si>
    <t xml:space="preserve"> OS [ 0x0000_4_02C ]</t>
  </si>
  <si>
    <t xml:space="preserve"> Default 0, OS for ADC_1</t>
  </si>
  <si>
    <t xml:space="preserve"> Default 0, OS for ADC_0</t>
  </si>
  <si>
    <t xml:space="preserve"> STATUS [ 0x0000_4_030 ]</t>
  </si>
  <si>
    <r>
      <rPr>
        <rFont val="Calibri"/>
        <b/>
        <color rgb="FF006100"/>
        <sz val="11.0"/>
      </rPr>
      <t>EOS[</t>
    </r>
    <r>
      <rPr>
        <rFont val="Malgun Gothic"/>
        <b/>
        <color rgb="FF006100"/>
        <sz val="11.0"/>
      </rPr>
      <t>8</t>
    </r>
    <r>
      <rPr>
        <rFont val="等线"/>
        <b/>
        <color rgb="FF006100"/>
        <sz val="11.0"/>
      </rPr>
      <t>]</t>
    </r>
  </si>
  <si>
    <t>REST[7:0]</t>
  </si>
  <si>
    <t xml:space="preserve"> Same w/ CMD[7:0]</t>
  </si>
  <si>
    <r>
      <rPr>
        <rFont val="Calibri"/>
        <color theme="1"/>
        <sz val="11.0"/>
      </rPr>
      <t>DAC-</t>
    </r>
    <r>
      <rPr>
        <rFont val="Malgun Gothic"/>
        <color theme="1"/>
        <sz val="11.0"/>
      </rPr>
      <t>DAC</t>
    </r>
    <r>
      <rPr>
        <rFont val="等线"/>
        <color theme="1"/>
        <sz val="11.0"/>
      </rPr>
      <t>7578
@ CTRL</t>
    </r>
  </si>
  <si>
    <t>0000_5</t>
  </si>
  <si>
    <r>
      <rPr>
        <rFont val="Calibri"/>
        <color theme="1"/>
        <sz val="11.0"/>
      </rPr>
      <t>"</t>
    </r>
    <r>
      <rPr>
        <rFont val="Malgun Gothic"/>
        <color theme="1"/>
        <sz val="11.0"/>
      </rPr>
      <t>DAC-DAC7578</t>
    </r>
    <r>
      <rPr>
        <rFont val="等线"/>
        <color theme="1"/>
        <sz val="11.0"/>
      </rPr>
      <t>"</t>
    </r>
  </si>
  <si>
    <t>RnW</t>
  </si>
  <si>
    <r>
      <rPr>
        <rFont val="Calibri"/>
        <color theme="1"/>
        <sz val="11.0"/>
      </rPr>
      <t>CMD[</t>
    </r>
    <r>
      <rPr>
        <rFont val="Malgun Gothic"/>
        <color theme="1"/>
        <sz val="11.0"/>
      </rPr>
      <t>23:20</t>
    </r>
    <r>
      <rPr>
        <rFont val="等线"/>
        <color theme="1"/>
        <sz val="11.0"/>
      </rPr>
      <t>]</t>
    </r>
  </si>
  <si>
    <r>
      <rPr>
        <rFont val="Calibri"/>
        <color theme="1"/>
        <sz val="11.0"/>
      </rPr>
      <t>ADDR[</t>
    </r>
    <r>
      <rPr>
        <rFont val="Malgun Gothic"/>
        <color theme="1"/>
        <sz val="11.0"/>
      </rPr>
      <t>19:16</t>
    </r>
    <r>
      <rPr>
        <rFont val="等线"/>
        <color theme="1"/>
        <sz val="11.0"/>
      </rPr>
      <t>]</t>
    </r>
  </si>
  <si>
    <r>
      <rPr>
        <rFont val="Calibri"/>
        <color theme="1"/>
        <sz val="11.0"/>
      </rPr>
      <t>DB[1</t>
    </r>
    <r>
      <rPr>
        <rFont val="Malgun Gothic"/>
        <color theme="1"/>
        <sz val="11.0"/>
      </rPr>
      <t>5</t>
    </r>
    <r>
      <rPr>
        <rFont val="等线"/>
        <color theme="1"/>
        <sz val="11.0"/>
      </rPr>
      <t>:</t>
    </r>
    <r>
      <rPr>
        <rFont val="Malgun Gothic"/>
        <color theme="1"/>
        <sz val="11.0"/>
      </rPr>
      <t>4</t>
    </r>
    <r>
      <rPr>
        <rFont val="等线"/>
        <color theme="1"/>
        <sz val="11.0"/>
      </rPr>
      <t>]</t>
    </r>
  </si>
  <si>
    <t>ERR</t>
  </si>
  <si>
    <r>
      <rPr>
        <rFont val="Calibri"/>
        <color theme="1"/>
        <sz val="11.0"/>
      </rPr>
      <t>CMD[</t>
    </r>
    <r>
      <rPr>
        <rFont val="Malgun Gothic"/>
        <color theme="1"/>
        <sz val="11.0"/>
      </rPr>
      <t>23:20</t>
    </r>
    <r>
      <rPr>
        <rFont val="等线"/>
        <color theme="1"/>
        <sz val="11.0"/>
      </rPr>
      <t>]</t>
    </r>
  </si>
  <si>
    <r>
      <rPr>
        <rFont val="Calibri"/>
        <color theme="1"/>
        <sz val="11.0"/>
      </rPr>
      <t>ADDR[</t>
    </r>
    <r>
      <rPr>
        <rFont val="Malgun Gothic"/>
        <color theme="1"/>
        <sz val="11.0"/>
      </rPr>
      <t>19:16</t>
    </r>
    <r>
      <rPr>
        <rFont val="等线"/>
        <color theme="1"/>
        <sz val="11.0"/>
      </rPr>
      <t>]</t>
    </r>
  </si>
  <si>
    <r>
      <rPr>
        <rFont val="Calibri"/>
        <color theme="1"/>
        <sz val="11.0"/>
      </rPr>
      <t>DB[1</t>
    </r>
    <r>
      <rPr>
        <rFont val="Malgun Gothic"/>
        <color theme="1"/>
        <sz val="11.0"/>
      </rPr>
      <t>5</t>
    </r>
    <r>
      <rPr>
        <rFont val="等线"/>
        <color theme="1"/>
        <sz val="11.0"/>
      </rPr>
      <t>:</t>
    </r>
    <r>
      <rPr>
        <rFont val="Malgun Gothic"/>
        <color theme="1"/>
        <sz val="11.0"/>
      </rPr>
      <t>4</t>
    </r>
    <r>
      <rPr>
        <rFont val="等线"/>
        <color theme="1"/>
        <sz val="11.0"/>
      </rPr>
      <t>]</t>
    </r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</si>
  <si>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CMD</t>
    </r>
    <r>
      <rPr>
        <rFont val="Malgun Gothic"/>
        <b/>
        <color rgb="FF9C6500"/>
        <sz val="11.0"/>
      </rPr>
      <t xml:space="preserve"> [ 0x0000_5_020 ]</t>
    </r>
  </si>
  <si>
    <r>
      <rPr>
        <rFont val="Malgun Gothic"/>
        <b/>
        <color rgb="FF006100"/>
        <sz val="11.0"/>
      </rPr>
      <t>SET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31</t>
    </r>
    <r>
      <rPr>
        <rFont val="等线"/>
        <b/>
        <color rgb="FF006100"/>
        <sz val="11.0"/>
      </rPr>
      <t>]</t>
    </r>
  </si>
  <si>
    <t xml:space="preserve"> Active high, do DAC RW operation</t>
  </si>
  <si>
    <t>CMD[23:20]</t>
  </si>
  <si>
    <t xml:space="preserve"> 4-bit DAC command</t>
  </si>
  <si>
    <t>RST[30]</t>
  </si>
  <si>
    <t>ADR[19:16]</t>
  </si>
  <si>
    <t xml:space="preserve"> DAC ch address for 0 ~ 7. 0xF for all ch</t>
  </si>
  <si>
    <t>CLR[25]</t>
  </si>
  <si>
    <t xml:space="preserve"> Active high, do DAC clear operation</t>
  </si>
  <si>
    <t>DB[15:4]</t>
  </si>
  <si>
    <t xml:space="preserve"> 12-bit DAC write data</t>
  </si>
  <si>
    <t>RnW[24]</t>
  </si>
  <si>
    <t xml:space="preserve"> 1 for DAC Read, 0 for DAC Write</t>
  </si>
  <si>
    <t xml:space="preserve"> STATUS [ 0x0000_5_030 ]</t>
  </si>
  <si>
    <r>
      <rPr>
        <rFont val="Calibri"/>
        <b/>
        <color rgb="FF006100"/>
        <sz val="11.0"/>
      </rPr>
      <t>EOS[</t>
    </r>
    <r>
      <rPr>
        <rFont val="Malgun Gothic"/>
        <b/>
        <color rgb="FF006100"/>
        <sz val="11.0"/>
      </rPr>
      <t>31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</si>
  <si>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1 i</t>
    </r>
    <r>
      <rPr>
        <rFont val="等线"/>
        <color theme="1"/>
        <sz val="11.0"/>
      </rPr>
      <t>ndicate</t>
    </r>
    <r>
      <rPr>
        <rFont val="Malgun Gothic"/>
        <color theme="1"/>
        <sz val="11.0"/>
      </rPr>
      <t>s</t>
    </r>
    <r>
      <rPr>
        <rFont val="等线"/>
        <color theme="1"/>
        <sz val="11.0"/>
      </rPr>
      <t xml:space="preserve"> the </t>
    </r>
    <r>
      <rPr>
        <rFont val="Malgun Gothic"/>
        <color theme="1"/>
        <sz val="11.0"/>
      </rPr>
      <t>e</t>
    </r>
    <r>
      <rPr>
        <rFont val="等线"/>
        <color theme="1"/>
        <sz val="11.0"/>
      </rPr>
      <t xml:space="preserve">nd of </t>
    </r>
    <r>
      <rPr>
        <rFont val="Malgun Gothic"/>
        <color theme="1"/>
        <sz val="11.0"/>
      </rPr>
      <t>operation</t>
    </r>
  </si>
  <si>
    <t>REST[23:16]</t>
  </si>
  <si>
    <t xml:space="preserve"> Same w/ CMD[23:16]</t>
  </si>
  <si>
    <r>
      <rPr>
        <rFont val="Calibri"/>
        <b/>
        <color rgb="FF006100"/>
        <sz val="11.0"/>
      </rPr>
      <t>E</t>
    </r>
    <r>
      <rPr>
        <rFont val="Malgun Gothic"/>
        <b/>
        <color rgb="FF006100"/>
        <sz val="11.0"/>
      </rPr>
      <t>RR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30</t>
    </r>
    <r>
      <rPr>
        <rFont val="等线"/>
        <b/>
        <color rgb="FF006100"/>
        <sz val="11.0"/>
      </rPr>
      <t>]</t>
    </r>
  </si>
  <si>
    <t xml:space="preserve">  Active high, indicates I2C Error</t>
  </si>
  <si>
    <t xml:space="preserve"> 12-bit DAC read data</t>
  </si>
  <si>
    <t>DPS-I2C
@ CTRL</t>
  </si>
  <si>
    <t>0000_6</t>
  </si>
  <si>
    <r>
      <rPr>
        <rFont val="Calibri"/>
        <color theme="1"/>
        <sz val="11.0"/>
      </rPr>
      <t>"</t>
    </r>
    <r>
      <rPr>
        <rFont val="Malgun Gothic"/>
        <color theme="1"/>
        <sz val="11.0"/>
      </rPr>
      <t>DPS-I2C</t>
    </r>
    <r>
      <rPr>
        <rFont val="等线"/>
        <color theme="1"/>
        <sz val="11.0"/>
      </rPr>
      <t>"</t>
    </r>
  </si>
  <si>
    <t>SCAN</t>
  </si>
  <si>
    <t>DPS.No[23:16]</t>
  </si>
  <si>
    <t>BURST.LENGTH[15:8]</t>
  </si>
  <si>
    <t>PMBUS.CMD[7:0]</t>
  </si>
  <si>
    <t>RUN</t>
  </si>
  <si>
    <t>RUN[3:0]</t>
  </si>
  <si>
    <t>VS3F.EN</t>
  </si>
  <si>
    <t>3F.EN</t>
  </si>
  <si>
    <t>ALERT[27:24]</t>
  </si>
  <si>
    <t>FAULT[19:16]</t>
  </si>
  <si>
    <t>RW.DATA.BUF</t>
  </si>
  <si>
    <t>RW.DATA.3</t>
  </si>
  <si>
    <t>RW.DATA.2</t>
  </si>
  <si>
    <t>RW.DATA.1</t>
  </si>
  <si>
    <t>RW.DATA.0</t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</si>
  <si>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7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</si>
  <si>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6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</si>
  <si>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5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</si>
  <si>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4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</si>
  <si>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251</t>
    </r>
  </si>
  <si>
    <r>
      <rPr>
        <rFont val="Calibri"/>
        <color theme="1"/>
        <sz val="11.0"/>
      </rPr>
      <t>RW.DATA.2</t>
    </r>
    <r>
      <rPr>
        <rFont val="Malgun Gothic"/>
        <color theme="1"/>
        <sz val="11.0"/>
      </rPr>
      <t>50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</si>
  <si>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249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</si>
  <si>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248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</si>
  <si>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255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</si>
  <si>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254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</si>
  <si>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253</t>
    </r>
  </si>
  <si>
    <r>
      <rPr>
        <rFont val="Calibri"/>
        <color theme="1"/>
        <sz val="11.0"/>
      </rPr>
      <t>RW.DATA.</t>
    </r>
    <r>
      <rPr>
        <rFont val="Malgun Gothic"/>
        <color theme="1"/>
        <sz val="11.0"/>
      </rPr>
      <t>252</t>
    </r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</si>
  <si>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CMD</t>
    </r>
    <r>
      <rPr>
        <rFont val="Malgun Gothic"/>
        <b/>
        <color rgb="FF9C6500"/>
        <sz val="11.0"/>
      </rPr>
      <t xml:space="preserve"> [ 0x0000_6_020 ]</t>
    </r>
  </si>
  <si>
    <r>
      <rPr>
        <rFont val="Malgun Gothic"/>
        <b/>
        <color rgb="FF006100"/>
        <sz val="11.0"/>
      </rPr>
      <t>WR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31</t>
    </r>
    <r>
      <rPr>
        <rFont val="等线"/>
        <b/>
        <color rgb="FF006100"/>
        <sz val="11.0"/>
      </rPr>
      <t>]</t>
    </r>
  </si>
  <si>
    <t xml:space="preserve"> Active high, DPS write operation</t>
  </si>
  <si>
    <t>BL[15:8]</t>
  </si>
  <si>
    <t xml:space="preserve"> DPS read/write byte count</t>
  </si>
  <si>
    <t>RD[30]</t>
  </si>
  <si>
    <t xml:space="preserve"> Active high, DPS read operation</t>
  </si>
  <si>
    <t xml:space="preserve"> 0 means 1-Byte, max 256-Byte</t>
  </si>
  <si>
    <t>DPS.No</t>
  </si>
  <si>
    <t xml:space="preserve"> Target LTC number. ( 0 ~ 5 )</t>
  </si>
  <si>
    <t>PMBUS.CMD</t>
  </si>
  <si>
    <t xml:space="preserve"> 8-bit PMBUS command for DPS</t>
  </si>
  <si>
    <t xml:space="preserve"> RUN [ 0x0000_6_028 ]</t>
  </si>
  <si>
    <r>
      <rPr>
        <rFont val="Malgun Gothic"/>
        <b/>
        <color rgb="FF006100"/>
        <sz val="11.0"/>
      </rPr>
      <t>RUN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3:0</t>
    </r>
    <r>
      <rPr>
        <rFont val="等线"/>
        <b/>
        <color rgb="FF006100"/>
        <sz val="11.0"/>
      </rPr>
      <t>]</t>
    </r>
  </si>
  <si>
    <t xml:space="preserve"> Active high, DPS.RUN for 1/2/4/5</t>
  </si>
  <si>
    <t xml:space="preserve"> VS3F.EN [ 0x0000_6_02C ]</t>
  </si>
  <si>
    <t>3F.EN[0]</t>
  </si>
  <si>
    <t xml:space="preserve"> Active high</t>
  </si>
  <si>
    <t xml:space="preserve"> STATUS [ 0x0000_6_030 ]</t>
  </si>
  <si>
    <t>ALERT</t>
  </si>
  <si>
    <t xml:space="preserve"> Active high, for each DPS</t>
  </si>
  <si>
    <r>
      <rPr>
        <rFont val="Calibri"/>
        <b/>
        <color rgb="FF006100"/>
        <sz val="11.0"/>
      </rPr>
      <t>EOS[</t>
    </r>
    <r>
      <rPr>
        <rFont val="Malgun Gothic"/>
        <b/>
        <color rgb="FF006100"/>
        <sz val="11.0"/>
      </rPr>
      <t>7</t>
    </r>
    <r>
      <rPr>
        <rFont val="等线"/>
        <b/>
        <color rgb="FF006100"/>
        <sz val="11.0"/>
      </rPr>
      <t>]</t>
    </r>
  </si>
  <si>
    <t>FAULT</t>
  </si>
  <si>
    <r>
      <rPr>
        <rFont val="Malgun Gothic"/>
        <b/>
        <color rgb="FF006100"/>
        <sz val="11.0"/>
      </rPr>
      <t>ERR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3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</si>
  <si>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Active high, indicates </t>
    </r>
    <r>
      <rPr>
        <rFont val="等线"/>
        <color theme="1"/>
        <sz val="11.0"/>
      </rPr>
      <t>I2C COM/ALERT/FAULT Error</t>
    </r>
  </si>
  <si>
    <r>
      <rPr>
        <rFont val="Malgun Gothic"/>
        <color theme="1"/>
        <sz val="11.0"/>
      </rPr>
      <t xml:space="preserve"> 1 i</t>
    </r>
    <r>
      <rPr>
        <rFont val="等线"/>
        <color theme="1"/>
        <sz val="11.0"/>
      </rPr>
      <t>ndicate</t>
    </r>
    <r>
      <rPr>
        <rFont val="Malgun Gothic"/>
        <color theme="1"/>
        <sz val="11.0"/>
      </rPr>
      <t>s</t>
    </r>
    <r>
      <rPr>
        <rFont val="等线"/>
        <color theme="1"/>
        <sz val="11.0"/>
      </rPr>
      <t xml:space="preserve"> that the IP is BUSY</t>
    </r>
  </si>
  <si>
    <t xml:space="preserve"> RW.DATA.BUF [ 0x0000_6_040 ~ 0x0000_6_43F ]</t>
  </si>
  <si>
    <r>
      <rPr>
        <rFont val="Malgun Gothic"/>
        <color theme="1"/>
        <sz val="11.0"/>
      </rPr>
      <t xml:space="preserve"> </t>
    </r>
    <r>
      <rPr>
        <rFont val="等线"/>
        <color theme="1"/>
        <sz val="11.0"/>
      </rPr>
      <t>RW.DATA_0 ~ 255</t>
    </r>
  </si>
  <si>
    <r>
      <rPr>
        <rFont val="Malgun Gothic"/>
        <color theme="1"/>
        <sz val="11.0"/>
      </rPr>
      <t>PE-PE800</t>
    </r>
    <r>
      <rPr>
        <rFont val="等线"/>
        <color theme="1"/>
        <sz val="11.0"/>
      </rPr>
      <t xml:space="preserve">
@ CTRL</t>
    </r>
  </si>
  <si>
    <t>0000_7</t>
  </si>
  <si>
    <r>
      <rPr>
        <rFont val="Calibri"/>
        <color theme="1"/>
        <sz val="11.0"/>
      </rPr>
      <t>"</t>
    </r>
    <r>
      <rPr>
        <rFont val="Malgun Gothic"/>
        <color theme="1"/>
        <sz val="11.0"/>
      </rPr>
      <t>PE-PE800</t>
    </r>
    <r>
      <rPr>
        <rFont val="等线"/>
        <color theme="1"/>
        <sz val="11.0"/>
      </rPr>
      <t>"</t>
    </r>
  </si>
  <si>
    <t>PE.SELECT[21:0]</t>
  </si>
  <si>
    <t>WnR</t>
  </si>
  <si>
    <t>RESET</t>
  </si>
  <si>
    <t>CH[28:21]</t>
  </si>
  <si>
    <t>ADDR[20:16]</t>
  </si>
  <si>
    <t>DATA[15:0]</t>
  </si>
  <si>
    <t>SEN.nCAL</t>
  </si>
  <si>
    <t>HI</t>
  </si>
  <si>
    <t>LO</t>
  </si>
  <si>
    <t>ALARM</t>
  </si>
  <si>
    <t>PE.ALARM[21:0]</t>
  </si>
  <si>
    <t xml:space="preserve"> SELECT [ 0x0000_7_020 ]</t>
  </si>
  <si>
    <t xml:space="preserve"> Active high, 22EA PE select bit</t>
  </si>
  <si>
    <r>
      <rPr>
        <rFont val="Malgun Gothic"/>
        <b/>
        <color rgb="FF9C6500"/>
        <sz val="11.0"/>
      </rPr>
      <t xml:space="preserve"> </t>
    </r>
    <r>
      <rPr>
        <rFont val="等线"/>
        <b/>
        <color rgb="FF9C6500"/>
        <sz val="11.0"/>
      </rPr>
      <t>CMD</t>
    </r>
    <r>
      <rPr>
        <rFont val="Malgun Gothic"/>
        <b/>
        <color rgb="FF9C6500"/>
        <sz val="11.0"/>
      </rPr>
      <t xml:space="preserve"> [ 0x0000_7_024 ]</t>
    </r>
  </si>
  <si>
    <r>
      <rPr>
        <rFont val="Malgun Gothic"/>
        <b/>
        <color rgb="FF006100"/>
        <sz val="11.0"/>
      </rPr>
      <t>SET</t>
    </r>
    <r>
      <rPr>
        <rFont val="等线"/>
        <b/>
        <color rgb="FF006100"/>
        <sz val="11.0"/>
      </rPr>
      <t>[</t>
    </r>
    <r>
      <rPr>
        <rFont val="Malgun Gothic"/>
        <b/>
        <color rgb="FF006100"/>
        <sz val="11.0"/>
      </rPr>
      <t>31</t>
    </r>
    <r>
      <rPr>
        <rFont val="等线"/>
        <b/>
        <color rgb="FF006100"/>
        <sz val="11.0"/>
      </rPr>
      <t>]</t>
    </r>
  </si>
  <si>
    <t xml:space="preserve"> Actvie high, do PE RW operation</t>
  </si>
  <si>
    <t xml:space="preserve"> 8-bit channel select</t>
  </si>
  <si>
    <t>WnR[30]</t>
  </si>
  <si>
    <t xml:space="preserve"> 0 for PE Read, 1 for PE Write</t>
  </si>
  <si>
    <t>ADR[20:16]</t>
  </si>
  <si>
    <t xml:space="preserve"> 5-bit address</t>
  </si>
  <si>
    <t>RESET[29]</t>
  </si>
  <si>
    <t xml:space="preserve"> Active high, reset the PE800 IC</t>
  </si>
  <si>
    <t xml:space="preserve"> 16-bit PE write data</t>
  </si>
  <si>
    <t xml:space="preserve"> SEN.nCAL [ 0x0000_7_02C ]</t>
  </si>
  <si>
    <t xml:space="preserve"> STATUS [ 0x0000_7_030 ]</t>
  </si>
  <si>
    <r>
      <rPr>
        <rFont val="Calibri"/>
        <b/>
        <color rgb="FF006100"/>
        <sz val="11.0"/>
      </rPr>
      <t>EOS</t>
    </r>
    <r>
      <rPr>
        <rFont val="Malgun Gothic"/>
        <b/>
        <color rgb="FF006100"/>
        <sz val="11.0"/>
      </rPr>
      <t>[31</t>
    </r>
    <r>
      <rPr>
        <rFont val="等线"/>
        <b/>
        <color rgb="FF006100"/>
        <sz val="11.0"/>
      </rPr>
      <t>]</t>
    </r>
  </si>
  <si>
    <r>
      <rPr>
        <rFont val="Malgun Gothic"/>
        <color theme="1"/>
        <sz val="11.0"/>
      </rPr>
      <t xml:space="preserve"> 1 i</t>
    </r>
    <r>
      <rPr>
        <rFont val="等线"/>
        <color theme="1"/>
        <sz val="11.0"/>
      </rPr>
      <t>ndicate</t>
    </r>
    <r>
      <rPr>
        <rFont val="Malgun Gothic"/>
        <color theme="1"/>
        <sz val="11.0"/>
      </rPr>
      <t>s</t>
    </r>
    <r>
      <rPr>
        <rFont val="等线"/>
        <color theme="1"/>
        <sz val="11.0"/>
      </rPr>
      <t xml:space="preserve"> the </t>
    </r>
    <r>
      <rPr>
        <rFont val="Malgun Gothic"/>
        <color theme="1"/>
        <sz val="11.0"/>
      </rPr>
      <t>e</t>
    </r>
    <r>
      <rPr>
        <rFont val="等线"/>
        <color theme="1"/>
        <sz val="11.0"/>
      </rPr>
      <t xml:space="preserve">nd of </t>
    </r>
    <r>
      <rPr>
        <rFont val="Malgun Gothic"/>
        <color theme="1"/>
        <sz val="11.0"/>
      </rPr>
      <t>operation</t>
    </r>
  </si>
  <si>
    <t>REST</t>
  </si>
  <si>
    <t xml:space="preserve"> Same w/ CMD[30:16]</t>
  </si>
  <si>
    <t xml:space="preserve"> 16-bit PE read data</t>
  </si>
  <si>
    <t xml:space="preserve"> ALARM [ 0x0000_7_034 ]</t>
  </si>
  <si>
    <t xml:space="preserve"> Active high, 0~3 / 4~7 / 8~10 / 11~14 / 15~18 / 19~21 are group</t>
  </si>
  <si>
    <t>pe</t>
  </si>
  <si>
    <t xml:space="preserve"> </t>
  </si>
  <si>
    <t>0B1F</t>
  </si>
  <si>
    <t>0D55</t>
  </si>
  <si>
    <t>003A</t>
  </si>
  <si>
    <t>0D45</t>
  </si>
  <si>
    <t>0190</t>
  </si>
  <si>
    <t>0E80</t>
  </si>
  <si>
    <t>0000</t>
  </si>
  <si>
    <t>원하는 Voltage</t>
  </si>
  <si>
    <t>Dec 값</t>
  </si>
  <si>
    <t>6DB9</t>
  </si>
  <si>
    <t>0.5 단위</t>
  </si>
  <si>
    <t>524B</t>
  </si>
  <si>
    <t>0.1 단위</t>
  </si>
  <si>
    <t>-2</t>
  </si>
  <si>
    <t>-1.5</t>
  </si>
  <si>
    <t>-0.5</t>
  </si>
  <si>
    <t xml:space="preserve">pe read 21 </t>
  </si>
  <si>
    <t>pe write 21 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</si>
</sst>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yyyy-mm-dd"/>
  </numFmts>
  <fonts count="18">
    <font>
      <sz val="11.0"/>
      <color theme="1"/>
      <name val="Arial"/>
    </font>
    <font>
      <sz val="11.0"/>
      <color theme="1"/>
      <name val="Calibri"/>
    </font>
    <font>
      <b/>
      <sz val="12.0"/>
      <color rgb="FF006100"/>
      <name val="Calibri"/>
    </font>
    <font>
      <b/>
      <sz val="12.0"/>
      <color rgb="FF9C0006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theme="1"/>
      <name val="Malgun Gothic"/>
    </font>
    <font>
      <sz val="11.0"/>
      <color theme="1"/>
      <name val="Malgun Gothic"/>
    </font>
    <font>
      <b/>
      <sz val="11.0"/>
      <color rgb="FF9C0006"/>
      <name val="Calibri"/>
    </font>
    <font>
      <b/>
      <sz val="11.0"/>
      <color rgb="FF006100"/>
      <name val="Calibri"/>
    </font>
    <font>
      <b/>
      <sz val="11.0"/>
      <color rgb="FF006100"/>
      <name val="Malgun Gothic"/>
    </font>
    <font>
      <b/>
      <sz val="11.0"/>
      <color rgb="FF9C6500"/>
      <name val="Calibri"/>
    </font>
    <font>
      <sz val="11.0"/>
      <color rgb="FF9C0006"/>
      <name val="Calibri"/>
    </font>
    <font>
      <b/>
      <sz val="11.0"/>
      <color rgb="FF9C6500"/>
      <name val="Malgun Gothic"/>
    </font>
    <font>
      <sz val="11.0"/>
      <color rgb="FF3F3F76"/>
      <name val="Calibri"/>
    </font>
    <font>
      <color theme="1"/>
      <name val="Calibri"/>
    </font>
    <font>
      <sz val="11.0"/>
      <color rgb="FFFF0000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</fills>
  <borders count="10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top style="thin">
        <color rgb="FF7F7F7F"/>
      </top>
      <bottom style="medium">
        <color rgb="FF000000"/>
      </bottom>
    </border>
    <border>
      <top style="thin">
        <color rgb="FF7F7F7F"/>
      </top>
      <bottom style="medium">
        <color rgb="FF000000"/>
      </bottom>
    </border>
    <border>
      <right style="medium">
        <color rgb="FF000000"/>
      </right>
      <top style="thin">
        <color rgb="FF7F7F7F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2B2B2"/>
      </left>
      <top style="thin">
        <color rgb="FFB2B2B2"/>
      </top>
      <bottom style="medium">
        <color rgb="FF000000"/>
      </bottom>
    </border>
    <border>
      <top style="thin">
        <color rgb="FFB2B2B2"/>
      </top>
      <bottom style="medium">
        <color rgb="FF000000"/>
      </bottom>
    </border>
    <border>
      <right style="thin">
        <color rgb="FFB2B2B2"/>
      </right>
      <top style="thin">
        <color rgb="FFB2B2B2"/>
      </top>
      <bottom style="medium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4" fillId="0" fontId="1" numFmtId="165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vertical="center"/>
    </xf>
    <xf borderId="8" fillId="0" fontId="1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vertical="center"/>
    </xf>
    <xf quotePrefix="1" borderId="0" fillId="0" fontId="6" numFmtId="0" xfId="0" applyAlignment="1" applyFont="1">
      <alignment horizontal="center" vertical="center"/>
    </xf>
    <xf borderId="10" fillId="3" fontId="9" numFmtId="0" xfId="0" applyAlignment="1" applyBorder="1" applyFont="1">
      <alignment vertical="center"/>
    </xf>
    <xf borderId="11" fillId="2" fontId="10" numFmtId="0" xfId="0" applyAlignment="1" applyBorder="1" applyFont="1">
      <alignment horizontal="center" vertical="center"/>
    </xf>
    <xf borderId="12" fillId="2" fontId="11" numFmtId="18" xfId="0" applyAlignment="1" applyBorder="1" applyFont="1" applyNumberFormat="1">
      <alignment vertical="top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0" fillId="4" fontId="8" numFmtId="18" xfId="0" applyAlignment="1" applyBorder="1" applyFill="1" applyFont="1" applyNumberFormat="1">
      <alignment vertical="top"/>
    </xf>
    <xf borderId="10" fillId="4" fontId="1" numFmtId="18" xfId="0" applyAlignment="1" applyBorder="1" applyFont="1" applyNumberFormat="1">
      <alignment vertical="top"/>
    </xf>
    <xf borderId="10" fillId="5" fontId="1" numFmtId="18" xfId="0" applyAlignment="1" applyBorder="1" applyFill="1" applyFont="1" applyNumberFormat="1">
      <alignment vertical="top"/>
    </xf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18" fillId="6" fontId="1" numFmtId="0" xfId="0" applyAlignment="1" applyBorder="1" applyFill="1" applyFont="1">
      <alignment horizontal="center" vertical="center"/>
    </xf>
    <xf borderId="19" fillId="6" fontId="1" numFmtId="0" xfId="0" applyAlignment="1" applyBorder="1" applyFont="1">
      <alignment horizontal="center" vertical="center"/>
    </xf>
    <xf borderId="20" fillId="6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quotePrefix="1" borderId="16" fillId="0" fontId="8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vertical="center"/>
    </xf>
    <xf borderId="16" fillId="0" fontId="1" numFmtId="0" xfId="0" applyAlignment="1" applyBorder="1" applyFont="1">
      <alignment horizontal="center" vertical="center"/>
    </xf>
    <xf borderId="21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23" fillId="0" fontId="4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26" fillId="0" fontId="4" numFmtId="0" xfId="0" applyAlignment="1" applyBorder="1" applyFont="1">
      <alignment vertical="center"/>
    </xf>
    <xf borderId="22" fillId="0" fontId="1" numFmtId="0" xfId="0" applyAlignment="1" applyBorder="1" applyFont="1">
      <alignment horizontal="center" vertical="center"/>
    </xf>
    <xf borderId="27" fillId="7" fontId="1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8" fillId="0" fontId="4" numFmtId="0" xfId="0" applyAlignment="1" applyBorder="1" applyFont="1">
      <alignment vertical="center"/>
    </xf>
    <xf borderId="29" fillId="7" fontId="1" numFmtId="0" xfId="0" applyAlignment="1" applyBorder="1" applyFont="1">
      <alignment horizontal="center" vertical="center"/>
    </xf>
    <xf borderId="30" fillId="0" fontId="4" numFmtId="0" xfId="0" applyAlignment="1" applyBorder="1" applyFont="1">
      <alignment vertical="center"/>
    </xf>
    <xf borderId="31" fillId="0" fontId="4" numFmtId="0" xfId="0" applyAlignment="1" applyBorder="1" applyFont="1">
      <alignment vertical="center"/>
    </xf>
    <xf borderId="32" fillId="0" fontId="1" numFmtId="0" xfId="0" applyAlignment="1" applyBorder="1" applyFont="1">
      <alignment horizontal="center" vertical="center"/>
    </xf>
    <xf borderId="33" fillId="0" fontId="4" numFmtId="0" xfId="0" applyAlignment="1" applyBorder="1" applyFont="1">
      <alignment vertical="center"/>
    </xf>
    <xf borderId="34" fillId="0" fontId="4" numFmtId="0" xfId="0" applyAlignment="1" applyBorder="1" applyFont="1">
      <alignment vertical="center"/>
    </xf>
    <xf borderId="35" fillId="0" fontId="4" numFmtId="0" xfId="0" applyAlignment="1" applyBorder="1" applyFont="1">
      <alignment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36" fillId="7" fontId="1" numFmtId="0" xfId="0" applyAlignment="1" applyBorder="1" applyFont="1">
      <alignment horizontal="center" vertical="center"/>
    </xf>
    <xf borderId="37" fillId="0" fontId="4" numFmtId="0" xfId="0" applyAlignment="1" applyBorder="1" applyFont="1">
      <alignment vertical="center"/>
    </xf>
    <xf borderId="38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39" fillId="0" fontId="4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center"/>
    </xf>
    <xf borderId="41" fillId="7" fontId="1" numFmtId="0" xfId="0" applyAlignment="1" applyBorder="1" applyFont="1">
      <alignment horizontal="center" vertical="center"/>
    </xf>
    <xf borderId="42" fillId="0" fontId="4" numFmtId="0" xfId="0" applyAlignment="1" applyBorder="1" applyFont="1">
      <alignment vertical="center"/>
    </xf>
    <xf borderId="43" fillId="0" fontId="4" numFmtId="0" xfId="0" applyAlignment="1" applyBorder="1" applyFont="1">
      <alignment vertical="center"/>
    </xf>
    <xf quotePrefix="1" borderId="16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5" fillId="7" fontId="1" numFmtId="0" xfId="0" applyAlignment="1" applyBorder="1" applyFont="1">
      <alignment horizontal="center" vertical="center"/>
    </xf>
    <xf borderId="46" fillId="0" fontId="4" numFmtId="0" xfId="0" applyAlignment="1" applyBorder="1" applyFont="1">
      <alignment vertical="center"/>
    </xf>
    <xf borderId="47" fillId="0" fontId="4" numFmtId="0" xfId="0" applyAlignment="1" applyBorder="1" applyFont="1">
      <alignment vertical="center"/>
    </xf>
    <xf borderId="48" fillId="0" fontId="1" numFmtId="0" xfId="0" applyAlignment="1" applyBorder="1" applyFont="1">
      <alignment horizontal="center" vertical="center"/>
    </xf>
    <xf borderId="49" fillId="0" fontId="4" numFmtId="0" xfId="0" applyAlignment="1" applyBorder="1" applyFont="1">
      <alignment vertical="center"/>
    </xf>
    <xf borderId="50" fillId="8" fontId="12" numFmtId="0" xfId="0" applyAlignment="1" applyBorder="1" applyFill="1" applyFont="1">
      <alignment horizontal="left" vertical="center"/>
    </xf>
    <xf borderId="51" fillId="0" fontId="4" numFmtId="0" xfId="0" applyAlignment="1" applyBorder="1" applyFont="1">
      <alignment vertical="center"/>
    </xf>
    <xf borderId="52" fillId="0" fontId="4" numFmtId="0" xfId="0" applyAlignment="1" applyBorder="1" applyFont="1">
      <alignment vertical="center"/>
    </xf>
    <xf borderId="16" fillId="2" fontId="11" numFmtId="0" xfId="0" applyAlignment="1" applyBorder="1" applyFont="1">
      <alignment horizontal="center" vertical="center"/>
    </xf>
    <xf borderId="53" fillId="0" fontId="4" numFmtId="0" xfId="0" applyAlignment="1" applyBorder="1" applyFont="1">
      <alignment vertical="center"/>
    </xf>
    <xf borderId="54" fillId="0" fontId="8" numFmtId="0" xfId="0" applyAlignment="1" applyBorder="1" applyFont="1">
      <alignment horizontal="left" shrinkToFit="0" vertical="center" wrapText="1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40" fillId="0" fontId="4" numFmtId="0" xfId="0" applyAlignment="1" applyBorder="1" applyFont="1">
      <alignment vertical="center"/>
    </xf>
    <xf borderId="57" fillId="8" fontId="12" numFmtId="0" xfId="0" applyAlignment="1" applyBorder="1" applyFont="1">
      <alignment horizontal="left" vertical="center"/>
    </xf>
    <xf borderId="58" fillId="0" fontId="4" numFmtId="0" xfId="0" applyAlignment="1" applyBorder="1" applyFont="1">
      <alignment vertical="center"/>
    </xf>
    <xf borderId="59" fillId="0" fontId="4" numFmtId="0" xfId="0" applyAlignment="1" applyBorder="1" applyFont="1">
      <alignment vertical="center"/>
    </xf>
    <xf borderId="16" fillId="2" fontId="10" numFmtId="0" xfId="0" applyAlignment="1" applyBorder="1" applyFont="1">
      <alignment horizontal="center" vertical="center"/>
    </xf>
    <xf borderId="60" fillId="3" fontId="13" numFmtId="0" xfId="0" applyAlignment="1" applyBorder="1" applyFont="1">
      <alignment horizontal="left" vertical="center"/>
    </xf>
    <xf borderId="61" fillId="0" fontId="4" numFmtId="0" xfId="0" applyAlignment="1" applyBorder="1" applyFont="1">
      <alignment vertical="center"/>
    </xf>
    <xf borderId="62" fillId="0" fontId="4" numFmtId="0" xfId="0" applyAlignment="1" applyBorder="1" applyFont="1">
      <alignment vertical="center"/>
    </xf>
    <xf borderId="63" fillId="0" fontId="4" numFmtId="0" xfId="0" applyAlignment="1" applyBorder="1" applyFont="1">
      <alignment vertical="center"/>
    </xf>
    <xf borderId="12" fillId="0" fontId="1" numFmtId="0" xfId="0" applyAlignment="1" applyBorder="1" applyFont="1">
      <alignment horizontal="left" vertical="center"/>
    </xf>
    <xf borderId="45" fillId="2" fontId="11" numFmtId="0" xfId="0" applyAlignment="1" applyBorder="1" applyFont="1">
      <alignment horizontal="center" vertical="center"/>
    </xf>
    <xf borderId="48" fillId="0" fontId="8" numFmtId="0" xfId="0" applyAlignment="1" applyBorder="1" applyFont="1">
      <alignment horizontal="left" vertical="center"/>
    </xf>
    <xf borderId="60" fillId="0" fontId="1" numFmtId="0" xfId="0" applyAlignment="1" applyBorder="1" applyFont="1">
      <alignment horizontal="left" vertical="center"/>
    </xf>
    <xf borderId="12" fillId="3" fontId="13" numFmtId="0" xfId="0" applyAlignment="1" applyBorder="1" applyFont="1">
      <alignment horizontal="left" vertical="center"/>
    </xf>
    <xf borderId="64" fillId="9" fontId="6" numFmtId="0" xfId="0" applyAlignment="1" applyBorder="1" applyFill="1" applyFont="1">
      <alignment horizontal="center" vertical="center"/>
    </xf>
    <xf borderId="65" fillId="0" fontId="4" numFmtId="0" xfId="0" applyAlignment="1" applyBorder="1" applyFont="1">
      <alignment vertical="center"/>
    </xf>
    <xf borderId="66" fillId="0" fontId="4" numFmtId="0" xfId="0" applyAlignment="1" applyBorder="1" applyFont="1">
      <alignment vertical="center"/>
    </xf>
    <xf borderId="67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vertical="center"/>
    </xf>
    <xf borderId="68" fillId="0" fontId="1" numFmtId="0" xfId="0" applyAlignment="1" applyBorder="1" applyFont="1">
      <alignment horizontal="center" vertical="center"/>
    </xf>
    <xf borderId="48" fillId="7" fontId="1" numFmtId="0" xfId="0" applyAlignment="1" applyBorder="1" applyFont="1">
      <alignment horizontal="center" vertical="center"/>
    </xf>
    <xf borderId="69" fillId="0" fontId="1" numFmtId="0" xfId="0" applyAlignment="1" applyBorder="1" applyFont="1">
      <alignment horizontal="center" vertical="center"/>
    </xf>
    <xf borderId="70" fillId="2" fontId="10" numFmtId="0" xfId="0" applyAlignment="1" applyBorder="1" applyFont="1">
      <alignment horizontal="center" vertical="center"/>
    </xf>
    <xf borderId="71" fillId="0" fontId="4" numFmtId="0" xfId="0" applyAlignment="1" applyBorder="1" applyFont="1">
      <alignment vertical="center"/>
    </xf>
    <xf borderId="70" fillId="2" fontId="11" numFmtId="0" xfId="0" applyAlignment="1" applyBorder="1" applyFont="1">
      <alignment horizontal="center" vertical="center"/>
    </xf>
    <xf borderId="60" fillId="0" fontId="8" numFmtId="0" xfId="0" applyAlignment="1" applyBorder="1" applyFont="1">
      <alignment horizontal="left" shrinkToFit="0" vertical="center" wrapText="1"/>
    </xf>
    <xf borderId="16" fillId="2" fontId="10" numFmtId="0" xfId="0" applyAlignment="1" applyBorder="1" applyFont="1">
      <alignment horizontal="center" shrinkToFit="0" vertical="center" wrapText="1"/>
    </xf>
    <xf borderId="27" fillId="2" fontId="10" numFmtId="0" xfId="0" applyAlignment="1" applyBorder="1" applyFont="1">
      <alignment horizontal="center" vertical="center"/>
    </xf>
    <xf borderId="48" fillId="0" fontId="8" numFmtId="0" xfId="0" applyAlignment="1" applyBorder="1" applyFont="1">
      <alignment horizontal="left" shrinkToFit="0" vertical="center" wrapText="1"/>
    </xf>
    <xf borderId="72" fillId="2" fontId="10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left" shrinkToFit="0" vertical="center" wrapText="1"/>
    </xf>
    <xf borderId="57" fillId="8" fontId="14" numFmtId="0" xfId="0" applyAlignment="1" applyBorder="1" applyFont="1">
      <alignment horizontal="left" vertical="center"/>
    </xf>
    <xf borderId="60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45" fillId="2" fontId="10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left" vertical="center"/>
    </xf>
    <xf quotePrefix="1" borderId="21" fillId="0" fontId="8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45" fillId="0" fontId="8" numFmtId="0" xfId="0" applyAlignment="1" applyBorder="1" applyFont="1">
      <alignment horizontal="center" vertical="center"/>
    </xf>
    <xf borderId="48" fillId="0" fontId="8" numFmtId="0" xfId="0" applyAlignment="1" applyBorder="1" applyFont="1">
      <alignment horizontal="center" vertical="center"/>
    </xf>
    <xf borderId="57" fillId="2" fontId="11" numFmtId="0" xfId="0" applyAlignment="1" applyBorder="1" applyFont="1">
      <alignment horizontal="center" vertical="center"/>
    </xf>
    <xf borderId="73" fillId="0" fontId="4" numFmtId="0" xfId="0" applyAlignment="1" applyBorder="1" applyFont="1">
      <alignment vertical="center"/>
    </xf>
    <xf borderId="74" fillId="0" fontId="1" numFmtId="0" xfId="0" applyAlignment="1" applyBorder="1" applyFont="1">
      <alignment horizontal="left" vertical="center"/>
    </xf>
    <xf borderId="74" fillId="0" fontId="8" numFmtId="0" xfId="0" applyAlignment="1" applyBorder="1" applyFont="1">
      <alignment horizontal="left" shrinkToFit="0" vertical="center" wrapText="1"/>
    </xf>
    <xf borderId="27" fillId="2" fontId="11" numFmtId="0" xfId="0" applyAlignment="1" applyBorder="1" applyFont="1">
      <alignment horizontal="center" vertical="center"/>
    </xf>
    <xf borderId="75" fillId="2" fontId="11" numFmtId="0" xfId="0" applyAlignment="1" applyBorder="1" applyFont="1">
      <alignment vertical="center"/>
    </xf>
    <xf borderId="74" fillId="2" fontId="11" numFmtId="0" xfId="0" applyAlignment="1" applyBorder="1" applyFont="1">
      <alignment horizontal="center" vertical="center"/>
    </xf>
    <xf borderId="76" fillId="2" fontId="10" numFmtId="0" xfId="0" applyAlignment="1" applyBorder="1" applyFont="1">
      <alignment horizontal="center" vertical="center"/>
    </xf>
    <xf borderId="77" fillId="2" fontId="10" numFmtId="0" xfId="0" applyAlignment="1" applyBorder="1" applyFont="1">
      <alignment horizontal="center" vertical="center"/>
    </xf>
    <xf borderId="78" fillId="0" fontId="1" numFmtId="0" xfId="0" applyAlignment="1" applyBorder="1" applyFont="1">
      <alignment horizontal="center" vertical="center"/>
    </xf>
    <xf borderId="79" fillId="0" fontId="8" numFmtId="0" xfId="0" applyAlignment="1" applyBorder="1" applyFont="1">
      <alignment horizontal="center" vertical="center"/>
    </xf>
    <xf borderId="79" fillId="0" fontId="1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10" fillId="0" fontId="8" numFmtId="0" xfId="0" applyAlignment="1" applyBorder="1" applyFont="1">
      <alignment horizontal="center" vertical="center"/>
    </xf>
    <xf borderId="50" fillId="8" fontId="14" numFmtId="0" xfId="0" applyAlignment="1" applyBorder="1" applyFont="1">
      <alignment horizontal="left" vertical="center"/>
    </xf>
    <xf borderId="80" fillId="10" fontId="15" numFmtId="0" xfId="0" applyAlignment="1" applyBorder="1" applyFill="1" applyFont="1">
      <alignment horizontal="center" vertical="center"/>
    </xf>
    <xf borderId="81" fillId="10" fontId="15" numFmtId="0" xfId="0" applyAlignment="1" applyBorder="1" applyFont="1">
      <alignment horizontal="center" vertical="center"/>
    </xf>
    <xf borderId="82" fillId="10" fontId="15" numFmtId="0" xfId="0" applyAlignment="1" applyBorder="1" applyFont="1">
      <alignment horizontal="left" vertical="center"/>
    </xf>
    <xf borderId="83" fillId="0" fontId="4" numFmtId="0" xfId="0" applyAlignment="1" applyBorder="1" applyFont="1">
      <alignment vertical="center"/>
    </xf>
    <xf borderId="84" fillId="0" fontId="4" numFmtId="0" xfId="0" applyAlignment="1" applyBorder="1" applyFont="1">
      <alignment vertical="center"/>
    </xf>
    <xf borderId="60" fillId="0" fontId="1" numFmtId="0" xfId="0" applyAlignment="1" applyBorder="1" applyFont="1">
      <alignment horizontal="left" shrinkToFit="0" vertical="center" wrapText="1"/>
    </xf>
    <xf borderId="48" fillId="3" fontId="13" numFmtId="0" xfId="0" applyAlignment="1" applyBorder="1" applyFont="1">
      <alignment horizontal="left" vertical="center"/>
    </xf>
    <xf borderId="85" fillId="10" fontId="15" numFmtId="0" xfId="0" applyAlignment="1" applyBorder="1" applyFont="1">
      <alignment horizontal="center" vertical="center"/>
    </xf>
    <xf borderId="86" fillId="10" fontId="15" numFmtId="0" xfId="0" applyAlignment="1" applyBorder="1" applyFont="1">
      <alignment horizontal="center" vertical="center"/>
    </xf>
    <xf borderId="87" fillId="10" fontId="15" numFmtId="0" xfId="0" applyAlignment="1" applyBorder="1" applyFont="1">
      <alignment horizontal="left" vertical="center"/>
    </xf>
    <xf borderId="88" fillId="0" fontId="4" numFmtId="0" xfId="0" applyAlignment="1" applyBorder="1" applyFont="1">
      <alignment vertical="center"/>
    </xf>
    <xf borderId="89" fillId="0" fontId="4" numFmtId="0" xfId="0" applyAlignment="1" applyBorder="1" applyFont="1">
      <alignment vertical="center"/>
    </xf>
    <xf borderId="12" fillId="0" fontId="8" numFmtId="0" xfId="0" applyAlignment="1" applyBorder="1" applyFont="1">
      <alignment horizontal="left" shrinkToFit="0" vertical="center" wrapText="1"/>
    </xf>
    <xf borderId="90" fillId="7" fontId="1" numFmtId="0" xfId="0" applyAlignment="1" applyBorder="1" applyFont="1">
      <alignment vertical="center"/>
    </xf>
    <xf borderId="91" fillId="7" fontId="1" numFmtId="0" xfId="0" applyAlignment="1" applyBorder="1" applyFont="1">
      <alignment vertical="center"/>
    </xf>
    <xf borderId="92" fillId="7" fontId="1" numFmtId="0" xfId="0" applyAlignment="1" applyBorder="1" applyFont="1">
      <alignment vertical="center"/>
    </xf>
    <xf borderId="44" fillId="0" fontId="8" numFmtId="0" xfId="0" applyAlignment="1" applyBorder="1" applyFont="1">
      <alignment horizontal="center" vertical="center"/>
    </xf>
    <xf borderId="93" fillId="4" fontId="1" numFmtId="0" xfId="0" applyAlignment="1" applyBorder="1" applyFont="1">
      <alignment horizontal="center" vertical="center"/>
    </xf>
    <xf borderId="94" fillId="4" fontId="1" numFmtId="0" xfId="0" applyAlignment="1" applyBorder="1" applyFont="1">
      <alignment vertical="center"/>
    </xf>
    <xf borderId="95" fillId="4" fontId="1" numFmtId="0" xfId="0" applyAlignment="1" applyBorder="1" applyFont="1">
      <alignment vertical="center"/>
    </xf>
    <xf borderId="94" fillId="4" fontId="1" numFmtId="0" xfId="0" applyAlignment="1" applyBorder="1" applyFont="1">
      <alignment horizontal="center" vertical="center"/>
    </xf>
    <xf borderId="96" fillId="4" fontId="1" numFmtId="0" xfId="0" applyAlignment="1" applyBorder="1" applyFont="1">
      <alignment vertical="center"/>
    </xf>
    <xf borderId="93" fillId="4" fontId="1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97" fillId="2" fontId="10" numFmtId="0" xfId="0" applyAlignment="1" applyBorder="1" applyFont="1">
      <alignment horizontal="center" vertical="center"/>
    </xf>
    <xf borderId="98" fillId="0" fontId="4" numFmtId="0" xfId="0" applyAlignment="1" applyBorder="1" applyFont="1">
      <alignment vertical="center"/>
    </xf>
    <xf borderId="99" fillId="0" fontId="8" numFmtId="0" xfId="0" applyAlignment="1" applyBorder="1" applyFont="1">
      <alignment horizontal="left" vertical="center"/>
    </xf>
    <xf borderId="0" fillId="0" fontId="16" numFmtId="0" xfId="0" applyAlignment="1" applyFont="1">
      <alignment vertical="center"/>
    </xf>
    <xf borderId="57" fillId="0" fontId="8" numFmtId="0" xfId="0" applyAlignment="1" applyBorder="1" applyFont="1">
      <alignment horizontal="left" vertical="center"/>
    </xf>
    <xf borderId="72" fillId="2" fontId="11" numFmtId="0" xfId="0" applyAlignment="1" applyBorder="1" applyFont="1">
      <alignment horizontal="center" vertical="center"/>
    </xf>
    <xf borderId="57" fillId="2" fontId="10" numFmtId="0" xfId="0" applyAlignment="1" applyBorder="1" applyFont="1">
      <alignment horizontal="center" vertical="center"/>
    </xf>
    <xf borderId="74" fillId="0" fontId="8" numFmtId="0" xfId="0" applyAlignment="1" applyBorder="1" applyFont="1">
      <alignment horizontal="left" vertical="center"/>
    </xf>
    <xf borderId="100" fillId="0" fontId="4" numFmtId="0" xfId="0" applyAlignment="1" applyBorder="1" applyFont="1">
      <alignment vertical="center"/>
    </xf>
    <xf borderId="101" fillId="7" fontId="1" numFmtId="0" xfId="0" applyAlignment="1" applyBorder="1" applyFont="1">
      <alignment horizontal="center" vertical="center"/>
    </xf>
    <xf borderId="68" fillId="0" fontId="8" numFmtId="0" xfId="0" applyAlignment="1" applyBorder="1" applyFont="1">
      <alignment horizontal="center" vertical="center"/>
    </xf>
    <xf borderId="102" fillId="7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vertical="center"/>
    </xf>
    <xf borderId="103" fillId="0" fontId="4" numFmtId="0" xfId="0" applyAlignment="1" applyBorder="1" applyFont="1">
      <alignment vertical="center"/>
    </xf>
    <xf borderId="104" fillId="0" fontId="4" numFmtId="0" xfId="0" applyAlignment="1" applyBorder="1" applyFont="1">
      <alignment vertical="center"/>
    </xf>
    <xf borderId="99" fillId="0" fontId="4" numFmtId="0" xfId="0" applyAlignment="1" applyBorder="1" applyFont="1">
      <alignment vertical="center"/>
    </xf>
    <xf borderId="32" fillId="4" fontId="1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left" vertical="center"/>
    </xf>
    <xf borderId="97" fillId="2" fontId="1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left" vertical="center"/>
    </xf>
    <xf borderId="105" fillId="9" fontId="6" numFmtId="0" xfId="0" applyAlignment="1" applyBorder="1" applyFont="1">
      <alignment horizontal="center" vertical="center"/>
    </xf>
    <xf borderId="106" fillId="0" fontId="4" numFmtId="0" xfId="0" applyAlignment="1" applyBorder="1" applyFont="1">
      <alignment vertical="center"/>
    </xf>
    <xf borderId="107" fillId="0" fontId="4" numFmtId="0" xfId="0" applyAlignment="1" applyBorder="1" applyFont="1">
      <alignment vertical="center"/>
    </xf>
    <xf borderId="0" fillId="0" fontId="16" numFmtId="0" xfId="0" applyAlignment="1" applyFont="1">
      <alignment readingOrder="0" vertical="center"/>
    </xf>
    <xf quotePrefix="1" borderId="0" fillId="0" fontId="16" numFmtId="0" xfId="0" applyAlignment="1" applyFont="1">
      <alignment readingOrder="0" vertical="center"/>
    </xf>
    <xf borderId="0" fillId="0" fontId="16" numFmtId="11" xfId="0" applyAlignment="1" applyFont="1" applyNumberFormat="1">
      <alignment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A5A5A5"/>
          <bgColor rgb="FFA5A5A5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676275</xdr:colOff>
      <xdr:row>6</xdr:row>
      <xdr:rowOff>0</xdr:rowOff>
    </xdr:from>
    <xdr:ext cx="10458450" cy="6191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16</xdr:row>
      <xdr:rowOff>85725</xdr:rowOff>
    </xdr:from>
    <xdr:ext cx="3629025" cy="828675"/>
    <xdr:sp>
      <xdr:nvSpPr>
        <xdr:cNvPr id="3" name="Shape 3"/>
        <xdr:cNvSpPr txBox="1"/>
      </xdr:nvSpPr>
      <xdr:spPr>
        <a:xfrm>
          <a:off x="3536250" y="3365663"/>
          <a:ext cx="3619500" cy="8286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- Normal burning board에서는 PG_0</a:t>
          </a: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만 사용</a:t>
          </a:r>
          <a:endParaRPr b="1" sz="1600">
            <a:solidFill>
              <a:srgbClr val="0000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- PG_3~1, TG_1~0 은 HSBI를 위한 옵션</a:t>
          </a:r>
          <a:endParaRPr b="1" sz="1600">
            <a:solidFill>
              <a:srgbClr val="0000F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16</xdr:row>
      <xdr:rowOff>47625</xdr:rowOff>
    </xdr:from>
    <xdr:ext cx="3648075" cy="952500"/>
    <xdr:sp>
      <xdr:nvSpPr>
        <xdr:cNvPr id="4" name="Shape 4"/>
        <xdr:cNvSpPr txBox="1"/>
      </xdr:nvSpPr>
      <xdr:spPr>
        <a:xfrm>
          <a:off x="3521963" y="3303750"/>
          <a:ext cx="3648075" cy="952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- WRITE</a:t>
          </a: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: multiple FPGA 동시 쓰기 가능</a:t>
          </a:r>
          <a:endParaRPr b="1" sz="16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- READ   : 하나의 FPGA만 읽기 가능</a:t>
          </a:r>
          <a:endParaRPr b="1" sz="16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16</xdr:row>
      <xdr:rowOff>123825</xdr:rowOff>
    </xdr:from>
    <xdr:ext cx="3648075" cy="1333500"/>
    <xdr:sp>
      <xdr:nvSpPr>
        <xdr:cNvPr id="5" name="Shape 5"/>
        <xdr:cNvSpPr txBox="1"/>
      </xdr:nvSpPr>
      <xdr:spPr>
        <a:xfrm>
          <a:off x="3521963" y="3113250"/>
          <a:ext cx="3648075" cy="1333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- not for Normal Burning, only for HSBI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6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- WRITE</a:t>
          </a: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: multiple FPGA 동시 쓰기 가능</a:t>
          </a:r>
          <a:endParaRPr sz="16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- READ   : 하나의 FPGA만 읽기 가능</a:t>
          </a:r>
          <a:endParaRPr sz="16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219075</xdr:colOff>
      <xdr:row>31</xdr:row>
      <xdr:rowOff>9525</xdr:rowOff>
    </xdr:from>
    <xdr:ext cx="6153150" cy="1628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37</xdr:row>
      <xdr:rowOff>28575</xdr:rowOff>
    </xdr:from>
    <xdr:ext cx="3771900" cy="390525"/>
    <xdr:sp>
      <xdr:nvSpPr>
        <xdr:cNvPr id="6" name="Shape 6"/>
        <xdr:cNvSpPr txBox="1"/>
      </xdr:nvSpPr>
      <xdr:spPr>
        <a:xfrm>
          <a:off x="3464813" y="3584738"/>
          <a:ext cx="3762375" cy="3905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- 4-bit ALERT/FAULT : for DPS_5/4/2/1</a:t>
          </a:r>
          <a:endParaRPr sz="1400"/>
        </a:p>
      </xdr:txBody>
    </xdr:sp>
    <xdr:clientData fLocksWithSheet="0"/>
  </xdr:oneCellAnchor>
  <xdr:oneCellAnchor>
    <xdr:from>
      <xdr:col>1</xdr:col>
      <xdr:colOff>733425</xdr:colOff>
      <xdr:row>26</xdr:row>
      <xdr:rowOff>104775</xdr:rowOff>
    </xdr:from>
    <xdr:ext cx="3771900" cy="1400175"/>
    <xdr:sp>
      <xdr:nvSpPr>
        <xdr:cNvPr id="7" name="Shape 7"/>
        <xdr:cNvSpPr txBox="1"/>
      </xdr:nvSpPr>
      <xdr:spPr>
        <a:xfrm>
          <a:off x="3464813" y="3084675"/>
          <a:ext cx="3762375" cy="1390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- SCAN</a:t>
          </a: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: scan the I2C slave address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 + CMD : SCAN, LTC.No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 + RESULT 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    - RW.DATA.0</a:t>
          </a: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: slave address count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    - RW.DATA.1 : desired slave address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     - RW.DATA.2 ~ : scaned address.0 ~ N</a:t>
          </a:r>
          <a:endParaRPr b="1" sz="1600">
            <a:solidFill>
              <a:srgbClr val="0000FF"/>
            </a:solidFill>
          </a:endParaRPr>
        </a:p>
      </xdr:txBody>
    </xdr:sp>
    <xdr:clientData fLocksWithSheet="0"/>
  </xdr:oneCellAnchor>
  <xdr:oneCellAnchor>
    <xdr:from>
      <xdr:col>29</xdr:col>
      <xdr:colOff>152400</xdr:colOff>
      <xdr:row>26</xdr:row>
      <xdr:rowOff>95250</xdr:rowOff>
    </xdr:from>
    <xdr:ext cx="3238500" cy="27432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17</xdr:row>
      <xdr:rowOff>85725</xdr:rowOff>
    </xdr:from>
    <xdr:ext cx="3648075" cy="962025"/>
    <xdr:sp>
      <xdr:nvSpPr>
        <xdr:cNvPr id="8" name="Shape 8"/>
        <xdr:cNvSpPr txBox="1"/>
      </xdr:nvSpPr>
      <xdr:spPr>
        <a:xfrm>
          <a:off x="3521963" y="3298988"/>
          <a:ext cx="3648075" cy="9620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- WRITE</a:t>
          </a: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: multiple PE chip 동시 쓰기 가능</a:t>
          </a:r>
          <a:endParaRPr b="1" sz="16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- READ   : 하나의 PE chip만 읽기 가능</a:t>
          </a:r>
          <a:endParaRPr b="1" sz="16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25</xdr:col>
      <xdr:colOff>95250</xdr:colOff>
      <xdr:row>16</xdr:row>
      <xdr:rowOff>161925</xdr:rowOff>
    </xdr:from>
    <xdr:ext cx="9001125" cy="2476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4.0" topLeftCell="F15" activePane="bottomRight" state="frozen"/>
      <selection activeCell="F1" sqref="F1" pane="topRight"/>
      <selection activeCell="A15" sqref="A15" pane="bottomLeft"/>
      <selection activeCell="F15" sqref="F15" pane="bottomRight"/>
    </sheetView>
  </sheetViews>
  <sheetFormatPr customHeight="1" defaultColWidth="12.63" defaultRowHeight="15.0"/>
  <cols>
    <col customWidth="1" min="1" max="1" width="3.13"/>
    <col customWidth="1" min="2" max="2" width="13.63"/>
    <col customWidth="1" min="3" max="3" width="18.38"/>
    <col customWidth="1" min="4" max="4" width="14.13"/>
    <col customWidth="1" min="5" max="5" width="77.0"/>
    <col customWidth="1" min="6" max="6" width="16.13"/>
    <col customWidth="1" min="7" max="7" width="16.63"/>
    <col customWidth="1" min="8" max="8" width="36.88"/>
    <col customWidth="1" min="9" max="26" width="7.63"/>
  </cols>
  <sheetData>
    <row r="1" ht="14.25" customHeight="1">
      <c r="A1" s="1"/>
      <c r="B1" s="1"/>
      <c r="C1" s="1"/>
      <c r="D1" s="2"/>
      <c r="F1" s="1"/>
      <c r="G1" s="1"/>
    </row>
    <row r="2" ht="14.25" customHeight="1">
      <c r="A2" s="1"/>
      <c r="B2" s="3" t="s">
        <v>0</v>
      </c>
      <c r="C2" s="3" t="s">
        <v>1</v>
      </c>
      <c r="D2" s="4" t="s">
        <v>2</v>
      </c>
      <c r="E2" s="3" t="s">
        <v>3</v>
      </c>
      <c r="F2" s="3" t="s">
        <v>4</v>
      </c>
      <c r="G2" s="3" t="s">
        <v>5</v>
      </c>
    </row>
    <row r="3" ht="14.25" customHeight="1">
      <c r="A3" s="1"/>
      <c r="B3" s="5" t="s">
        <v>6</v>
      </c>
      <c r="C3" s="6" t="str">
        <f t="shared" ref="C3:D3" si="1">C15</f>
        <v>BOARD-ID</v>
      </c>
      <c r="D3" s="2">
        <f t="shared" si="1"/>
        <v>0.5</v>
      </c>
      <c r="E3" s="7" t="s">
        <v>7</v>
      </c>
      <c r="F3" s="8">
        <f>B15</f>
        <v>44454</v>
      </c>
      <c r="G3" s="8" t="str">
        <f>G15</f>
        <v/>
      </c>
    </row>
    <row r="4" ht="14.25" customHeight="1">
      <c r="A4" s="1"/>
      <c r="B4" s="9"/>
      <c r="C4" s="10" t="str">
        <f t="shared" ref="C4:D4" si="2">C18</f>
        <v>CFGx8-C2X</v>
      </c>
      <c r="D4" s="2">
        <f t="shared" si="2"/>
        <v>0.5</v>
      </c>
      <c r="E4" s="7" t="s">
        <v>8</v>
      </c>
      <c r="F4" s="11">
        <f>B18</f>
        <v>44454</v>
      </c>
      <c r="G4" s="11" t="str">
        <f>G18</f>
        <v/>
      </c>
    </row>
    <row r="5" ht="14.25" customHeight="1">
      <c r="A5" s="1"/>
      <c r="B5" s="9"/>
      <c r="C5" s="10" t="str">
        <f t="shared" ref="C5:D5" si="3">C21</f>
        <v>LBx8-C2P</v>
      </c>
      <c r="D5" s="2">
        <f t="shared" si="3"/>
        <v>0.5</v>
      </c>
      <c r="E5" s="7" t="s">
        <v>9</v>
      </c>
      <c r="F5" s="11">
        <f>B21</f>
        <v>44455</v>
      </c>
      <c r="G5" s="11" t="str">
        <f>G21</f>
        <v/>
      </c>
    </row>
    <row r="6" ht="14.25" customHeight="1">
      <c r="A6" s="1"/>
      <c r="B6" s="9"/>
      <c r="C6" s="10" t="str">
        <f t="shared" ref="C6:D6" si="4">C24</f>
        <v>LBx8-C2T</v>
      </c>
      <c r="D6" s="2">
        <f t="shared" si="4"/>
        <v>0.5</v>
      </c>
      <c r="E6" s="7" t="s">
        <v>10</v>
      </c>
      <c r="F6" s="11">
        <f>B24</f>
        <v>44455</v>
      </c>
      <c r="G6" s="11" t="str">
        <f>G24</f>
        <v/>
      </c>
    </row>
    <row r="7" ht="14.25" customHeight="1">
      <c r="A7" s="1"/>
      <c r="B7" s="9"/>
      <c r="C7" s="10" t="str">
        <f t="shared" ref="C7:D7" si="5">C27</f>
        <v>ADC-AD7606</v>
      </c>
      <c r="D7" s="2">
        <f t="shared" si="5"/>
        <v>0.5</v>
      </c>
      <c r="E7" s="7" t="s">
        <v>11</v>
      </c>
      <c r="F7" s="11">
        <f>B27</f>
        <v>44455</v>
      </c>
      <c r="G7" s="11" t="str">
        <f>G27</f>
        <v/>
      </c>
    </row>
    <row r="8" ht="14.25" customHeight="1">
      <c r="A8" s="1"/>
      <c r="B8" s="9"/>
      <c r="C8" s="10" t="str">
        <f t="shared" ref="C8:D8" si="6">C30</f>
        <v>DAC-DAC7578</v>
      </c>
      <c r="D8" s="2">
        <f t="shared" si="6"/>
        <v>0.6</v>
      </c>
      <c r="E8" s="7" t="s">
        <v>12</v>
      </c>
      <c r="F8" s="11">
        <f>B30</f>
        <v>44467</v>
      </c>
      <c r="G8" s="11" t="str">
        <f>G30</f>
        <v/>
      </c>
    </row>
    <row r="9" ht="14.25" customHeight="1">
      <c r="A9" s="1"/>
      <c r="B9" s="9"/>
      <c r="C9" s="10" t="str">
        <f t="shared" ref="C9:D9" si="7">C34</f>
        <v>DPS-I2C</v>
      </c>
      <c r="D9" s="2">
        <f t="shared" si="7"/>
        <v>0.5</v>
      </c>
      <c r="E9" s="7" t="s">
        <v>13</v>
      </c>
      <c r="F9" s="11">
        <f>B34</f>
        <v>44455</v>
      </c>
      <c r="G9" s="11" t="str">
        <f>G34</f>
        <v/>
      </c>
    </row>
    <row r="10" ht="14.25" customHeight="1">
      <c r="A10" s="1"/>
      <c r="B10" s="9"/>
      <c r="C10" s="10" t="str">
        <f t="shared" ref="C10:D10" si="8">C37</f>
        <v>PE-PE800</v>
      </c>
      <c r="D10" s="2">
        <f t="shared" si="8"/>
        <v>0.5</v>
      </c>
      <c r="E10" s="7" t="s">
        <v>14</v>
      </c>
      <c r="F10" s="11">
        <f>B37</f>
        <v>44455</v>
      </c>
      <c r="G10" s="11" t="str">
        <f>G37</f>
        <v/>
      </c>
    </row>
    <row r="11" ht="14.25" customHeight="1">
      <c r="A11" s="1"/>
      <c r="B11" s="12"/>
      <c r="C11" s="13" t="str">
        <f t="shared" ref="C11:D11" si="9">C40</f>
        <v>PJT-INFO</v>
      </c>
      <c r="D11" s="14">
        <f t="shared" si="9"/>
        <v>0.5</v>
      </c>
      <c r="E11" s="15" t="s">
        <v>15</v>
      </c>
      <c r="F11" s="16">
        <f>B40</f>
        <v>44455</v>
      </c>
      <c r="G11" s="16" t="str">
        <f>G40</f>
        <v/>
      </c>
    </row>
    <row r="12" ht="14.25" customHeight="1">
      <c r="A12" s="1"/>
      <c r="B12" s="1"/>
      <c r="C12" s="1"/>
      <c r="D12" s="2"/>
      <c r="F12" s="1"/>
      <c r="G12" s="1"/>
    </row>
    <row r="13" ht="14.25" customHeight="1">
      <c r="A13" s="1"/>
      <c r="B13" s="1"/>
      <c r="C13" s="1"/>
      <c r="D13" s="2"/>
      <c r="F13" s="1"/>
      <c r="G13" s="1"/>
    </row>
    <row r="14" ht="14.25" customHeight="1">
      <c r="A14" s="17" t="s">
        <v>16</v>
      </c>
      <c r="B14" s="17" t="s">
        <v>17</v>
      </c>
      <c r="C14" s="17" t="s">
        <v>1</v>
      </c>
      <c r="D14" s="18" t="s">
        <v>2</v>
      </c>
      <c r="E14" s="17" t="s">
        <v>18</v>
      </c>
      <c r="F14" s="17" t="s">
        <v>19</v>
      </c>
      <c r="G14" s="17" t="s">
        <v>20</v>
      </c>
      <c r="H14" s="17" t="s">
        <v>21</v>
      </c>
    </row>
    <row r="15" ht="14.25" customHeight="1">
      <c r="A15" s="19" t="s">
        <v>22</v>
      </c>
      <c r="B15" s="20">
        <v>44454.0</v>
      </c>
      <c r="C15" s="21" t="s">
        <v>23</v>
      </c>
      <c r="D15" s="22">
        <v>0.5</v>
      </c>
      <c r="E15" s="23" t="s">
        <v>24</v>
      </c>
      <c r="F15" s="24" t="s">
        <v>25</v>
      </c>
      <c r="G15" s="2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1"/>
      <c r="B16" s="25"/>
      <c r="C16" s="1"/>
      <c r="D16" s="2"/>
      <c r="F16" s="1"/>
      <c r="G16" s="1"/>
    </row>
    <row r="17" ht="14.25" customHeight="1">
      <c r="A17" s="1"/>
      <c r="B17" s="1"/>
      <c r="C17" s="1"/>
      <c r="D17" s="2"/>
      <c r="F17" s="1"/>
      <c r="G17" s="1"/>
    </row>
    <row r="18" ht="14.25" customHeight="1">
      <c r="A18" s="21" t="s">
        <v>22</v>
      </c>
      <c r="B18" s="20">
        <v>44454.0</v>
      </c>
      <c r="C18" s="21" t="s">
        <v>26</v>
      </c>
      <c r="D18" s="22">
        <v>0.5</v>
      </c>
      <c r="E18" s="23" t="s">
        <v>24</v>
      </c>
      <c r="F18" s="24" t="s">
        <v>25</v>
      </c>
      <c r="G18" s="20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1"/>
      <c r="B19" s="1"/>
      <c r="C19" s="1"/>
      <c r="D19" s="2"/>
      <c r="F19" s="1"/>
      <c r="G19" s="1"/>
    </row>
    <row r="20" ht="14.25" customHeight="1">
      <c r="A20" s="1"/>
      <c r="B20" s="1"/>
      <c r="C20" s="1"/>
      <c r="D20" s="2"/>
      <c r="F20" s="1"/>
      <c r="G20" s="1"/>
    </row>
    <row r="21" ht="14.25" customHeight="1">
      <c r="A21" s="21" t="s">
        <v>22</v>
      </c>
      <c r="B21" s="20">
        <v>44455.0</v>
      </c>
      <c r="C21" s="21" t="s">
        <v>27</v>
      </c>
      <c r="D21" s="22">
        <v>0.5</v>
      </c>
      <c r="E21" s="23" t="s">
        <v>24</v>
      </c>
      <c r="F21" s="24" t="s">
        <v>25</v>
      </c>
      <c r="G21" s="20"/>
      <c r="H21" s="23"/>
    </row>
    <row r="22" ht="14.25" customHeight="1">
      <c r="A22" s="1"/>
      <c r="B22" s="25"/>
      <c r="C22" s="1"/>
      <c r="D22" s="2"/>
      <c r="F22" s="25"/>
      <c r="G22" s="25"/>
    </row>
    <row r="23" ht="14.25" customHeight="1">
      <c r="A23" s="1"/>
      <c r="B23" s="1"/>
      <c r="C23" s="1"/>
      <c r="D23" s="2"/>
      <c r="F23" s="1"/>
      <c r="G23" s="1"/>
    </row>
    <row r="24" ht="14.25" customHeight="1">
      <c r="A24" s="21" t="s">
        <v>22</v>
      </c>
      <c r="B24" s="20">
        <v>44455.0</v>
      </c>
      <c r="C24" s="21" t="s">
        <v>28</v>
      </c>
      <c r="D24" s="22">
        <v>0.5</v>
      </c>
      <c r="E24" s="23" t="s">
        <v>24</v>
      </c>
      <c r="F24" s="24" t="s">
        <v>25</v>
      </c>
      <c r="G24" s="20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1"/>
      <c r="B25" s="1"/>
      <c r="C25" s="1"/>
      <c r="D25" s="2"/>
      <c r="F25" s="1"/>
      <c r="G25" s="1"/>
    </row>
    <row r="26" ht="14.25" customHeight="1">
      <c r="A26" s="1"/>
      <c r="B26" s="1"/>
      <c r="C26" s="1"/>
      <c r="D26" s="2"/>
      <c r="F26" s="1"/>
      <c r="G26" s="1"/>
    </row>
    <row r="27" ht="14.25" customHeight="1">
      <c r="A27" s="21" t="s">
        <v>22</v>
      </c>
      <c r="B27" s="20">
        <v>44455.0</v>
      </c>
      <c r="C27" s="21" t="s">
        <v>29</v>
      </c>
      <c r="D27" s="22">
        <v>0.5</v>
      </c>
      <c r="E27" s="23" t="s">
        <v>24</v>
      </c>
      <c r="F27" s="24" t="s">
        <v>25</v>
      </c>
      <c r="G27" s="20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1"/>
      <c r="B28" s="1"/>
      <c r="C28" s="1"/>
      <c r="D28" s="2"/>
      <c r="F28" s="1"/>
      <c r="G28" s="1"/>
    </row>
    <row r="29" ht="14.25" customHeight="1">
      <c r="A29" s="1"/>
      <c r="B29" s="1"/>
      <c r="C29" s="1"/>
      <c r="D29" s="2"/>
      <c r="F29" s="1"/>
      <c r="G29" s="1"/>
    </row>
    <row r="30" ht="14.25" customHeight="1">
      <c r="A30" s="21" t="s">
        <v>22</v>
      </c>
      <c r="B30" s="20">
        <v>44467.0</v>
      </c>
      <c r="C30" s="21" t="s">
        <v>30</v>
      </c>
      <c r="D30" s="22">
        <v>0.6</v>
      </c>
      <c r="E30" s="23" t="s">
        <v>31</v>
      </c>
      <c r="F30" s="24" t="s">
        <v>25</v>
      </c>
      <c r="G30" s="20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21"/>
      <c r="B31" s="25">
        <v>44455.0</v>
      </c>
      <c r="C31" s="26" t="s">
        <v>30</v>
      </c>
      <c r="D31" s="2">
        <v>0.5</v>
      </c>
      <c r="E31" s="27" t="s">
        <v>24</v>
      </c>
      <c r="F31" s="24" t="s">
        <v>25</v>
      </c>
      <c r="G31" s="20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1"/>
      <c r="B32" s="1"/>
      <c r="C32" s="1"/>
      <c r="D32" s="2"/>
      <c r="F32" s="1"/>
      <c r="G32" s="1"/>
    </row>
    <row r="33" ht="14.25" customHeight="1">
      <c r="A33" s="1"/>
      <c r="B33" s="1"/>
      <c r="C33" s="1"/>
      <c r="D33" s="2"/>
      <c r="F33" s="1"/>
      <c r="G33" s="1"/>
    </row>
    <row r="34" ht="14.25" customHeight="1">
      <c r="A34" s="21" t="s">
        <v>22</v>
      </c>
      <c r="B34" s="20">
        <v>44455.0</v>
      </c>
      <c r="C34" s="21" t="s">
        <v>32</v>
      </c>
      <c r="D34" s="22">
        <v>0.5</v>
      </c>
      <c r="E34" s="23" t="s">
        <v>24</v>
      </c>
      <c r="F34" s="28" t="s">
        <v>25</v>
      </c>
      <c r="G34" s="20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1"/>
      <c r="B35" s="1"/>
      <c r="C35" s="1"/>
      <c r="D35" s="2"/>
      <c r="F35" s="1"/>
      <c r="G35" s="1"/>
    </row>
    <row r="36" ht="14.25" customHeight="1">
      <c r="A36" s="1"/>
      <c r="B36" s="1"/>
      <c r="C36" s="1"/>
      <c r="D36" s="2"/>
      <c r="F36" s="1"/>
      <c r="G36" s="1"/>
    </row>
    <row r="37" ht="14.25" customHeight="1">
      <c r="A37" s="21" t="s">
        <v>22</v>
      </c>
      <c r="B37" s="20">
        <v>44455.0</v>
      </c>
      <c r="C37" s="21" t="s">
        <v>33</v>
      </c>
      <c r="D37" s="22">
        <v>0.5</v>
      </c>
      <c r="E37" s="23" t="s">
        <v>24</v>
      </c>
      <c r="F37" s="28" t="s">
        <v>25</v>
      </c>
      <c r="G37" s="20"/>
      <c r="H37" s="23"/>
    </row>
    <row r="38" ht="14.25" customHeight="1">
      <c r="A38" s="1"/>
      <c r="B38" s="1"/>
      <c r="C38" s="1"/>
      <c r="D38" s="2"/>
      <c r="F38" s="1"/>
      <c r="G38" s="1"/>
    </row>
    <row r="39" ht="14.25" customHeight="1">
      <c r="A39" s="1"/>
      <c r="B39" s="1"/>
      <c r="C39" s="1"/>
      <c r="D39" s="2"/>
      <c r="F39" s="1"/>
      <c r="G39" s="1"/>
    </row>
    <row r="40" ht="14.25" customHeight="1">
      <c r="A40" s="21" t="s">
        <v>22</v>
      </c>
      <c r="B40" s="20">
        <v>44455.0</v>
      </c>
      <c r="C40" s="19" t="s">
        <v>34</v>
      </c>
      <c r="D40" s="22">
        <v>0.5</v>
      </c>
      <c r="E40" s="23" t="s">
        <v>24</v>
      </c>
      <c r="F40" s="28" t="s">
        <v>25</v>
      </c>
      <c r="G40" s="20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1"/>
      <c r="B41" s="1"/>
      <c r="C41" s="1"/>
      <c r="D41" s="2"/>
      <c r="F41" s="1"/>
      <c r="G41" s="1"/>
    </row>
    <row r="42" ht="14.25" customHeight="1">
      <c r="A42" s="1"/>
      <c r="B42" s="1"/>
      <c r="C42" s="1"/>
      <c r="D42" s="2"/>
      <c r="F42" s="1"/>
      <c r="G42" s="1"/>
    </row>
    <row r="43" ht="14.25" customHeight="1">
      <c r="A43" s="1"/>
      <c r="B43" s="1"/>
      <c r="C43" s="1"/>
      <c r="D43" s="2"/>
      <c r="F43" s="1"/>
      <c r="G43" s="1"/>
    </row>
    <row r="44" ht="14.25" customHeight="1">
      <c r="A44" s="1"/>
      <c r="B44" s="1"/>
      <c r="C44" s="1"/>
      <c r="D44" s="2"/>
      <c r="F44" s="1"/>
      <c r="G44" s="1"/>
    </row>
    <row r="45" ht="14.25" customHeight="1">
      <c r="A45" s="1"/>
      <c r="B45" s="1"/>
      <c r="C45" s="1"/>
      <c r="D45" s="2"/>
      <c r="F45" s="1"/>
      <c r="G45" s="1"/>
    </row>
    <row r="46" ht="14.25" customHeight="1">
      <c r="A46" s="1"/>
      <c r="B46" s="1"/>
      <c r="C46" s="1"/>
      <c r="D46" s="2"/>
      <c r="F46" s="1"/>
      <c r="G46" s="1"/>
    </row>
    <row r="47" ht="14.25" customHeight="1">
      <c r="A47" s="1"/>
      <c r="B47" s="1"/>
      <c r="C47" s="1"/>
      <c r="D47" s="2"/>
      <c r="F47" s="1"/>
      <c r="G47" s="1"/>
    </row>
    <row r="48" ht="14.25" customHeight="1">
      <c r="A48" s="1"/>
      <c r="B48" s="1"/>
      <c r="C48" s="1"/>
      <c r="D48" s="2"/>
      <c r="F48" s="1"/>
      <c r="G48" s="1"/>
    </row>
    <row r="49" ht="14.25" customHeight="1">
      <c r="A49" s="1"/>
      <c r="B49" s="1"/>
      <c r="C49" s="1"/>
      <c r="D49" s="2"/>
      <c r="F49" s="1"/>
      <c r="G49" s="1"/>
    </row>
    <row r="50" ht="14.25" customHeight="1">
      <c r="A50" s="1"/>
      <c r="B50" s="1"/>
      <c r="C50" s="1"/>
      <c r="D50" s="2"/>
      <c r="F50" s="1"/>
      <c r="G50" s="1"/>
    </row>
    <row r="51" ht="14.25" customHeight="1">
      <c r="A51" s="1"/>
      <c r="B51" s="1"/>
      <c r="C51" s="1"/>
      <c r="D51" s="2"/>
      <c r="F51" s="1"/>
      <c r="G51" s="1"/>
    </row>
    <row r="52" ht="14.25" customHeight="1">
      <c r="A52" s="1"/>
      <c r="B52" s="1"/>
      <c r="C52" s="1"/>
      <c r="D52" s="2"/>
      <c r="F52" s="1"/>
      <c r="G52" s="1"/>
    </row>
    <row r="53" ht="14.25" customHeight="1">
      <c r="A53" s="1"/>
      <c r="B53" s="1"/>
      <c r="C53" s="1"/>
      <c r="D53" s="2"/>
      <c r="F53" s="1"/>
      <c r="G53" s="1"/>
    </row>
    <row r="54" ht="14.25" customHeight="1">
      <c r="A54" s="1"/>
      <c r="B54" s="1"/>
      <c r="C54" s="1"/>
      <c r="D54" s="2"/>
      <c r="F54" s="1"/>
      <c r="G54" s="1"/>
    </row>
    <row r="55" ht="14.25" customHeight="1">
      <c r="A55" s="1"/>
      <c r="B55" s="1"/>
      <c r="C55" s="1"/>
      <c r="D55" s="2"/>
      <c r="F55" s="1"/>
      <c r="G55" s="1"/>
    </row>
    <row r="56" ht="14.25" customHeight="1">
      <c r="A56" s="1"/>
      <c r="B56" s="1"/>
      <c r="C56" s="1"/>
      <c r="D56" s="2"/>
      <c r="F56" s="1"/>
      <c r="G56" s="1"/>
    </row>
    <row r="57" ht="14.25" customHeight="1">
      <c r="A57" s="1"/>
      <c r="B57" s="1"/>
      <c r="C57" s="1"/>
      <c r="D57" s="2"/>
      <c r="F57" s="1"/>
      <c r="G57" s="1"/>
    </row>
    <row r="58" ht="14.25" customHeight="1">
      <c r="A58" s="1"/>
      <c r="B58" s="1"/>
      <c r="C58" s="1"/>
      <c r="D58" s="2"/>
      <c r="F58" s="1"/>
      <c r="G58" s="1"/>
    </row>
    <row r="59" ht="14.25" customHeight="1">
      <c r="A59" s="1"/>
      <c r="B59" s="1"/>
      <c r="C59" s="1"/>
      <c r="D59" s="2"/>
      <c r="F59" s="1"/>
      <c r="G59" s="1"/>
    </row>
    <row r="60" ht="14.25" customHeight="1">
      <c r="A60" s="1"/>
      <c r="B60" s="1"/>
      <c r="C60" s="1"/>
      <c r="D60" s="2"/>
      <c r="F60" s="1"/>
      <c r="G60" s="1"/>
    </row>
    <row r="61" ht="14.25" customHeight="1">
      <c r="A61" s="1"/>
      <c r="B61" s="1"/>
      <c r="C61" s="1"/>
      <c r="D61" s="2"/>
      <c r="F61" s="1"/>
      <c r="G61" s="1"/>
    </row>
    <row r="62" ht="14.25" customHeight="1">
      <c r="A62" s="1"/>
      <c r="B62" s="1"/>
      <c r="C62" s="1"/>
      <c r="D62" s="2"/>
      <c r="F62" s="1"/>
      <c r="G62" s="1"/>
    </row>
    <row r="63" ht="14.25" customHeight="1">
      <c r="A63" s="1"/>
      <c r="B63" s="1"/>
      <c r="C63" s="1"/>
      <c r="D63" s="2"/>
      <c r="F63" s="1"/>
      <c r="G63" s="1"/>
    </row>
    <row r="64" ht="14.25" customHeight="1">
      <c r="A64" s="1"/>
      <c r="B64" s="1"/>
      <c r="C64" s="1"/>
      <c r="D64" s="2"/>
      <c r="F64" s="1"/>
      <c r="G64" s="1"/>
    </row>
    <row r="65" ht="14.25" customHeight="1">
      <c r="A65" s="1"/>
      <c r="B65" s="1"/>
      <c r="C65" s="1"/>
      <c r="D65" s="2"/>
      <c r="F65" s="1"/>
      <c r="G65" s="1"/>
    </row>
    <row r="66" ht="14.25" customHeight="1">
      <c r="A66" s="1"/>
      <c r="B66" s="1"/>
      <c r="C66" s="1"/>
      <c r="D66" s="2"/>
      <c r="F66" s="1"/>
      <c r="G66" s="1"/>
    </row>
    <row r="67" ht="14.25" customHeight="1">
      <c r="A67" s="1"/>
      <c r="B67" s="1"/>
      <c r="C67" s="1"/>
      <c r="D67" s="2"/>
      <c r="F67" s="1"/>
      <c r="G67" s="1"/>
    </row>
    <row r="68" ht="14.25" customHeight="1">
      <c r="A68" s="1"/>
      <c r="B68" s="1"/>
      <c r="C68" s="1"/>
      <c r="D68" s="2"/>
      <c r="F68" s="1"/>
      <c r="G68" s="1"/>
    </row>
    <row r="69" ht="14.25" customHeight="1">
      <c r="A69" s="1"/>
      <c r="B69" s="1"/>
      <c r="C69" s="1"/>
      <c r="D69" s="2"/>
      <c r="F69" s="1"/>
      <c r="G69" s="1"/>
    </row>
    <row r="70" ht="14.25" customHeight="1">
      <c r="A70" s="1"/>
      <c r="B70" s="1"/>
      <c r="C70" s="1"/>
      <c r="D70" s="2"/>
      <c r="F70" s="1"/>
      <c r="G70" s="1"/>
    </row>
    <row r="71" ht="14.25" customHeight="1">
      <c r="A71" s="1"/>
      <c r="B71" s="1"/>
      <c r="C71" s="1"/>
      <c r="D71" s="2"/>
      <c r="F71" s="1"/>
      <c r="G71" s="1"/>
    </row>
    <row r="72" ht="14.25" customHeight="1">
      <c r="A72" s="1"/>
      <c r="B72" s="1"/>
      <c r="C72" s="1"/>
      <c r="D72" s="2"/>
      <c r="F72" s="1"/>
      <c r="G72" s="1"/>
    </row>
    <row r="73" ht="14.25" customHeight="1">
      <c r="A73" s="1"/>
      <c r="B73" s="1"/>
      <c r="C73" s="1"/>
      <c r="D73" s="2"/>
      <c r="F73" s="1"/>
      <c r="G73" s="1"/>
    </row>
    <row r="74" ht="14.25" customHeight="1">
      <c r="A74" s="1"/>
      <c r="B74" s="1"/>
      <c r="C74" s="1"/>
      <c r="D74" s="2"/>
      <c r="F74" s="1"/>
      <c r="G74" s="1"/>
    </row>
    <row r="75" ht="14.25" customHeight="1">
      <c r="A75" s="1"/>
      <c r="B75" s="1"/>
      <c r="C75" s="1"/>
      <c r="D75" s="2"/>
      <c r="F75" s="1"/>
      <c r="G75" s="1"/>
    </row>
    <row r="76" ht="14.25" customHeight="1">
      <c r="A76" s="1"/>
      <c r="B76" s="1"/>
      <c r="C76" s="1"/>
      <c r="D76" s="2"/>
      <c r="F76" s="1"/>
      <c r="G76" s="1"/>
    </row>
    <row r="77" ht="14.25" customHeight="1">
      <c r="A77" s="1"/>
      <c r="B77" s="1"/>
      <c r="C77" s="1"/>
      <c r="D77" s="2"/>
      <c r="F77" s="1"/>
      <c r="G77" s="1"/>
    </row>
    <row r="78" ht="14.25" customHeight="1">
      <c r="A78" s="1"/>
      <c r="B78" s="1"/>
      <c r="C78" s="1"/>
      <c r="D78" s="2"/>
      <c r="F78" s="1"/>
      <c r="G78" s="1"/>
    </row>
    <row r="79" ht="14.25" customHeight="1">
      <c r="A79" s="1"/>
      <c r="B79" s="1"/>
      <c r="C79" s="1"/>
      <c r="D79" s="2"/>
      <c r="F79" s="1"/>
      <c r="G79" s="1"/>
    </row>
    <row r="80" ht="14.25" customHeight="1">
      <c r="A80" s="1"/>
      <c r="B80" s="1"/>
      <c r="C80" s="1"/>
      <c r="D80" s="2"/>
      <c r="F80" s="1"/>
      <c r="G80" s="1"/>
    </row>
    <row r="81" ht="14.25" customHeight="1">
      <c r="A81" s="1"/>
      <c r="B81" s="1"/>
      <c r="C81" s="1"/>
      <c r="D81" s="2"/>
      <c r="F81" s="1"/>
      <c r="G81" s="1"/>
    </row>
    <row r="82" ht="14.25" customHeight="1">
      <c r="A82" s="1"/>
      <c r="B82" s="1"/>
      <c r="C82" s="1"/>
      <c r="D82" s="2"/>
      <c r="F82" s="1"/>
      <c r="G82" s="1"/>
    </row>
    <row r="83" ht="14.25" customHeight="1">
      <c r="A83" s="1"/>
      <c r="B83" s="1"/>
      <c r="C83" s="1"/>
      <c r="D83" s="2"/>
      <c r="F83" s="1"/>
      <c r="G83" s="1"/>
    </row>
    <row r="84" ht="14.25" customHeight="1">
      <c r="A84" s="1"/>
      <c r="B84" s="1"/>
      <c r="C84" s="1"/>
      <c r="D84" s="2"/>
      <c r="F84" s="1"/>
      <c r="G84" s="1"/>
    </row>
    <row r="85" ht="14.25" customHeight="1">
      <c r="A85" s="1"/>
      <c r="B85" s="1"/>
      <c r="C85" s="1"/>
      <c r="D85" s="2"/>
      <c r="F85" s="1"/>
      <c r="G85" s="1"/>
    </row>
    <row r="86" ht="14.25" customHeight="1">
      <c r="A86" s="1"/>
      <c r="B86" s="1"/>
      <c r="C86" s="1"/>
      <c r="D86" s="2"/>
      <c r="F86" s="1"/>
      <c r="G86" s="1"/>
    </row>
    <row r="87" ht="14.25" customHeight="1">
      <c r="A87" s="1"/>
      <c r="B87" s="1"/>
      <c r="C87" s="1"/>
      <c r="D87" s="2"/>
      <c r="F87" s="1"/>
      <c r="G87" s="1"/>
    </row>
    <row r="88" ht="14.25" customHeight="1">
      <c r="A88" s="1"/>
      <c r="B88" s="1"/>
      <c r="C88" s="1"/>
      <c r="D88" s="2"/>
      <c r="F88" s="1"/>
      <c r="G88" s="1"/>
    </row>
    <row r="89" ht="14.25" customHeight="1">
      <c r="A89" s="1"/>
      <c r="B89" s="1"/>
      <c r="C89" s="1"/>
      <c r="D89" s="2"/>
      <c r="F89" s="1"/>
      <c r="G89" s="1"/>
    </row>
    <row r="90" ht="14.25" customHeight="1">
      <c r="A90" s="1"/>
      <c r="B90" s="1"/>
      <c r="C90" s="1"/>
      <c r="D90" s="2"/>
      <c r="F90" s="1"/>
      <c r="G90" s="1"/>
    </row>
    <row r="91" ht="14.25" customHeight="1">
      <c r="A91" s="1"/>
      <c r="B91" s="1"/>
      <c r="C91" s="1"/>
      <c r="D91" s="2"/>
      <c r="F91" s="1"/>
      <c r="G91" s="1"/>
    </row>
    <row r="92" ht="14.25" customHeight="1">
      <c r="A92" s="1"/>
      <c r="B92" s="1"/>
      <c r="C92" s="1"/>
      <c r="D92" s="2"/>
      <c r="F92" s="1"/>
      <c r="G92" s="1"/>
    </row>
    <row r="93" ht="14.25" customHeight="1">
      <c r="A93" s="1"/>
      <c r="B93" s="1"/>
      <c r="C93" s="1"/>
      <c r="D93" s="2"/>
      <c r="F93" s="1"/>
      <c r="G93" s="1"/>
    </row>
    <row r="94" ht="14.25" customHeight="1">
      <c r="A94" s="1"/>
      <c r="B94" s="1"/>
      <c r="C94" s="1"/>
      <c r="D94" s="2"/>
      <c r="F94" s="1"/>
      <c r="G94" s="1"/>
    </row>
    <row r="95" ht="14.25" customHeight="1">
      <c r="A95" s="1"/>
      <c r="B95" s="1"/>
      <c r="C95" s="1"/>
      <c r="D95" s="2"/>
      <c r="F95" s="1"/>
      <c r="G95" s="1"/>
    </row>
    <row r="96" ht="14.25" customHeight="1">
      <c r="A96" s="1"/>
      <c r="B96" s="1"/>
      <c r="C96" s="1"/>
      <c r="D96" s="2"/>
      <c r="F96" s="1"/>
      <c r="G96" s="1"/>
    </row>
    <row r="97" ht="14.25" customHeight="1">
      <c r="A97" s="1"/>
      <c r="B97" s="1"/>
      <c r="C97" s="1"/>
      <c r="D97" s="2"/>
      <c r="F97" s="1"/>
      <c r="G97" s="1"/>
    </row>
    <row r="98" ht="14.25" customHeight="1">
      <c r="A98" s="1"/>
      <c r="B98" s="1"/>
      <c r="C98" s="1"/>
      <c r="D98" s="2"/>
      <c r="F98" s="1"/>
      <c r="G98" s="1"/>
    </row>
    <row r="99" ht="14.25" customHeight="1">
      <c r="A99" s="1"/>
      <c r="B99" s="1"/>
      <c r="C99" s="1"/>
      <c r="D99" s="2"/>
      <c r="F99" s="1"/>
      <c r="G99" s="1"/>
    </row>
    <row r="100" ht="14.25" customHeight="1">
      <c r="A100" s="1"/>
      <c r="B100" s="1"/>
      <c r="C100" s="1"/>
      <c r="D100" s="2"/>
      <c r="F100" s="1"/>
      <c r="G100" s="1"/>
    </row>
    <row r="101" ht="14.25" customHeight="1">
      <c r="A101" s="1"/>
      <c r="B101" s="1"/>
      <c r="C101" s="1"/>
      <c r="D101" s="2"/>
      <c r="F101" s="1"/>
      <c r="G101" s="1"/>
    </row>
    <row r="102" ht="14.25" customHeight="1">
      <c r="A102" s="1"/>
      <c r="B102" s="1"/>
      <c r="C102" s="1"/>
      <c r="D102" s="2"/>
      <c r="F102" s="1"/>
      <c r="G102" s="1"/>
    </row>
    <row r="103" ht="14.25" customHeight="1">
      <c r="A103" s="1"/>
      <c r="B103" s="1"/>
      <c r="C103" s="1"/>
      <c r="D103" s="2"/>
      <c r="F103" s="1"/>
      <c r="G103" s="1"/>
    </row>
    <row r="104" ht="14.25" customHeight="1">
      <c r="A104" s="1"/>
      <c r="B104" s="1"/>
      <c r="C104" s="1"/>
      <c r="D104" s="2"/>
      <c r="F104" s="1"/>
      <c r="G104" s="1"/>
    </row>
    <row r="105" ht="14.25" customHeight="1">
      <c r="A105" s="1"/>
      <c r="B105" s="1"/>
      <c r="C105" s="1"/>
      <c r="D105" s="2"/>
      <c r="F105" s="1"/>
      <c r="G105" s="1"/>
    </row>
    <row r="106" ht="14.25" customHeight="1">
      <c r="A106" s="1"/>
      <c r="B106" s="1"/>
      <c r="C106" s="1"/>
      <c r="D106" s="2"/>
      <c r="F106" s="1"/>
      <c r="G106" s="1"/>
    </row>
    <row r="107" ht="14.25" customHeight="1">
      <c r="A107" s="1"/>
      <c r="B107" s="1"/>
      <c r="C107" s="1"/>
      <c r="D107" s="2"/>
      <c r="F107" s="1"/>
      <c r="G107" s="1"/>
    </row>
    <row r="108" ht="14.25" customHeight="1">
      <c r="A108" s="1"/>
      <c r="B108" s="1"/>
      <c r="C108" s="1"/>
      <c r="D108" s="2"/>
      <c r="F108" s="1"/>
      <c r="G108" s="1"/>
    </row>
    <row r="109" ht="14.25" customHeight="1">
      <c r="A109" s="1"/>
      <c r="B109" s="1"/>
      <c r="C109" s="1"/>
      <c r="D109" s="2"/>
      <c r="F109" s="1"/>
      <c r="G109" s="1"/>
    </row>
    <row r="110" ht="14.25" customHeight="1">
      <c r="A110" s="1"/>
      <c r="B110" s="1"/>
      <c r="C110" s="1"/>
      <c r="D110" s="2"/>
      <c r="F110" s="1"/>
      <c r="G110" s="1"/>
    </row>
    <row r="111" ht="14.25" customHeight="1">
      <c r="A111" s="1"/>
      <c r="B111" s="1"/>
      <c r="C111" s="1"/>
      <c r="D111" s="2"/>
      <c r="F111" s="1"/>
      <c r="G111" s="1"/>
    </row>
    <row r="112" ht="14.25" customHeight="1">
      <c r="A112" s="1"/>
      <c r="B112" s="1"/>
      <c r="C112" s="1"/>
      <c r="D112" s="2"/>
      <c r="F112" s="1"/>
      <c r="G112" s="1"/>
    </row>
    <row r="113" ht="14.25" customHeight="1">
      <c r="A113" s="1"/>
      <c r="B113" s="1"/>
      <c r="C113" s="1"/>
      <c r="D113" s="2"/>
      <c r="F113" s="1"/>
      <c r="G113" s="1"/>
    </row>
    <row r="114" ht="14.25" customHeight="1">
      <c r="A114" s="1"/>
      <c r="B114" s="1"/>
      <c r="C114" s="1"/>
      <c r="D114" s="2"/>
      <c r="F114" s="1"/>
      <c r="G114" s="1"/>
    </row>
    <row r="115" ht="14.25" customHeight="1">
      <c r="A115" s="1"/>
      <c r="B115" s="1"/>
      <c r="C115" s="1"/>
      <c r="D115" s="2"/>
      <c r="F115" s="1"/>
      <c r="G115" s="1"/>
    </row>
    <row r="116" ht="14.25" customHeight="1">
      <c r="A116" s="1"/>
      <c r="B116" s="1"/>
      <c r="C116" s="1"/>
      <c r="D116" s="2"/>
      <c r="F116" s="1"/>
      <c r="G116" s="1"/>
    </row>
    <row r="117" ht="14.25" customHeight="1">
      <c r="A117" s="1"/>
      <c r="B117" s="1"/>
      <c r="C117" s="1"/>
      <c r="D117" s="2"/>
      <c r="F117" s="1"/>
      <c r="G117" s="1"/>
    </row>
    <row r="118" ht="14.25" customHeight="1">
      <c r="A118" s="1"/>
      <c r="B118" s="1"/>
      <c r="C118" s="1"/>
      <c r="D118" s="2"/>
      <c r="F118" s="1"/>
      <c r="G118" s="1"/>
    </row>
    <row r="119" ht="14.25" customHeight="1">
      <c r="A119" s="1"/>
      <c r="B119" s="1"/>
      <c r="C119" s="1"/>
      <c r="D119" s="2"/>
      <c r="F119" s="1"/>
      <c r="G119" s="1"/>
    </row>
    <row r="120" ht="14.25" customHeight="1">
      <c r="A120" s="1"/>
      <c r="B120" s="1"/>
      <c r="C120" s="1"/>
      <c r="D120" s="2"/>
      <c r="F120" s="1"/>
      <c r="G120" s="1"/>
    </row>
    <row r="121" ht="14.25" customHeight="1">
      <c r="A121" s="1"/>
      <c r="B121" s="1"/>
      <c r="C121" s="1"/>
      <c r="D121" s="2"/>
      <c r="F121" s="1"/>
      <c r="G121" s="1"/>
    </row>
    <row r="122" ht="14.25" customHeight="1">
      <c r="A122" s="1"/>
      <c r="B122" s="1"/>
      <c r="C122" s="1"/>
      <c r="D122" s="2"/>
      <c r="F122" s="1"/>
      <c r="G122" s="1"/>
    </row>
    <row r="123" ht="14.25" customHeight="1">
      <c r="A123" s="1"/>
      <c r="B123" s="1"/>
      <c r="C123" s="1"/>
      <c r="D123" s="2"/>
      <c r="F123" s="1"/>
      <c r="G123" s="1"/>
    </row>
    <row r="124" ht="14.25" customHeight="1">
      <c r="A124" s="1"/>
      <c r="B124" s="1"/>
      <c r="C124" s="1"/>
      <c r="D124" s="2"/>
      <c r="F124" s="1"/>
      <c r="G124" s="1"/>
    </row>
    <row r="125" ht="14.25" customHeight="1">
      <c r="A125" s="1"/>
      <c r="B125" s="1"/>
      <c r="C125" s="1"/>
      <c r="D125" s="2"/>
      <c r="F125" s="1"/>
      <c r="G125" s="1"/>
    </row>
    <row r="126" ht="14.25" customHeight="1">
      <c r="A126" s="1"/>
      <c r="B126" s="1"/>
      <c r="C126" s="1"/>
      <c r="D126" s="2"/>
      <c r="F126" s="1"/>
      <c r="G126" s="1"/>
    </row>
    <row r="127" ht="14.25" customHeight="1">
      <c r="A127" s="1"/>
      <c r="B127" s="1"/>
      <c r="C127" s="1"/>
      <c r="D127" s="2"/>
      <c r="F127" s="1"/>
      <c r="G127" s="1"/>
    </row>
    <row r="128" ht="14.25" customHeight="1">
      <c r="A128" s="1"/>
      <c r="B128" s="1"/>
      <c r="C128" s="1"/>
      <c r="D128" s="2"/>
      <c r="F128" s="1"/>
      <c r="G128" s="1"/>
    </row>
    <row r="129" ht="14.25" customHeight="1">
      <c r="A129" s="1"/>
      <c r="B129" s="1"/>
      <c r="C129" s="1"/>
      <c r="D129" s="2"/>
      <c r="F129" s="1"/>
      <c r="G129" s="1"/>
    </row>
    <row r="130" ht="14.25" customHeight="1">
      <c r="A130" s="1"/>
      <c r="B130" s="1"/>
      <c r="C130" s="1"/>
      <c r="D130" s="2"/>
      <c r="F130" s="1"/>
      <c r="G130" s="1"/>
    </row>
    <row r="131" ht="14.25" customHeight="1">
      <c r="A131" s="1"/>
      <c r="B131" s="1"/>
      <c r="C131" s="1"/>
      <c r="D131" s="2"/>
      <c r="F131" s="1"/>
      <c r="G131" s="1"/>
    </row>
    <row r="132" ht="14.25" customHeight="1">
      <c r="A132" s="1"/>
      <c r="B132" s="1"/>
      <c r="C132" s="1"/>
      <c r="D132" s="2"/>
      <c r="F132" s="1"/>
      <c r="G132" s="1"/>
    </row>
    <row r="133" ht="14.25" customHeight="1">
      <c r="A133" s="1"/>
      <c r="B133" s="1"/>
      <c r="C133" s="1"/>
      <c r="D133" s="2"/>
      <c r="F133" s="1"/>
      <c r="G133" s="1"/>
    </row>
    <row r="134" ht="14.25" customHeight="1">
      <c r="A134" s="1"/>
      <c r="B134" s="1"/>
      <c r="C134" s="1"/>
      <c r="D134" s="2"/>
      <c r="F134" s="1"/>
      <c r="G134" s="1"/>
    </row>
    <row r="135" ht="14.25" customHeight="1">
      <c r="A135" s="1"/>
      <c r="B135" s="1"/>
      <c r="C135" s="1"/>
      <c r="D135" s="2"/>
      <c r="F135" s="1"/>
      <c r="G135" s="1"/>
    </row>
    <row r="136" ht="14.25" customHeight="1">
      <c r="A136" s="1"/>
      <c r="B136" s="1"/>
      <c r="C136" s="1"/>
      <c r="D136" s="2"/>
      <c r="F136" s="1"/>
      <c r="G136" s="1"/>
    </row>
    <row r="137" ht="14.25" customHeight="1">
      <c r="A137" s="1"/>
      <c r="B137" s="1"/>
      <c r="C137" s="1"/>
      <c r="D137" s="2"/>
      <c r="F137" s="1"/>
      <c r="G137" s="1"/>
    </row>
    <row r="138" ht="14.25" customHeight="1">
      <c r="A138" s="1"/>
      <c r="B138" s="1"/>
      <c r="C138" s="1"/>
      <c r="D138" s="2"/>
      <c r="F138" s="1"/>
      <c r="G138" s="1"/>
    </row>
    <row r="139" ht="14.25" customHeight="1">
      <c r="A139" s="1"/>
      <c r="B139" s="1"/>
      <c r="C139" s="1"/>
      <c r="D139" s="2"/>
      <c r="F139" s="1"/>
      <c r="G139" s="1"/>
    </row>
    <row r="140" ht="14.25" customHeight="1">
      <c r="A140" s="1"/>
      <c r="B140" s="1"/>
      <c r="C140" s="1"/>
      <c r="D140" s="2"/>
      <c r="F140" s="1"/>
      <c r="G140" s="1"/>
    </row>
    <row r="141" ht="14.25" customHeight="1">
      <c r="A141" s="1"/>
      <c r="B141" s="1"/>
      <c r="C141" s="1"/>
      <c r="D141" s="2"/>
      <c r="F141" s="1"/>
      <c r="G141" s="1"/>
    </row>
    <row r="142" ht="14.25" customHeight="1">
      <c r="A142" s="1"/>
      <c r="B142" s="1"/>
      <c r="C142" s="1"/>
      <c r="D142" s="2"/>
      <c r="F142" s="1"/>
      <c r="G142" s="1"/>
    </row>
    <row r="143" ht="14.25" customHeight="1">
      <c r="A143" s="1"/>
      <c r="B143" s="1"/>
      <c r="C143" s="1"/>
      <c r="D143" s="2"/>
      <c r="F143" s="1"/>
      <c r="G143" s="1"/>
    </row>
    <row r="144" ht="14.25" customHeight="1">
      <c r="A144" s="1"/>
      <c r="B144" s="1"/>
      <c r="C144" s="1"/>
      <c r="D144" s="2"/>
      <c r="F144" s="1"/>
      <c r="G144" s="1"/>
    </row>
    <row r="145" ht="14.25" customHeight="1">
      <c r="A145" s="1"/>
      <c r="B145" s="1"/>
      <c r="C145" s="1"/>
      <c r="D145" s="2"/>
      <c r="F145" s="1"/>
      <c r="G145" s="1"/>
    </row>
    <row r="146" ht="14.25" customHeight="1">
      <c r="A146" s="1"/>
      <c r="B146" s="1"/>
      <c r="C146" s="1"/>
      <c r="D146" s="2"/>
      <c r="F146" s="1"/>
      <c r="G146" s="1"/>
    </row>
    <row r="147" ht="14.25" customHeight="1">
      <c r="A147" s="1"/>
      <c r="B147" s="1"/>
      <c r="C147" s="1"/>
      <c r="D147" s="2"/>
      <c r="F147" s="1"/>
      <c r="G147" s="1"/>
    </row>
    <row r="148" ht="14.25" customHeight="1">
      <c r="A148" s="1"/>
      <c r="B148" s="1"/>
      <c r="C148" s="1"/>
      <c r="D148" s="2"/>
      <c r="F148" s="1"/>
      <c r="G148" s="1"/>
    </row>
    <row r="149" ht="14.25" customHeight="1">
      <c r="A149" s="1"/>
      <c r="B149" s="1"/>
      <c r="C149" s="1"/>
      <c r="D149" s="2"/>
      <c r="F149" s="1"/>
      <c r="G149" s="1"/>
    </row>
    <row r="150" ht="14.25" customHeight="1">
      <c r="A150" s="1"/>
      <c r="B150" s="1"/>
      <c r="C150" s="1"/>
      <c r="D150" s="2"/>
      <c r="F150" s="1"/>
      <c r="G150" s="1"/>
    </row>
    <row r="151" ht="14.25" customHeight="1">
      <c r="A151" s="1"/>
      <c r="B151" s="1"/>
      <c r="C151" s="1"/>
      <c r="D151" s="2"/>
      <c r="F151" s="1"/>
      <c r="G151" s="1"/>
    </row>
    <row r="152" ht="14.25" customHeight="1">
      <c r="A152" s="1"/>
      <c r="B152" s="1"/>
      <c r="C152" s="1"/>
      <c r="D152" s="2"/>
      <c r="F152" s="1"/>
      <c r="G152" s="1"/>
    </row>
    <row r="153" ht="14.25" customHeight="1">
      <c r="A153" s="1"/>
      <c r="B153" s="1"/>
      <c r="C153" s="1"/>
      <c r="D153" s="2"/>
      <c r="F153" s="1"/>
      <c r="G153" s="1"/>
    </row>
    <row r="154" ht="14.25" customHeight="1">
      <c r="A154" s="1"/>
      <c r="B154" s="1"/>
      <c r="C154" s="1"/>
      <c r="D154" s="2"/>
      <c r="F154" s="1"/>
      <c r="G154" s="1"/>
    </row>
    <row r="155" ht="14.25" customHeight="1">
      <c r="A155" s="1"/>
      <c r="B155" s="1"/>
      <c r="C155" s="1"/>
      <c r="D155" s="2"/>
      <c r="F155" s="1"/>
      <c r="G155" s="1"/>
    </row>
    <row r="156" ht="14.25" customHeight="1">
      <c r="A156" s="1"/>
      <c r="B156" s="1"/>
      <c r="C156" s="1"/>
      <c r="D156" s="2"/>
      <c r="F156" s="1"/>
      <c r="G156" s="1"/>
    </row>
    <row r="157" ht="14.25" customHeight="1">
      <c r="A157" s="1"/>
      <c r="B157" s="1"/>
      <c r="C157" s="1"/>
      <c r="D157" s="2"/>
      <c r="F157" s="1"/>
      <c r="G157" s="1"/>
    </row>
    <row r="158" ht="14.25" customHeight="1">
      <c r="A158" s="1"/>
      <c r="B158" s="1"/>
      <c r="C158" s="1"/>
      <c r="D158" s="2"/>
      <c r="F158" s="1"/>
      <c r="G158" s="1"/>
    </row>
    <row r="159" ht="14.25" customHeight="1">
      <c r="A159" s="1"/>
      <c r="B159" s="1"/>
      <c r="C159" s="1"/>
      <c r="D159" s="2"/>
      <c r="F159" s="1"/>
      <c r="G159" s="1"/>
    </row>
    <row r="160" ht="14.25" customHeight="1">
      <c r="A160" s="1"/>
      <c r="B160" s="1"/>
      <c r="C160" s="1"/>
      <c r="D160" s="2"/>
      <c r="F160" s="1"/>
      <c r="G160" s="1"/>
    </row>
    <row r="161" ht="14.25" customHeight="1">
      <c r="A161" s="1"/>
      <c r="B161" s="1"/>
      <c r="C161" s="1"/>
      <c r="D161" s="2"/>
      <c r="F161" s="1"/>
      <c r="G161" s="1"/>
    </row>
    <row r="162" ht="14.25" customHeight="1">
      <c r="A162" s="1"/>
      <c r="B162" s="1"/>
      <c r="C162" s="1"/>
      <c r="D162" s="2"/>
      <c r="F162" s="1"/>
      <c r="G162" s="1"/>
    </row>
    <row r="163" ht="14.25" customHeight="1">
      <c r="A163" s="1"/>
      <c r="B163" s="1"/>
      <c r="C163" s="1"/>
      <c r="D163" s="2"/>
      <c r="F163" s="1"/>
      <c r="G163" s="1"/>
    </row>
    <row r="164" ht="14.25" customHeight="1">
      <c r="A164" s="1"/>
      <c r="B164" s="1"/>
      <c r="C164" s="1"/>
      <c r="D164" s="2"/>
      <c r="F164" s="1"/>
      <c r="G164" s="1"/>
    </row>
    <row r="165" ht="14.25" customHeight="1">
      <c r="A165" s="1"/>
      <c r="B165" s="1"/>
      <c r="C165" s="1"/>
      <c r="D165" s="2"/>
      <c r="F165" s="1"/>
      <c r="G165" s="1"/>
    </row>
    <row r="166" ht="14.25" customHeight="1">
      <c r="A166" s="1"/>
      <c r="B166" s="1"/>
      <c r="C166" s="1"/>
      <c r="D166" s="2"/>
      <c r="F166" s="1"/>
      <c r="G166" s="1"/>
    </row>
    <row r="167" ht="14.25" customHeight="1">
      <c r="A167" s="1"/>
      <c r="B167" s="1"/>
      <c r="C167" s="1"/>
      <c r="D167" s="2"/>
      <c r="F167" s="1"/>
      <c r="G167" s="1"/>
    </row>
    <row r="168" ht="14.25" customHeight="1">
      <c r="A168" s="1"/>
      <c r="B168" s="1"/>
      <c r="C168" s="1"/>
      <c r="D168" s="2"/>
      <c r="F168" s="1"/>
      <c r="G168" s="1"/>
    </row>
    <row r="169" ht="14.25" customHeight="1">
      <c r="A169" s="1"/>
      <c r="B169" s="1"/>
      <c r="C169" s="1"/>
      <c r="D169" s="2"/>
      <c r="F169" s="1"/>
      <c r="G169" s="1"/>
    </row>
    <row r="170" ht="14.25" customHeight="1">
      <c r="A170" s="1"/>
      <c r="B170" s="1"/>
      <c r="C170" s="1"/>
      <c r="D170" s="2"/>
      <c r="F170" s="1"/>
      <c r="G170" s="1"/>
    </row>
    <row r="171" ht="14.25" customHeight="1">
      <c r="A171" s="1"/>
      <c r="B171" s="1"/>
      <c r="C171" s="1"/>
      <c r="D171" s="2"/>
      <c r="F171" s="1"/>
      <c r="G171" s="1"/>
    </row>
    <row r="172" ht="14.25" customHeight="1">
      <c r="A172" s="1"/>
      <c r="B172" s="1"/>
      <c r="C172" s="1"/>
      <c r="D172" s="2"/>
      <c r="F172" s="1"/>
      <c r="G172" s="1"/>
    </row>
    <row r="173" ht="14.25" customHeight="1">
      <c r="A173" s="1"/>
      <c r="B173" s="1"/>
      <c r="C173" s="1"/>
      <c r="D173" s="2"/>
      <c r="F173" s="1"/>
      <c r="G173" s="1"/>
    </row>
    <row r="174" ht="14.25" customHeight="1">
      <c r="A174" s="1"/>
      <c r="B174" s="1"/>
      <c r="C174" s="1"/>
      <c r="D174" s="2"/>
      <c r="F174" s="1"/>
      <c r="G174" s="1"/>
    </row>
    <row r="175" ht="14.25" customHeight="1">
      <c r="A175" s="1"/>
      <c r="B175" s="1"/>
      <c r="C175" s="1"/>
      <c r="D175" s="2"/>
      <c r="F175" s="1"/>
      <c r="G175" s="1"/>
    </row>
    <row r="176" ht="14.25" customHeight="1">
      <c r="A176" s="1"/>
      <c r="B176" s="1"/>
      <c r="C176" s="1"/>
      <c r="D176" s="2"/>
      <c r="F176" s="1"/>
      <c r="G176" s="1"/>
    </row>
    <row r="177" ht="14.25" customHeight="1">
      <c r="A177" s="1"/>
      <c r="B177" s="1"/>
      <c r="C177" s="1"/>
      <c r="D177" s="2"/>
      <c r="F177" s="1"/>
      <c r="G177" s="1"/>
    </row>
    <row r="178" ht="14.25" customHeight="1">
      <c r="A178" s="1"/>
      <c r="B178" s="1"/>
      <c r="C178" s="1"/>
      <c r="D178" s="2"/>
      <c r="F178" s="1"/>
      <c r="G178" s="1"/>
    </row>
    <row r="179" ht="14.25" customHeight="1">
      <c r="A179" s="1"/>
      <c r="B179" s="1"/>
      <c r="C179" s="1"/>
      <c r="D179" s="2"/>
      <c r="F179" s="1"/>
      <c r="G179" s="1"/>
    </row>
    <row r="180" ht="14.25" customHeight="1">
      <c r="A180" s="1"/>
      <c r="B180" s="1"/>
      <c r="C180" s="1"/>
      <c r="D180" s="2"/>
      <c r="F180" s="1"/>
      <c r="G180" s="1"/>
    </row>
    <row r="181" ht="14.25" customHeight="1">
      <c r="A181" s="1"/>
      <c r="B181" s="1"/>
      <c r="C181" s="1"/>
      <c r="D181" s="2"/>
      <c r="F181" s="1"/>
      <c r="G181" s="1"/>
    </row>
    <row r="182" ht="14.25" customHeight="1">
      <c r="A182" s="1"/>
      <c r="B182" s="1"/>
      <c r="C182" s="1"/>
      <c r="D182" s="2"/>
      <c r="F182" s="1"/>
      <c r="G182" s="1"/>
    </row>
    <row r="183" ht="14.25" customHeight="1">
      <c r="A183" s="1"/>
      <c r="B183" s="1"/>
      <c r="C183" s="1"/>
      <c r="D183" s="2"/>
      <c r="F183" s="1"/>
      <c r="G183" s="1"/>
    </row>
    <row r="184" ht="14.25" customHeight="1">
      <c r="A184" s="1"/>
      <c r="B184" s="1"/>
      <c r="C184" s="1"/>
      <c r="D184" s="2"/>
      <c r="F184" s="1"/>
      <c r="G184" s="1"/>
    </row>
    <row r="185" ht="14.25" customHeight="1">
      <c r="A185" s="1"/>
      <c r="B185" s="1"/>
      <c r="C185" s="1"/>
      <c r="D185" s="2"/>
      <c r="F185" s="1"/>
      <c r="G185" s="1"/>
    </row>
    <row r="186" ht="14.25" customHeight="1">
      <c r="A186" s="1"/>
      <c r="B186" s="1"/>
      <c r="C186" s="1"/>
      <c r="D186" s="2"/>
      <c r="F186" s="1"/>
      <c r="G186" s="1"/>
    </row>
    <row r="187" ht="14.25" customHeight="1">
      <c r="A187" s="1"/>
      <c r="B187" s="1"/>
      <c r="C187" s="1"/>
      <c r="D187" s="2"/>
      <c r="F187" s="1"/>
      <c r="G187" s="1"/>
    </row>
    <row r="188" ht="14.25" customHeight="1">
      <c r="A188" s="1"/>
      <c r="B188" s="1"/>
      <c r="C188" s="1"/>
      <c r="D188" s="2"/>
      <c r="F188" s="1"/>
      <c r="G188" s="1"/>
    </row>
    <row r="189" ht="14.25" customHeight="1">
      <c r="A189" s="1"/>
      <c r="B189" s="1"/>
      <c r="C189" s="1"/>
      <c r="D189" s="2"/>
      <c r="F189" s="1"/>
      <c r="G189" s="1"/>
    </row>
    <row r="190" ht="14.25" customHeight="1">
      <c r="A190" s="1"/>
      <c r="B190" s="1"/>
      <c r="C190" s="1"/>
      <c r="D190" s="2"/>
      <c r="F190" s="1"/>
      <c r="G190" s="1"/>
    </row>
    <row r="191" ht="14.25" customHeight="1">
      <c r="A191" s="1"/>
      <c r="B191" s="1"/>
      <c r="C191" s="1"/>
      <c r="D191" s="2"/>
      <c r="F191" s="1"/>
      <c r="G191" s="1"/>
    </row>
    <row r="192" ht="14.25" customHeight="1">
      <c r="A192" s="1"/>
      <c r="B192" s="1"/>
      <c r="C192" s="1"/>
      <c r="D192" s="2"/>
      <c r="F192" s="1"/>
      <c r="G192" s="1"/>
    </row>
    <row r="193" ht="14.25" customHeight="1">
      <c r="A193" s="1"/>
      <c r="B193" s="1"/>
      <c r="C193" s="1"/>
      <c r="D193" s="2"/>
      <c r="F193" s="1"/>
      <c r="G193" s="1"/>
    </row>
    <row r="194" ht="14.25" customHeight="1">
      <c r="A194" s="1"/>
      <c r="B194" s="1"/>
      <c r="C194" s="1"/>
      <c r="D194" s="2"/>
      <c r="F194" s="1"/>
      <c r="G194" s="1"/>
    </row>
    <row r="195" ht="14.25" customHeight="1">
      <c r="A195" s="1"/>
      <c r="B195" s="1"/>
      <c r="C195" s="1"/>
      <c r="D195" s="2"/>
      <c r="F195" s="1"/>
      <c r="G195" s="1"/>
    </row>
    <row r="196" ht="14.25" customHeight="1">
      <c r="A196" s="1"/>
      <c r="B196" s="1"/>
      <c r="C196" s="1"/>
      <c r="D196" s="2"/>
      <c r="F196" s="1"/>
      <c r="G196" s="1"/>
    </row>
    <row r="197" ht="14.25" customHeight="1">
      <c r="A197" s="1"/>
      <c r="B197" s="1"/>
      <c r="C197" s="1"/>
      <c r="D197" s="2"/>
      <c r="F197" s="1"/>
      <c r="G197" s="1"/>
    </row>
    <row r="198" ht="14.25" customHeight="1">
      <c r="A198" s="1"/>
      <c r="B198" s="1"/>
      <c r="C198" s="1"/>
      <c r="D198" s="2"/>
      <c r="F198" s="1"/>
      <c r="G198" s="1"/>
    </row>
    <row r="199" ht="14.25" customHeight="1">
      <c r="A199" s="1"/>
      <c r="B199" s="1"/>
      <c r="C199" s="1"/>
      <c r="D199" s="2"/>
      <c r="F199" s="1"/>
      <c r="G199" s="1"/>
    </row>
    <row r="200" ht="14.25" customHeight="1">
      <c r="A200" s="1"/>
      <c r="B200" s="1"/>
      <c r="C200" s="1"/>
      <c r="D200" s="2"/>
      <c r="F200" s="1"/>
      <c r="G200" s="1"/>
    </row>
    <row r="201" ht="14.25" customHeight="1">
      <c r="A201" s="1"/>
      <c r="B201" s="1"/>
      <c r="C201" s="1"/>
      <c r="D201" s="2"/>
      <c r="F201" s="1"/>
      <c r="G201" s="1"/>
    </row>
    <row r="202" ht="14.25" customHeight="1">
      <c r="A202" s="1"/>
      <c r="B202" s="1"/>
      <c r="C202" s="1"/>
      <c r="D202" s="2"/>
      <c r="F202" s="1"/>
      <c r="G202" s="1"/>
    </row>
    <row r="203" ht="14.25" customHeight="1">
      <c r="A203" s="1"/>
      <c r="B203" s="1"/>
      <c r="C203" s="1"/>
      <c r="D203" s="2"/>
      <c r="F203" s="1"/>
      <c r="G203" s="1"/>
    </row>
    <row r="204" ht="14.25" customHeight="1">
      <c r="A204" s="1"/>
      <c r="B204" s="1"/>
      <c r="C204" s="1"/>
      <c r="D204" s="2"/>
      <c r="F204" s="1"/>
      <c r="G204" s="1"/>
    </row>
    <row r="205" ht="14.25" customHeight="1">
      <c r="A205" s="1"/>
      <c r="B205" s="1"/>
      <c r="C205" s="1"/>
      <c r="D205" s="2"/>
      <c r="F205" s="1"/>
      <c r="G205" s="1"/>
    </row>
    <row r="206" ht="14.25" customHeight="1">
      <c r="A206" s="1"/>
      <c r="B206" s="1"/>
      <c r="C206" s="1"/>
      <c r="D206" s="2"/>
      <c r="F206" s="1"/>
      <c r="G206" s="1"/>
    </row>
    <row r="207" ht="14.25" customHeight="1">
      <c r="A207" s="1"/>
      <c r="B207" s="1"/>
      <c r="C207" s="1"/>
      <c r="D207" s="2"/>
      <c r="F207" s="1"/>
      <c r="G207" s="1"/>
    </row>
    <row r="208" ht="14.25" customHeight="1">
      <c r="A208" s="1"/>
      <c r="B208" s="1"/>
      <c r="C208" s="1"/>
      <c r="D208" s="2"/>
      <c r="F208" s="1"/>
      <c r="G208" s="1"/>
    </row>
    <row r="209" ht="14.25" customHeight="1">
      <c r="A209" s="1"/>
      <c r="B209" s="1"/>
      <c r="C209" s="1"/>
      <c r="D209" s="2"/>
      <c r="F209" s="1"/>
      <c r="G209" s="1"/>
    </row>
    <row r="210" ht="14.25" customHeight="1">
      <c r="A210" s="1"/>
      <c r="B210" s="1"/>
      <c r="C210" s="1"/>
      <c r="D210" s="2"/>
      <c r="F210" s="1"/>
      <c r="G210" s="1"/>
    </row>
    <row r="211" ht="14.25" customHeight="1">
      <c r="A211" s="1"/>
      <c r="B211" s="1"/>
      <c r="C211" s="1"/>
      <c r="D211" s="2"/>
      <c r="F211" s="1"/>
      <c r="G211" s="1"/>
    </row>
    <row r="212" ht="14.25" customHeight="1">
      <c r="A212" s="1"/>
      <c r="B212" s="1"/>
      <c r="C212" s="1"/>
      <c r="D212" s="2"/>
      <c r="F212" s="1"/>
      <c r="G212" s="1"/>
    </row>
    <row r="213" ht="14.25" customHeight="1">
      <c r="A213" s="1"/>
      <c r="B213" s="1"/>
      <c r="C213" s="1"/>
      <c r="D213" s="2"/>
      <c r="F213" s="1"/>
      <c r="G213" s="1"/>
    </row>
    <row r="214" ht="14.25" customHeight="1">
      <c r="A214" s="1"/>
      <c r="B214" s="1"/>
      <c r="C214" s="1"/>
      <c r="D214" s="2"/>
      <c r="F214" s="1"/>
      <c r="G214" s="1"/>
    </row>
    <row r="215" ht="14.25" customHeight="1">
      <c r="A215" s="1"/>
      <c r="B215" s="1"/>
      <c r="C215" s="1"/>
      <c r="D215" s="2"/>
      <c r="F215" s="1"/>
      <c r="G215" s="1"/>
    </row>
    <row r="216" ht="14.25" customHeight="1">
      <c r="A216" s="1"/>
      <c r="B216" s="1"/>
      <c r="C216" s="1"/>
      <c r="D216" s="2"/>
      <c r="F216" s="1"/>
      <c r="G216" s="1"/>
    </row>
    <row r="217" ht="14.25" customHeight="1">
      <c r="A217" s="1"/>
      <c r="B217" s="1"/>
      <c r="C217" s="1"/>
      <c r="D217" s="2"/>
      <c r="F217" s="1"/>
      <c r="G217" s="1"/>
    </row>
    <row r="218" ht="14.25" customHeight="1">
      <c r="A218" s="1"/>
      <c r="B218" s="1"/>
      <c r="C218" s="1"/>
      <c r="D218" s="2"/>
      <c r="F218" s="1"/>
      <c r="G218" s="1"/>
    </row>
    <row r="219" ht="14.25" customHeight="1">
      <c r="A219" s="1"/>
      <c r="B219" s="1"/>
      <c r="C219" s="1"/>
      <c r="D219" s="2"/>
      <c r="F219" s="1"/>
      <c r="G219" s="1"/>
    </row>
    <row r="220" ht="14.25" customHeight="1">
      <c r="A220" s="1"/>
      <c r="B220" s="1"/>
      <c r="C220" s="1"/>
      <c r="D220" s="2"/>
      <c r="F220" s="1"/>
      <c r="G220" s="1"/>
    </row>
    <row r="221" ht="14.25" customHeight="1">
      <c r="A221" s="1"/>
      <c r="B221" s="1"/>
      <c r="C221" s="1"/>
      <c r="D221" s="2"/>
      <c r="F221" s="1"/>
      <c r="G221" s="1"/>
    </row>
    <row r="222" ht="14.25" customHeight="1">
      <c r="A222" s="1"/>
      <c r="B222" s="1"/>
      <c r="C222" s="1"/>
      <c r="D222" s="2"/>
      <c r="F222" s="1"/>
      <c r="G222" s="1"/>
    </row>
    <row r="223" ht="14.25" customHeight="1">
      <c r="A223" s="1"/>
      <c r="B223" s="1"/>
      <c r="C223" s="1"/>
      <c r="D223" s="2"/>
      <c r="F223" s="1"/>
      <c r="G223" s="1"/>
    </row>
    <row r="224" ht="14.25" customHeight="1">
      <c r="A224" s="1"/>
      <c r="B224" s="1"/>
      <c r="C224" s="1"/>
      <c r="D224" s="2"/>
      <c r="F224" s="1"/>
      <c r="G224" s="1"/>
    </row>
    <row r="225" ht="14.25" customHeight="1">
      <c r="A225" s="1"/>
      <c r="B225" s="1"/>
      <c r="C225" s="1"/>
      <c r="D225" s="2"/>
      <c r="F225" s="1"/>
      <c r="G225" s="1"/>
    </row>
    <row r="226" ht="14.25" customHeight="1">
      <c r="A226" s="1"/>
      <c r="B226" s="1"/>
      <c r="C226" s="1"/>
      <c r="D226" s="2"/>
      <c r="F226" s="1"/>
      <c r="G226" s="1"/>
    </row>
    <row r="227" ht="14.25" customHeight="1">
      <c r="A227" s="1"/>
      <c r="B227" s="1"/>
      <c r="C227" s="1"/>
      <c r="D227" s="2"/>
      <c r="F227" s="1"/>
      <c r="G227" s="1"/>
    </row>
    <row r="228" ht="14.25" customHeight="1">
      <c r="A228" s="1"/>
      <c r="B228" s="1"/>
      <c r="C228" s="1"/>
      <c r="D228" s="2"/>
      <c r="F228" s="1"/>
      <c r="G228" s="1"/>
    </row>
    <row r="229" ht="14.25" customHeight="1">
      <c r="A229" s="1"/>
      <c r="B229" s="1"/>
      <c r="C229" s="1"/>
      <c r="D229" s="2"/>
      <c r="F229" s="1"/>
      <c r="G229" s="1"/>
    </row>
    <row r="230" ht="14.25" customHeight="1">
      <c r="A230" s="1"/>
      <c r="B230" s="1"/>
      <c r="C230" s="1"/>
      <c r="D230" s="2"/>
      <c r="F230" s="1"/>
      <c r="G230" s="1"/>
    </row>
    <row r="231" ht="14.25" customHeight="1">
      <c r="A231" s="1"/>
      <c r="B231" s="1"/>
      <c r="C231" s="1"/>
      <c r="D231" s="2"/>
      <c r="F231" s="1"/>
      <c r="G231" s="1"/>
    </row>
    <row r="232" ht="14.25" customHeight="1">
      <c r="A232" s="1"/>
      <c r="B232" s="1"/>
      <c r="C232" s="1"/>
      <c r="D232" s="2"/>
      <c r="F232" s="1"/>
      <c r="G232" s="1"/>
    </row>
    <row r="233" ht="14.25" customHeight="1">
      <c r="A233" s="1"/>
      <c r="B233" s="1"/>
      <c r="C233" s="1"/>
      <c r="D233" s="2"/>
      <c r="F233" s="1"/>
      <c r="G233" s="1"/>
    </row>
    <row r="234" ht="14.25" customHeight="1">
      <c r="A234" s="1"/>
      <c r="B234" s="1"/>
      <c r="C234" s="1"/>
      <c r="D234" s="2"/>
      <c r="F234" s="1"/>
      <c r="G234" s="1"/>
    </row>
    <row r="235" ht="14.25" customHeight="1">
      <c r="A235" s="1"/>
      <c r="B235" s="1"/>
      <c r="C235" s="1"/>
      <c r="D235" s="2"/>
      <c r="F235" s="1"/>
      <c r="G235" s="1"/>
    </row>
    <row r="236" ht="14.25" customHeight="1">
      <c r="A236" s="1"/>
      <c r="B236" s="1"/>
      <c r="C236" s="1"/>
      <c r="D236" s="2"/>
      <c r="F236" s="1"/>
      <c r="G236" s="1"/>
    </row>
    <row r="237" ht="14.25" customHeight="1">
      <c r="A237" s="1"/>
      <c r="B237" s="1"/>
      <c r="C237" s="1"/>
      <c r="D237" s="2"/>
      <c r="F237" s="1"/>
      <c r="G237" s="1"/>
    </row>
    <row r="238" ht="14.25" customHeight="1">
      <c r="A238" s="1"/>
      <c r="B238" s="1"/>
      <c r="C238" s="1"/>
      <c r="D238" s="2"/>
      <c r="F238" s="1"/>
      <c r="G238" s="1"/>
    </row>
    <row r="239" ht="14.25" customHeight="1">
      <c r="A239" s="1"/>
      <c r="B239" s="1"/>
      <c r="C239" s="1"/>
      <c r="D239" s="2"/>
      <c r="F239" s="1"/>
      <c r="G239" s="1"/>
    </row>
    <row r="240" ht="14.25" customHeight="1">
      <c r="A240" s="1"/>
      <c r="B240" s="1"/>
      <c r="C240" s="1"/>
      <c r="D240" s="2"/>
      <c r="F240" s="1"/>
      <c r="G240" s="1"/>
    </row>
    <row r="241" ht="14.25" customHeight="1">
      <c r="A241" s="1"/>
      <c r="B241" s="1"/>
      <c r="C241" s="1"/>
      <c r="D241" s="2"/>
      <c r="F241" s="1"/>
      <c r="G241" s="1"/>
    </row>
    <row r="242" ht="14.25" customHeight="1">
      <c r="A242" s="1"/>
      <c r="B242" s="1"/>
      <c r="C242" s="1"/>
      <c r="D242" s="2"/>
      <c r="F242" s="1"/>
      <c r="G242" s="1"/>
    </row>
    <row r="243" ht="14.25" customHeight="1">
      <c r="A243" s="1"/>
      <c r="B243" s="1"/>
      <c r="C243" s="1"/>
      <c r="D243" s="2"/>
      <c r="F243" s="1"/>
      <c r="G243" s="1"/>
    </row>
    <row r="244" ht="14.25" customHeight="1">
      <c r="A244" s="1"/>
      <c r="B244" s="1"/>
      <c r="C244" s="1"/>
      <c r="D244" s="2"/>
      <c r="F244" s="1"/>
      <c r="G244" s="1"/>
    </row>
    <row r="245" ht="14.25" customHeight="1">
      <c r="A245" s="1"/>
      <c r="B245" s="1"/>
      <c r="C245" s="1"/>
      <c r="D245" s="2"/>
      <c r="F245" s="1"/>
      <c r="G245" s="1"/>
    </row>
    <row r="246" ht="14.25" customHeight="1">
      <c r="A246" s="1"/>
      <c r="B246" s="1"/>
      <c r="C246" s="1"/>
      <c r="D246" s="2"/>
      <c r="F246" s="1"/>
      <c r="G246" s="1"/>
    </row>
    <row r="247" ht="14.25" customHeight="1">
      <c r="A247" s="1"/>
      <c r="B247" s="1"/>
      <c r="C247" s="1"/>
      <c r="D247" s="2"/>
      <c r="F247" s="1"/>
      <c r="G247" s="1"/>
    </row>
    <row r="248" ht="14.25" customHeight="1">
      <c r="A248" s="1"/>
      <c r="B248" s="1"/>
      <c r="C248" s="1"/>
      <c r="D248" s="2"/>
      <c r="F248" s="1"/>
      <c r="G248" s="1"/>
    </row>
    <row r="249" ht="14.25" customHeight="1">
      <c r="A249" s="1"/>
      <c r="B249" s="1"/>
      <c r="C249" s="1"/>
      <c r="D249" s="2"/>
      <c r="F249" s="1"/>
      <c r="G249" s="1"/>
    </row>
    <row r="250" ht="14.25" customHeight="1">
      <c r="A250" s="1"/>
      <c r="B250" s="1"/>
      <c r="C250" s="1"/>
      <c r="D250" s="2"/>
      <c r="F250" s="1"/>
      <c r="G250" s="1"/>
    </row>
    <row r="251" ht="14.25" customHeight="1">
      <c r="A251" s="1"/>
      <c r="B251" s="1"/>
      <c r="C251" s="1"/>
      <c r="D251" s="2"/>
      <c r="F251" s="1"/>
      <c r="G251" s="1"/>
    </row>
    <row r="252" ht="14.25" customHeight="1">
      <c r="A252" s="1"/>
      <c r="B252" s="1"/>
      <c r="C252" s="1"/>
      <c r="D252" s="2"/>
      <c r="F252" s="1"/>
      <c r="G252" s="1"/>
    </row>
    <row r="253" ht="14.25" customHeight="1">
      <c r="A253" s="1"/>
      <c r="B253" s="1"/>
      <c r="C253" s="1"/>
      <c r="D253" s="2"/>
      <c r="F253" s="1"/>
      <c r="G253" s="1"/>
    </row>
    <row r="254" ht="14.25" customHeight="1">
      <c r="A254" s="1"/>
      <c r="B254" s="1"/>
      <c r="C254" s="1"/>
      <c r="D254" s="2"/>
      <c r="F254" s="1"/>
      <c r="G254" s="1"/>
    </row>
    <row r="255" ht="14.25" customHeight="1">
      <c r="A255" s="1"/>
      <c r="B255" s="1"/>
      <c r="C255" s="1"/>
      <c r="D255" s="2"/>
      <c r="F255" s="1"/>
      <c r="G255" s="1"/>
    </row>
    <row r="256" ht="14.25" customHeight="1">
      <c r="A256" s="1"/>
      <c r="B256" s="1"/>
      <c r="C256" s="1"/>
      <c r="D256" s="2"/>
      <c r="F256" s="1"/>
      <c r="G256" s="1"/>
    </row>
    <row r="257" ht="14.25" customHeight="1">
      <c r="A257" s="1"/>
      <c r="B257" s="1"/>
      <c r="C257" s="1"/>
      <c r="D257" s="2"/>
      <c r="F257" s="1"/>
      <c r="G257" s="1"/>
    </row>
    <row r="258" ht="14.25" customHeight="1">
      <c r="A258" s="1"/>
      <c r="B258" s="1"/>
      <c r="C258" s="1"/>
      <c r="D258" s="2"/>
      <c r="F258" s="1"/>
      <c r="G258" s="1"/>
    </row>
    <row r="259" ht="14.25" customHeight="1">
      <c r="A259" s="1"/>
      <c r="B259" s="1"/>
      <c r="C259" s="1"/>
      <c r="D259" s="2"/>
      <c r="F259" s="1"/>
      <c r="G259" s="1"/>
    </row>
    <row r="260" ht="14.25" customHeight="1">
      <c r="A260" s="1"/>
      <c r="B260" s="1"/>
      <c r="C260" s="1"/>
      <c r="D260" s="2"/>
      <c r="F260" s="1"/>
      <c r="G260" s="1"/>
    </row>
    <row r="261" ht="14.25" customHeight="1">
      <c r="A261" s="1"/>
      <c r="B261" s="1"/>
      <c r="C261" s="1"/>
      <c r="D261" s="2"/>
      <c r="F261" s="1"/>
      <c r="G261" s="1"/>
    </row>
    <row r="262" ht="14.25" customHeight="1">
      <c r="A262" s="1"/>
      <c r="B262" s="1"/>
      <c r="C262" s="1"/>
      <c r="D262" s="2"/>
      <c r="F262" s="1"/>
      <c r="G262" s="1"/>
    </row>
    <row r="263" ht="14.25" customHeight="1">
      <c r="A263" s="1"/>
      <c r="B263" s="1"/>
      <c r="C263" s="1"/>
      <c r="D263" s="2"/>
      <c r="F263" s="1"/>
      <c r="G263" s="1"/>
    </row>
    <row r="264" ht="14.25" customHeight="1">
      <c r="A264" s="1"/>
      <c r="B264" s="1"/>
      <c r="C264" s="1"/>
      <c r="D264" s="2"/>
      <c r="F264" s="1"/>
      <c r="G264" s="1"/>
    </row>
    <row r="265" ht="14.25" customHeight="1">
      <c r="A265" s="1"/>
      <c r="B265" s="1"/>
      <c r="C265" s="1"/>
      <c r="D265" s="2"/>
      <c r="F265" s="1"/>
      <c r="G265" s="1"/>
    </row>
    <row r="266" ht="14.25" customHeight="1">
      <c r="A266" s="1"/>
      <c r="B266" s="1"/>
      <c r="C266" s="1"/>
      <c r="D266" s="2"/>
      <c r="F266" s="1"/>
      <c r="G266" s="1"/>
    </row>
    <row r="267" ht="14.25" customHeight="1">
      <c r="A267" s="1"/>
      <c r="B267" s="1"/>
      <c r="C267" s="1"/>
      <c r="D267" s="2"/>
      <c r="F267" s="1"/>
      <c r="G267" s="1"/>
    </row>
    <row r="268" ht="14.25" customHeight="1">
      <c r="A268" s="1"/>
      <c r="B268" s="1"/>
      <c r="C268" s="1"/>
      <c r="D268" s="2"/>
      <c r="F268" s="1"/>
      <c r="G268" s="1"/>
    </row>
    <row r="269" ht="14.25" customHeight="1">
      <c r="A269" s="1"/>
      <c r="B269" s="1"/>
      <c r="C269" s="1"/>
      <c r="D269" s="2"/>
      <c r="F269" s="1"/>
      <c r="G269" s="1"/>
    </row>
    <row r="270" ht="14.25" customHeight="1">
      <c r="A270" s="1"/>
      <c r="B270" s="1"/>
      <c r="C270" s="1"/>
      <c r="D270" s="2"/>
      <c r="F270" s="1"/>
      <c r="G270" s="1"/>
    </row>
    <row r="271" ht="14.25" customHeight="1">
      <c r="A271" s="1"/>
      <c r="B271" s="1"/>
      <c r="C271" s="1"/>
      <c r="D271" s="2"/>
      <c r="F271" s="1"/>
      <c r="G271" s="1"/>
    </row>
    <row r="272" ht="14.25" customHeight="1">
      <c r="A272" s="1"/>
      <c r="B272" s="1"/>
      <c r="C272" s="1"/>
      <c r="D272" s="2"/>
      <c r="F272" s="1"/>
      <c r="G272" s="1"/>
    </row>
    <row r="273" ht="14.25" customHeight="1">
      <c r="A273" s="1"/>
      <c r="B273" s="1"/>
      <c r="C273" s="1"/>
      <c r="D273" s="2"/>
      <c r="F273" s="1"/>
      <c r="G273" s="1"/>
    </row>
    <row r="274" ht="14.25" customHeight="1">
      <c r="A274" s="1"/>
      <c r="B274" s="1"/>
      <c r="C274" s="1"/>
      <c r="D274" s="2"/>
      <c r="F274" s="1"/>
      <c r="G274" s="1"/>
    </row>
    <row r="275" ht="14.25" customHeight="1">
      <c r="A275" s="1"/>
      <c r="B275" s="1"/>
      <c r="C275" s="1"/>
      <c r="D275" s="2"/>
      <c r="F275" s="1"/>
      <c r="G275" s="1"/>
    </row>
    <row r="276" ht="14.25" customHeight="1">
      <c r="A276" s="1"/>
      <c r="B276" s="1"/>
      <c r="C276" s="1"/>
      <c r="D276" s="2"/>
      <c r="F276" s="1"/>
      <c r="G276" s="1"/>
    </row>
    <row r="277" ht="14.25" customHeight="1">
      <c r="A277" s="1"/>
      <c r="B277" s="1"/>
      <c r="C277" s="1"/>
      <c r="D277" s="2"/>
      <c r="F277" s="1"/>
      <c r="G277" s="1"/>
    </row>
    <row r="278" ht="14.25" customHeight="1">
      <c r="A278" s="1"/>
      <c r="B278" s="1"/>
      <c r="C278" s="1"/>
      <c r="D278" s="2"/>
      <c r="F278" s="1"/>
      <c r="G278" s="1"/>
    </row>
    <row r="279" ht="14.25" customHeight="1">
      <c r="A279" s="1"/>
      <c r="B279" s="1"/>
      <c r="C279" s="1"/>
      <c r="D279" s="2"/>
      <c r="F279" s="1"/>
      <c r="G279" s="1"/>
    </row>
    <row r="280" ht="14.25" customHeight="1">
      <c r="A280" s="1"/>
      <c r="B280" s="1"/>
      <c r="C280" s="1"/>
      <c r="D280" s="2"/>
      <c r="F280" s="1"/>
      <c r="G280" s="1"/>
    </row>
    <row r="281" ht="14.25" customHeight="1">
      <c r="A281" s="1"/>
      <c r="B281" s="1"/>
      <c r="C281" s="1"/>
      <c r="D281" s="2"/>
      <c r="F281" s="1"/>
      <c r="G281" s="1"/>
    </row>
    <row r="282" ht="14.25" customHeight="1">
      <c r="A282" s="1"/>
      <c r="B282" s="1"/>
      <c r="C282" s="1"/>
      <c r="D282" s="2"/>
      <c r="F282" s="1"/>
      <c r="G282" s="1"/>
    </row>
    <row r="283" ht="14.25" customHeight="1">
      <c r="A283" s="1"/>
      <c r="B283" s="1"/>
      <c r="C283" s="1"/>
      <c r="D283" s="2"/>
      <c r="F283" s="1"/>
      <c r="G283" s="1"/>
    </row>
    <row r="284" ht="14.25" customHeight="1">
      <c r="A284" s="1"/>
      <c r="B284" s="1"/>
      <c r="C284" s="1"/>
      <c r="D284" s="2"/>
      <c r="F284" s="1"/>
      <c r="G284" s="1"/>
    </row>
    <row r="285" ht="14.25" customHeight="1">
      <c r="A285" s="1"/>
      <c r="B285" s="1"/>
      <c r="C285" s="1"/>
      <c r="D285" s="2"/>
      <c r="F285" s="1"/>
      <c r="G285" s="1"/>
    </row>
    <row r="286" ht="14.25" customHeight="1">
      <c r="A286" s="1"/>
      <c r="B286" s="1"/>
      <c r="C286" s="1"/>
      <c r="D286" s="2"/>
      <c r="F286" s="1"/>
      <c r="G286" s="1"/>
    </row>
    <row r="287" ht="14.25" customHeight="1">
      <c r="A287" s="1"/>
      <c r="B287" s="1"/>
      <c r="C287" s="1"/>
      <c r="D287" s="2"/>
      <c r="F287" s="1"/>
      <c r="G287" s="1"/>
    </row>
    <row r="288" ht="14.25" customHeight="1">
      <c r="A288" s="1"/>
      <c r="B288" s="1"/>
      <c r="C288" s="1"/>
      <c r="D288" s="2"/>
      <c r="F288" s="1"/>
      <c r="G288" s="1"/>
    </row>
    <row r="289" ht="14.25" customHeight="1">
      <c r="A289" s="1"/>
      <c r="B289" s="1"/>
      <c r="C289" s="1"/>
      <c r="D289" s="2"/>
      <c r="F289" s="1"/>
      <c r="G289" s="1"/>
    </row>
    <row r="290" ht="14.25" customHeight="1">
      <c r="A290" s="1"/>
      <c r="B290" s="1"/>
      <c r="C290" s="1"/>
      <c r="D290" s="2"/>
      <c r="F290" s="1"/>
      <c r="G290" s="1"/>
    </row>
    <row r="291" ht="14.25" customHeight="1">
      <c r="A291" s="1"/>
      <c r="B291" s="1"/>
      <c r="C291" s="1"/>
      <c r="D291" s="2"/>
      <c r="F291" s="1"/>
      <c r="G291" s="1"/>
    </row>
    <row r="292" ht="14.25" customHeight="1">
      <c r="A292" s="1"/>
      <c r="B292" s="1"/>
      <c r="C292" s="1"/>
      <c r="D292" s="2"/>
      <c r="F292" s="1"/>
      <c r="G292" s="1"/>
    </row>
    <row r="293" ht="14.25" customHeight="1">
      <c r="A293" s="1"/>
      <c r="B293" s="1"/>
      <c r="C293" s="1"/>
      <c r="D293" s="2"/>
      <c r="F293" s="1"/>
      <c r="G293" s="1"/>
    </row>
    <row r="294" ht="14.25" customHeight="1">
      <c r="A294" s="1"/>
      <c r="B294" s="1"/>
      <c r="C294" s="1"/>
      <c r="D294" s="2"/>
      <c r="F294" s="1"/>
      <c r="G294" s="1"/>
    </row>
    <row r="295" ht="14.25" customHeight="1">
      <c r="A295" s="1"/>
      <c r="B295" s="1"/>
      <c r="C295" s="1"/>
      <c r="D295" s="2"/>
      <c r="F295" s="1"/>
      <c r="G295" s="1"/>
    </row>
    <row r="296" ht="14.25" customHeight="1">
      <c r="A296" s="1"/>
      <c r="B296" s="1"/>
      <c r="C296" s="1"/>
      <c r="D296" s="2"/>
      <c r="F296" s="1"/>
      <c r="G296" s="1"/>
    </row>
    <row r="297" ht="14.25" customHeight="1">
      <c r="A297" s="1"/>
      <c r="B297" s="1"/>
      <c r="C297" s="1"/>
      <c r="D297" s="2"/>
      <c r="F297" s="1"/>
      <c r="G297" s="1"/>
    </row>
    <row r="298" ht="14.25" customHeight="1">
      <c r="A298" s="1"/>
      <c r="B298" s="1"/>
      <c r="C298" s="1"/>
      <c r="D298" s="2"/>
      <c r="F298" s="1"/>
      <c r="G298" s="1"/>
    </row>
    <row r="299" ht="14.25" customHeight="1">
      <c r="A299" s="1"/>
      <c r="B299" s="1"/>
      <c r="C299" s="1"/>
      <c r="D299" s="2"/>
      <c r="F299" s="1"/>
      <c r="G299" s="1"/>
    </row>
    <row r="300" ht="14.25" customHeight="1">
      <c r="A300" s="1"/>
      <c r="B300" s="1"/>
      <c r="C300" s="1"/>
      <c r="D300" s="2"/>
      <c r="F300" s="1"/>
      <c r="G300" s="1"/>
    </row>
    <row r="301" ht="14.25" customHeight="1">
      <c r="A301" s="1"/>
      <c r="B301" s="1"/>
      <c r="C301" s="1"/>
      <c r="D301" s="2"/>
      <c r="F301" s="1"/>
      <c r="G301" s="1"/>
    </row>
    <row r="302" ht="14.25" customHeight="1">
      <c r="A302" s="1"/>
      <c r="B302" s="1"/>
      <c r="C302" s="1"/>
      <c r="D302" s="2"/>
      <c r="F302" s="1"/>
      <c r="G302" s="1"/>
    </row>
    <row r="303" ht="14.25" customHeight="1">
      <c r="A303" s="1"/>
      <c r="B303" s="1"/>
      <c r="C303" s="1"/>
      <c r="D303" s="2"/>
      <c r="F303" s="1"/>
      <c r="G303" s="1"/>
    </row>
    <row r="304" ht="14.25" customHeight="1">
      <c r="A304" s="1"/>
      <c r="B304" s="1"/>
      <c r="C304" s="1"/>
      <c r="D304" s="2"/>
      <c r="F304" s="1"/>
      <c r="G304" s="1"/>
    </row>
    <row r="305" ht="14.25" customHeight="1">
      <c r="A305" s="1"/>
      <c r="B305" s="1"/>
      <c r="C305" s="1"/>
      <c r="D305" s="2"/>
      <c r="F305" s="1"/>
      <c r="G305" s="1"/>
    </row>
    <row r="306" ht="14.25" customHeight="1">
      <c r="A306" s="1"/>
      <c r="B306" s="1"/>
      <c r="C306" s="1"/>
      <c r="D306" s="2"/>
      <c r="F306" s="1"/>
      <c r="G306" s="1"/>
    </row>
    <row r="307" ht="14.25" customHeight="1">
      <c r="A307" s="1"/>
      <c r="B307" s="1"/>
      <c r="C307" s="1"/>
      <c r="D307" s="2"/>
      <c r="F307" s="1"/>
      <c r="G307" s="1"/>
    </row>
    <row r="308" ht="14.25" customHeight="1">
      <c r="A308" s="1"/>
      <c r="B308" s="1"/>
      <c r="C308" s="1"/>
      <c r="D308" s="2"/>
      <c r="F308" s="1"/>
      <c r="G308" s="1"/>
    </row>
    <row r="309" ht="14.25" customHeight="1">
      <c r="A309" s="1"/>
      <c r="B309" s="1"/>
      <c r="C309" s="1"/>
      <c r="D309" s="2"/>
      <c r="F309" s="1"/>
      <c r="G309" s="1"/>
    </row>
    <row r="310" ht="14.25" customHeight="1">
      <c r="A310" s="1"/>
      <c r="B310" s="1"/>
      <c r="C310" s="1"/>
      <c r="D310" s="2"/>
      <c r="F310" s="1"/>
      <c r="G310" s="1"/>
    </row>
    <row r="311" ht="14.25" customHeight="1">
      <c r="A311" s="1"/>
      <c r="B311" s="1"/>
      <c r="C311" s="1"/>
      <c r="D311" s="2"/>
      <c r="F311" s="1"/>
      <c r="G311" s="1"/>
    </row>
    <row r="312" ht="14.25" customHeight="1">
      <c r="A312" s="1"/>
      <c r="B312" s="1"/>
      <c r="C312" s="1"/>
      <c r="D312" s="2"/>
      <c r="F312" s="1"/>
      <c r="G312" s="1"/>
    </row>
    <row r="313" ht="14.25" customHeight="1">
      <c r="A313" s="1"/>
      <c r="B313" s="1"/>
      <c r="C313" s="1"/>
      <c r="D313" s="2"/>
      <c r="F313" s="1"/>
      <c r="G313" s="1"/>
    </row>
    <row r="314" ht="14.25" customHeight="1">
      <c r="A314" s="1"/>
      <c r="B314" s="1"/>
      <c r="C314" s="1"/>
      <c r="D314" s="2"/>
      <c r="F314" s="1"/>
      <c r="G314" s="1"/>
    </row>
    <row r="315" ht="14.25" customHeight="1">
      <c r="A315" s="1"/>
      <c r="B315" s="1"/>
      <c r="C315" s="1"/>
      <c r="D315" s="2"/>
      <c r="F315" s="1"/>
      <c r="G315" s="1"/>
    </row>
    <row r="316" ht="14.25" customHeight="1">
      <c r="A316" s="1"/>
      <c r="B316" s="1"/>
      <c r="C316" s="1"/>
      <c r="D316" s="2"/>
      <c r="F316" s="1"/>
      <c r="G316" s="1"/>
    </row>
    <row r="317" ht="14.25" customHeight="1">
      <c r="A317" s="1"/>
      <c r="B317" s="1"/>
      <c r="C317" s="1"/>
      <c r="D317" s="2"/>
      <c r="F317" s="1"/>
      <c r="G317" s="1"/>
    </row>
    <row r="318" ht="14.25" customHeight="1">
      <c r="A318" s="1"/>
      <c r="B318" s="1"/>
      <c r="C318" s="1"/>
      <c r="D318" s="2"/>
      <c r="F318" s="1"/>
      <c r="G318" s="1"/>
    </row>
    <row r="319" ht="14.25" customHeight="1">
      <c r="A319" s="1"/>
      <c r="B319" s="1"/>
      <c r="C319" s="1"/>
      <c r="D319" s="2"/>
      <c r="F319" s="1"/>
      <c r="G319" s="1"/>
    </row>
    <row r="320" ht="14.25" customHeight="1">
      <c r="A320" s="1"/>
      <c r="B320" s="1"/>
      <c r="C320" s="1"/>
      <c r="D320" s="2"/>
      <c r="F320" s="1"/>
      <c r="G320" s="1"/>
    </row>
    <row r="321" ht="14.25" customHeight="1">
      <c r="A321" s="1"/>
      <c r="B321" s="1"/>
      <c r="C321" s="1"/>
      <c r="D321" s="2"/>
      <c r="F321" s="1"/>
      <c r="G321" s="1"/>
    </row>
    <row r="322" ht="14.25" customHeight="1">
      <c r="A322" s="1"/>
      <c r="B322" s="1"/>
      <c r="C322" s="1"/>
      <c r="D322" s="2"/>
      <c r="F322" s="1"/>
      <c r="G322" s="1"/>
    </row>
    <row r="323" ht="14.25" customHeight="1">
      <c r="A323" s="1"/>
      <c r="B323" s="1"/>
      <c r="C323" s="1"/>
      <c r="D323" s="2"/>
      <c r="F323" s="1"/>
      <c r="G323" s="1"/>
    </row>
    <row r="324" ht="14.25" customHeight="1">
      <c r="A324" s="1"/>
      <c r="B324" s="1"/>
      <c r="C324" s="1"/>
      <c r="D324" s="2"/>
      <c r="F324" s="1"/>
      <c r="G324" s="1"/>
    </row>
    <row r="325" ht="14.25" customHeight="1">
      <c r="A325" s="1"/>
      <c r="B325" s="1"/>
      <c r="C325" s="1"/>
      <c r="D325" s="2"/>
      <c r="F325" s="1"/>
      <c r="G325" s="1"/>
    </row>
    <row r="326" ht="14.25" customHeight="1">
      <c r="A326" s="1"/>
      <c r="B326" s="1"/>
      <c r="C326" s="1"/>
      <c r="D326" s="2"/>
      <c r="F326" s="1"/>
      <c r="G326" s="1"/>
    </row>
    <row r="327" ht="14.25" customHeight="1">
      <c r="A327" s="1"/>
      <c r="B327" s="1"/>
      <c r="C327" s="1"/>
      <c r="D327" s="2"/>
      <c r="F327" s="1"/>
      <c r="G327" s="1"/>
    </row>
    <row r="328" ht="14.25" customHeight="1">
      <c r="A328" s="1"/>
      <c r="B328" s="1"/>
      <c r="C328" s="1"/>
      <c r="D328" s="2"/>
      <c r="F328" s="1"/>
      <c r="G328" s="1"/>
    </row>
    <row r="329" ht="14.25" customHeight="1">
      <c r="A329" s="1"/>
      <c r="B329" s="1"/>
      <c r="C329" s="1"/>
      <c r="D329" s="2"/>
      <c r="F329" s="1"/>
      <c r="G329" s="1"/>
    </row>
    <row r="330" ht="14.25" customHeight="1">
      <c r="A330" s="1"/>
      <c r="B330" s="1"/>
      <c r="C330" s="1"/>
      <c r="D330" s="2"/>
      <c r="F330" s="1"/>
      <c r="G330" s="1"/>
    </row>
    <row r="331" ht="14.25" customHeight="1">
      <c r="A331" s="1"/>
      <c r="B331" s="1"/>
      <c r="C331" s="1"/>
      <c r="D331" s="2"/>
      <c r="F331" s="1"/>
      <c r="G331" s="1"/>
    </row>
    <row r="332" ht="14.25" customHeight="1">
      <c r="A332" s="1"/>
      <c r="B332" s="1"/>
      <c r="C332" s="1"/>
      <c r="D332" s="2"/>
      <c r="F332" s="1"/>
      <c r="G332" s="1"/>
    </row>
    <row r="333" ht="14.25" customHeight="1">
      <c r="A333" s="1"/>
      <c r="B333" s="1"/>
      <c r="C333" s="1"/>
      <c r="D333" s="2"/>
      <c r="F333" s="1"/>
      <c r="G333" s="1"/>
    </row>
    <row r="334" ht="14.25" customHeight="1">
      <c r="A334" s="1"/>
      <c r="B334" s="1"/>
      <c r="C334" s="1"/>
      <c r="D334" s="2"/>
      <c r="F334" s="1"/>
      <c r="G334" s="1"/>
    </row>
    <row r="335" ht="14.25" customHeight="1">
      <c r="A335" s="1"/>
      <c r="B335" s="1"/>
      <c r="C335" s="1"/>
      <c r="D335" s="2"/>
      <c r="F335" s="1"/>
      <c r="G335" s="1"/>
    </row>
    <row r="336" ht="14.25" customHeight="1">
      <c r="A336" s="1"/>
      <c r="B336" s="1"/>
      <c r="C336" s="1"/>
      <c r="D336" s="2"/>
      <c r="F336" s="1"/>
      <c r="G336" s="1"/>
    </row>
    <row r="337" ht="14.25" customHeight="1">
      <c r="A337" s="1"/>
      <c r="B337" s="1"/>
      <c r="C337" s="1"/>
      <c r="D337" s="2"/>
      <c r="F337" s="1"/>
      <c r="G337" s="1"/>
    </row>
    <row r="338" ht="14.25" customHeight="1">
      <c r="A338" s="1"/>
      <c r="B338" s="1"/>
      <c r="C338" s="1"/>
      <c r="D338" s="2"/>
      <c r="F338" s="1"/>
      <c r="G338" s="1"/>
    </row>
    <row r="339" ht="14.25" customHeight="1">
      <c r="A339" s="1"/>
      <c r="B339" s="1"/>
      <c r="C339" s="1"/>
      <c r="D339" s="2"/>
      <c r="F339" s="1"/>
      <c r="G339" s="1"/>
    </row>
    <row r="340" ht="14.25" customHeight="1">
      <c r="A340" s="1"/>
      <c r="B340" s="1"/>
      <c r="C340" s="1"/>
      <c r="D340" s="2"/>
      <c r="F340" s="1"/>
      <c r="G340" s="1"/>
    </row>
    <row r="341" ht="14.25" customHeight="1">
      <c r="A341" s="1"/>
      <c r="B341" s="1"/>
      <c r="C341" s="1"/>
      <c r="D341" s="2"/>
      <c r="F341" s="1"/>
      <c r="G341" s="1"/>
    </row>
    <row r="342" ht="14.25" customHeight="1">
      <c r="A342" s="1"/>
      <c r="B342" s="1"/>
      <c r="C342" s="1"/>
      <c r="D342" s="2"/>
      <c r="F342" s="1"/>
      <c r="G342" s="1"/>
    </row>
    <row r="343" ht="14.25" customHeight="1">
      <c r="A343" s="1"/>
      <c r="B343" s="1"/>
      <c r="C343" s="1"/>
      <c r="D343" s="2"/>
      <c r="F343" s="1"/>
      <c r="G343" s="1"/>
    </row>
    <row r="344" ht="14.25" customHeight="1">
      <c r="A344" s="1"/>
      <c r="B344" s="1"/>
      <c r="C344" s="1"/>
      <c r="D344" s="2"/>
      <c r="F344" s="1"/>
      <c r="G344" s="1"/>
    </row>
    <row r="345" ht="14.25" customHeight="1">
      <c r="A345" s="1"/>
      <c r="B345" s="1"/>
      <c r="C345" s="1"/>
      <c r="D345" s="2"/>
      <c r="F345" s="1"/>
      <c r="G345" s="1"/>
    </row>
    <row r="346" ht="14.25" customHeight="1">
      <c r="A346" s="1"/>
      <c r="B346" s="1"/>
      <c r="C346" s="1"/>
      <c r="D346" s="2"/>
      <c r="F346" s="1"/>
      <c r="G346" s="1"/>
    </row>
    <row r="347" ht="14.25" customHeight="1">
      <c r="A347" s="1"/>
      <c r="B347" s="1"/>
      <c r="C347" s="1"/>
      <c r="D347" s="2"/>
      <c r="F347" s="1"/>
      <c r="G347" s="1"/>
    </row>
    <row r="348" ht="14.25" customHeight="1">
      <c r="A348" s="1"/>
      <c r="B348" s="1"/>
      <c r="C348" s="1"/>
      <c r="D348" s="2"/>
      <c r="F348" s="1"/>
      <c r="G348" s="1"/>
    </row>
    <row r="349" ht="14.25" customHeight="1">
      <c r="A349" s="1"/>
      <c r="B349" s="1"/>
      <c r="C349" s="1"/>
      <c r="D349" s="2"/>
      <c r="F349" s="1"/>
      <c r="G349" s="1"/>
    </row>
    <row r="350" ht="14.25" customHeight="1">
      <c r="A350" s="1"/>
      <c r="B350" s="1"/>
      <c r="C350" s="1"/>
      <c r="D350" s="2"/>
      <c r="F350" s="1"/>
      <c r="G350" s="1"/>
    </row>
    <row r="351" ht="14.25" customHeight="1">
      <c r="A351" s="1"/>
      <c r="B351" s="1"/>
      <c r="C351" s="1"/>
      <c r="D351" s="2"/>
      <c r="F351" s="1"/>
      <c r="G351" s="1"/>
    </row>
    <row r="352" ht="14.25" customHeight="1">
      <c r="A352" s="1"/>
      <c r="B352" s="1"/>
      <c r="C352" s="1"/>
      <c r="D352" s="2"/>
      <c r="F352" s="1"/>
      <c r="G352" s="1"/>
    </row>
    <row r="353" ht="14.25" customHeight="1">
      <c r="A353" s="1"/>
      <c r="B353" s="1"/>
      <c r="C353" s="1"/>
      <c r="D353" s="2"/>
      <c r="F353" s="1"/>
      <c r="G353" s="1"/>
    </row>
    <row r="354" ht="14.25" customHeight="1">
      <c r="A354" s="1"/>
      <c r="B354" s="1"/>
      <c r="C354" s="1"/>
      <c r="D354" s="2"/>
      <c r="F354" s="1"/>
      <c r="G354" s="1"/>
    </row>
    <row r="355" ht="14.25" customHeight="1">
      <c r="A355" s="1"/>
      <c r="B355" s="1"/>
      <c r="C355" s="1"/>
      <c r="D355" s="2"/>
      <c r="F355" s="1"/>
      <c r="G355" s="1"/>
    </row>
    <row r="356" ht="14.25" customHeight="1">
      <c r="A356" s="1"/>
      <c r="B356" s="1"/>
      <c r="C356" s="1"/>
      <c r="D356" s="2"/>
      <c r="F356" s="1"/>
      <c r="G356" s="1"/>
    </row>
    <row r="357" ht="14.25" customHeight="1">
      <c r="A357" s="1"/>
      <c r="B357" s="1"/>
      <c r="C357" s="1"/>
      <c r="D357" s="2"/>
      <c r="F357" s="1"/>
      <c r="G357" s="1"/>
    </row>
    <row r="358" ht="14.25" customHeight="1">
      <c r="A358" s="1"/>
      <c r="B358" s="1"/>
      <c r="C358" s="1"/>
      <c r="D358" s="2"/>
      <c r="F358" s="1"/>
      <c r="G358" s="1"/>
    </row>
    <row r="359" ht="14.25" customHeight="1">
      <c r="A359" s="1"/>
      <c r="B359" s="1"/>
      <c r="C359" s="1"/>
      <c r="D359" s="2"/>
      <c r="F359" s="1"/>
      <c r="G359" s="1"/>
    </row>
    <row r="360" ht="14.25" customHeight="1">
      <c r="A360" s="1"/>
      <c r="B360" s="1"/>
      <c r="C360" s="1"/>
      <c r="D360" s="2"/>
      <c r="F360" s="1"/>
      <c r="G360" s="1"/>
    </row>
    <row r="361" ht="14.25" customHeight="1">
      <c r="A361" s="1"/>
      <c r="B361" s="1"/>
      <c r="C361" s="1"/>
      <c r="D361" s="2"/>
      <c r="F361" s="1"/>
      <c r="G361" s="1"/>
    </row>
    <row r="362" ht="14.25" customHeight="1">
      <c r="A362" s="1"/>
      <c r="B362" s="1"/>
      <c r="C362" s="1"/>
      <c r="D362" s="2"/>
      <c r="F362" s="1"/>
      <c r="G362" s="1"/>
    </row>
    <row r="363" ht="14.25" customHeight="1">
      <c r="A363" s="1"/>
      <c r="B363" s="1"/>
      <c r="C363" s="1"/>
      <c r="D363" s="2"/>
      <c r="F363" s="1"/>
      <c r="G363" s="1"/>
    </row>
    <row r="364" ht="14.25" customHeight="1">
      <c r="A364" s="1"/>
      <c r="B364" s="1"/>
      <c r="C364" s="1"/>
      <c r="D364" s="2"/>
      <c r="F364" s="1"/>
      <c r="G364" s="1"/>
    </row>
    <row r="365" ht="14.25" customHeight="1">
      <c r="A365" s="1"/>
      <c r="B365" s="1"/>
      <c r="C365" s="1"/>
      <c r="D365" s="2"/>
      <c r="F365" s="1"/>
      <c r="G365" s="1"/>
    </row>
    <row r="366" ht="14.25" customHeight="1">
      <c r="A366" s="1"/>
      <c r="B366" s="1"/>
      <c r="C366" s="1"/>
      <c r="D366" s="2"/>
      <c r="F366" s="1"/>
      <c r="G366" s="1"/>
    </row>
    <row r="367" ht="14.25" customHeight="1">
      <c r="A367" s="1"/>
      <c r="B367" s="1"/>
      <c r="C367" s="1"/>
      <c r="D367" s="2"/>
      <c r="F367" s="1"/>
      <c r="G367" s="1"/>
    </row>
    <row r="368" ht="14.25" customHeight="1">
      <c r="A368" s="1"/>
      <c r="B368" s="1"/>
      <c r="C368" s="1"/>
      <c r="D368" s="2"/>
      <c r="F368" s="1"/>
      <c r="G368" s="1"/>
    </row>
    <row r="369" ht="14.25" customHeight="1">
      <c r="A369" s="1"/>
      <c r="B369" s="1"/>
      <c r="C369" s="1"/>
      <c r="D369" s="2"/>
      <c r="F369" s="1"/>
      <c r="G369" s="1"/>
    </row>
    <row r="370" ht="14.25" customHeight="1">
      <c r="A370" s="1"/>
      <c r="B370" s="1"/>
      <c r="C370" s="1"/>
      <c r="D370" s="2"/>
      <c r="F370" s="1"/>
      <c r="G370" s="1"/>
    </row>
    <row r="371" ht="14.25" customHeight="1">
      <c r="A371" s="1"/>
      <c r="B371" s="1"/>
      <c r="C371" s="1"/>
      <c r="D371" s="2"/>
      <c r="F371" s="1"/>
      <c r="G371" s="1"/>
    </row>
    <row r="372" ht="14.25" customHeight="1">
      <c r="A372" s="1"/>
      <c r="B372" s="1"/>
      <c r="C372" s="1"/>
      <c r="D372" s="2"/>
      <c r="F372" s="1"/>
      <c r="G372" s="1"/>
    </row>
    <row r="373" ht="14.25" customHeight="1">
      <c r="A373" s="1"/>
      <c r="B373" s="1"/>
      <c r="C373" s="1"/>
      <c r="D373" s="2"/>
      <c r="F373" s="1"/>
      <c r="G373" s="1"/>
    </row>
    <row r="374" ht="14.25" customHeight="1">
      <c r="A374" s="1"/>
      <c r="B374" s="1"/>
      <c r="C374" s="1"/>
      <c r="D374" s="2"/>
      <c r="F374" s="1"/>
      <c r="G374" s="1"/>
    </row>
    <row r="375" ht="14.25" customHeight="1">
      <c r="A375" s="1"/>
      <c r="B375" s="1"/>
      <c r="C375" s="1"/>
      <c r="D375" s="2"/>
      <c r="F375" s="1"/>
      <c r="G375" s="1"/>
    </row>
    <row r="376" ht="14.25" customHeight="1">
      <c r="A376" s="1"/>
      <c r="B376" s="1"/>
      <c r="C376" s="1"/>
      <c r="D376" s="2"/>
      <c r="F376" s="1"/>
      <c r="G376" s="1"/>
    </row>
    <row r="377" ht="14.25" customHeight="1">
      <c r="A377" s="1"/>
      <c r="B377" s="1"/>
      <c r="C377" s="1"/>
      <c r="D377" s="2"/>
      <c r="F377" s="1"/>
      <c r="G377" s="1"/>
    </row>
    <row r="378" ht="14.25" customHeight="1">
      <c r="A378" s="1"/>
      <c r="B378" s="1"/>
      <c r="C378" s="1"/>
      <c r="D378" s="2"/>
      <c r="F378" s="1"/>
      <c r="G378" s="1"/>
    </row>
    <row r="379" ht="14.25" customHeight="1">
      <c r="A379" s="1"/>
      <c r="B379" s="1"/>
      <c r="C379" s="1"/>
      <c r="D379" s="2"/>
      <c r="F379" s="1"/>
      <c r="G379" s="1"/>
    </row>
    <row r="380" ht="14.25" customHeight="1">
      <c r="A380" s="1"/>
      <c r="B380" s="1"/>
      <c r="C380" s="1"/>
      <c r="D380" s="2"/>
      <c r="F380" s="1"/>
      <c r="G380" s="1"/>
    </row>
    <row r="381" ht="14.25" customHeight="1">
      <c r="A381" s="1"/>
      <c r="B381" s="1"/>
      <c r="C381" s="1"/>
      <c r="D381" s="2"/>
      <c r="F381" s="1"/>
      <c r="G381" s="1"/>
    </row>
    <row r="382" ht="14.25" customHeight="1">
      <c r="A382" s="1"/>
      <c r="B382" s="1"/>
      <c r="C382" s="1"/>
      <c r="D382" s="2"/>
      <c r="F382" s="1"/>
      <c r="G382" s="1"/>
    </row>
    <row r="383" ht="14.25" customHeight="1">
      <c r="A383" s="1"/>
      <c r="B383" s="1"/>
      <c r="C383" s="1"/>
      <c r="D383" s="2"/>
      <c r="F383" s="1"/>
      <c r="G383" s="1"/>
    </row>
    <row r="384" ht="14.25" customHeight="1">
      <c r="A384" s="1"/>
      <c r="B384" s="1"/>
      <c r="C384" s="1"/>
      <c r="D384" s="2"/>
      <c r="F384" s="1"/>
      <c r="G384" s="1"/>
    </row>
    <row r="385" ht="14.25" customHeight="1">
      <c r="A385" s="1"/>
      <c r="B385" s="1"/>
      <c r="C385" s="1"/>
      <c r="D385" s="2"/>
      <c r="F385" s="1"/>
      <c r="G385" s="1"/>
    </row>
    <row r="386" ht="14.25" customHeight="1">
      <c r="A386" s="1"/>
      <c r="B386" s="1"/>
      <c r="C386" s="1"/>
      <c r="D386" s="2"/>
      <c r="F386" s="1"/>
      <c r="G386" s="1"/>
    </row>
    <row r="387" ht="14.25" customHeight="1">
      <c r="A387" s="1"/>
      <c r="B387" s="1"/>
      <c r="C387" s="1"/>
      <c r="D387" s="2"/>
      <c r="F387" s="1"/>
      <c r="G387" s="1"/>
    </row>
    <row r="388" ht="14.25" customHeight="1">
      <c r="A388" s="1"/>
      <c r="B388" s="1"/>
      <c r="C388" s="1"/>
      <c r="D388" s="2"/>
      <c r="F388" s="1"/>
      <c r="G388" s="1"/>
    </row>
    <row r="389" ht="14.25" customHeight="1">
      <c r="A389" s="1"/>
      <c r="B389" s="1"/>
      <c r="C389" s="1"/>
      <c r="D389" s="2"/>
      <c r="F389" s="1"/>
      <c r="G389" s="1"/>
    </row>
    <row r="390" ht="14.25" customHeight="1">
      <c r="A390" s="1"/>
      <c r="B390" s="1"/>
      <c r="C390" s="1"/>
      <c r="D390" s="2"/>
      <c r="F390" s="1"/>
      <c r="G390" s="1"/>
    </row>
    <row r="391" ht="14.25" customHeight="1">
      <c r="A391" s="1"/>
      <c r="B391" s="1"/>
      <c r="C391" s="1"/>
      <c r="D391" s="2"/>
      <c r="F391" s="1"/>
      <c r="G391" s="1"/>
    </row>
    <row r="392" ht="14.25" customHeight="1">
      <c r="A392" s="1"/>
      <c r="B392" s="1"/>
      <c r="C392" s="1"/>
      <c r="D392" s="2"/>
      <c r="F392" s="1"/>
      <c r="G392" s="1"/>
    </row>
    <row r="393" ht="14.25" customHeight="1">
      <c r="A393" s="1"/>
      <c r="B393" s="1"/>
      <c r="C393" s="1"/>
      <c r="D393" s="2"/>
      <c r="F393" s="1"/>
      <c r="G393" s="1"/>
    </row>
    <row r="394" ht="14.25" customHeight="1">
      <c r="A394" s="1"/>
      <c r="B394" s="1"/>
      <c r="C394" s="1"/>
      <c r="D394" s="2"/>
      <c r="F394" s="1"/>
      <c r="G394" s="1"/>
    </row>
    <row r="395" ht="14.25" customHeight="1">
      <c r="A395" s="1"/>
      <c r="B395" s="1"/>
      <c r="C395" s="1"/>
      <c r="D395" s="2"/>
      <c r="F395" s="1"/>
      <c r="G395" s="1"/>
    </row>
    <row r="396" ht="14.25" customHeight="1">
      <c r="A396" s="1"/>
      <c r="B396" s="1"/>
      <c r="C396" s="1"/>
      <c r="D396" s="2"/>
      <c r="F396" s="1"/>
      <c r="G396" s="1"/>
    </row>
    <row r="397" ht="14.25" customHeight="1">
      <c r="A397" s="1"/>
      <c r="B397" s="1"/>
      <c r="C397" s="1"/>
      <c r="D397" s="2"/>
      <c r="F397" s="1"/>
      <c r="G397" s="1"/>
    </row>
    <row r="398" ht="14.25" customHeight="1">
      <c r="A398" s="1"/>
      <c r="B398" s="1"/>
      <c r="C398" s="1"/>
      <c r="D398" s="2"/>
      <c r="F398" s="1"/>
      <c r="G398" s="1"/>
    </row>
    <row r="399" ht="14.25" customHeight="1">
      <c r="A399" s="1"/>
      <c r="B399" s="1"/>
      <c r="C399" s="1"/>
      <c r="D399" s="2"/>
      <c r="F399" s="1"/>
      <c r="G399" s="1"/>
    </row>
    <row r="400" ht="14.25" customHeight="1">
      <c r="A400" s="1"/>
      <c r="B400" s="1"/>
      <c r="C400" s="1"/>
      <c r="D400" s="2"/>
      <c r="F400" s="1"/>
      <c r="G400" s="1"/>
    </row>
    <row r="401" ht="14.25" customHeight="1">
      <c r="A401" s="1"/>
      <c r="B401" s="1"/>
      <c r="C401" s="1"/>
      <c r="D401" s="2"/>
      <c r="F401" s="1"/>
      <c r="G401" s="1"/>
    </row>
    <row r="402" ht="14.25" customHeight="1">
      <c r="A402" s="1"/>
      <c r="B402" s="1"/>
      <c r="C402" s="1"/>
      <c r="D402" s="2"/>
      <c r="F402" s="1"/>
      <c r="G402" s="1"/>
    </row>
    <row r="403" ht="14.25" customHeight="1">
      <c r="A403" s="1"/>
      <c r="B403" s="1"/>
      <c r="C403" s="1"/>
      <c r="D403" s="2"/>
      <c r="F403" s="1"/>
      <c r="G403" s="1"/>
    </row>
    <row r="404" ht="14.25" customHeight="1">
      <c r="A404" s="1"/>
      <c r="B404" s="1"/>
      <c r="C404" s="1"/>
      <c r="D404" s="2"/>
      <c r="F404" s="1"/>
      <c r="G404" s="1"/>
    </row>
    <row r="405" ht="14.25" customHeight="1">
      <c r="A405" s="1"/>
      <c r="B405" s="1"/>
      <c r="C405" s="1"/>
      <c r="D405" s="2"/>
      <c r="F405" s="1"/>
      <c r="G405" s="1"/>
    </row>
    <row r="406" ht="14.25" customHeight="1">
      <c r="A406" s="1"/>
      <c r="B406" s="1"/>
      <c r="C406" s="1"/>
      <c r="D406" s="2"/>
      <c r="F406" s="1"/>
      <c r="G406" s="1"/>
    </row>
    <row r="407" ht="14.25" customHeight="1">
      <c r="A407" s="1"/>
      <c r="B407" s="1"/>
      <c r="C407" s="1"/>
      <c r="D407" s="2"/>
      <c r="F407" s="1"/>
      <c r="G407" s="1"/>
    </row>
    <row r="408" ht="14.25" customHeight="1">
      <c r="A408" s="1"/>
      <c r="B408" s="1"/>
      <c r="C408" s="1"/>
      <c r="D408" s="2"/>
      <c r="F408" s="1"/>
      <c r="G408" s="1"/>
    </row>
    <row r="409" ht="14.25" customHeight="1">
      <c r="A409" s="1"/>
      <c r="B409" s="1"/>
      <c r="C409" s="1"/>
      <c r="D409" s="2"/>
      <c r="F409" s="1"/>
      <c r="G409" s="1"/>
    </row>
    <row r="410" ht="14.25" customHeight="1">
      <c r="A410" s="1"/>
      <c r="B410" s="1"/>
      <c r="C410" s="1"/>
      <c r="D410" s="2"/>
      <c r="F410" s="1"/>
      <c r="G410" s="1"/>
    </row>
    <row r="411" ht="14.25" customHeight="1">
      <c r="A411" s="1"/>
      <c r="B411" s="1"/>
      <c r="C411" s="1"/>
      <c r="D411" s="2"/>
      <c r="F411" s="1"/>
      <c r="G411" s="1"/>
    </row>
    <row r="412" ht="14.25" customHeight="1">
      <c r="A412" s="1"/>
      <c r="B412" s="1"/>
      <c r="C412" s="1"/>
      <c r="D412" s="2"/>
      <c r="F412" s="1"/>
      <c r="G412" s="1"/>
    </row>
    <row r="413" ht="14.25" customHeight="1">
      <c r="A413" s="1"/>
      <c r="B413" s="1"/>
      <c r="C413" s="1"/>
      <c r="D413" s="2"/>
      <c r="F413" s="1"/>
      <c r="G413" s="1"/>
    </row>
    <row r="414" ht="14.25" customHeight="1">
      <c r="A414" s="1"/>
      <c r="B414" s="1"/>
      <c r="C414" s="1"/>
      <c r="D414" s="2"/>
      <c r="F414" s="1"/>
      <c r="G414" s="1"/>
    </row>
    <row r="415" ht="14.25" customHeight="1">
      <c r="A415" s="1"/>
      <c r="B415" s="1"/>
      <c r="C415" s="1"/>
      <c r="D415" s="2"/>
      <c r="F415" s="1"/>
      <c r="G415" s="1"/>
    </row>
    <row r="416" ht="14.25" customHeight="1">
      <c r="A416" s="1"/>
      <c r="B416" s="1"/>
      <c r="C416" s="1"/>
      <c r="D416" s="2"/>
      <c r="F416" s="1"/>
      <c r="G416" s="1"/>
    </row>
    <row r="417" ht="14.25" customHeight="1">
      <c r="A417" s="1"/>
      <c r="B417" s="1"/>
      <c r="C417" s="1"/>
      <c r="D417" s="2"/>
      <c r="F417" s="1"/>
      <c r="G417" s="1"/>
    </row>
    <row r="418" ht="14.25" customHeight="1">
      <c r="A418" s="1"/>
      <c r="B418" s="1"/>
      <c r="C418" s="1"/>
      <c r="D418" s="2"/>
      <c r="F418" s="1"/>
      <c r="G418" s="1"/>
    </row>
    <row r="419" ht="14.25" customHeight="1">
      <c r="A419" s="1"/>
      <c r="B419" s="1"/>
      <c r="C419" s="1"/>
      <c r="D419" s="2"/>
      <c r="F419" s="1"/>
      <c r="G419" s="1"/>
    </row>
    <row r="420" ht="14.25" customHeight="1">
      <c r="A420" s="1"/>
      <c r="B420" s="1"/>
      <c r="C420" s="1"/>
      <c r="D420" s="2"/>
      <c r="F420" s="1"/>
      <c r="G420" s="1"/>
    </row>
    <row r="421" ht="14.25" customHeight="1">
      <c r="A421" s="1"/>
      <c r="B421" s="1"/>
      <c r="C421" s="1"/>
      <c r="D421" s="2"/>
      <c r="F421" s="1"/>
      <c r="G421" s="1"/>
    </row>
    <row r="422" ht="14.25" customHeight="1">
      <c r="A422" s="1"/>
      <c r="B422" s="1"/>
      <c r="C422" s="1"/>
      <c r="D422" s="2"/>
      <c r="F422" s="1"/>
      <c r="G422" s="1"/>
    </row>
    <row r="423" ht="14.25" customHeight="1">
      <c r="A423" s="1"/>
      <c r="B423" s="1"/>
      <c r="C423" s="1"/>
      <c r="D423" s="2"/>
      <c r="F423" s="1"/>
      <c r="G423" s="1"/>
    </row>
    <row r="424" ht="14.25" customHeight="1">
      <c r="A424" s="1"/>
      <c r="B424" s="1"/>
      <c r="C424" s="1"/>
      <c r="D424" s="2"/>
      <c r="F424" s="1"/>
      <c r="G424" s="1"/>
    </row>
    <row r="425" ht="14.25" customHeight="1">
      <c r="A425" s="1"/>
      <c r="B425" s="1"/>
      <c r="C425" s="1"/>
      <c r="D425" s="2"/>
      <c r="F425" s="1"/>
      <c r="G425" s="1"/>
    </row>
    <row r="426" ht="14.25" customHeight="1">
      <c r="A426" s="1"/>
      <c r="B426" s="1"/>
      <c r="C426" s="1"/>
      <c r="D426" s="2"/>
      <c r="F426" s="1"/>
      <c r="G426" s="1"/>
    </row>
    <row r="427" ht="14.25" customHeight="1">
      <c r="A427" s="1"/>
      <c r="B427" s="1"/>
      <c r="C427" s="1"/>
      <c r="D427" s="2"/>
      <c r="F427" s="1"/>
      <c r="G427" s="1"/>
    </row>
    <row r="428" ht="14.25" customHeight="1">
      <c r="A428" s="1"/>
      <c r="B428" s="1"/>
      <c r="C428" s="1"/>
      <c r="D428" s="2"/>
      <c r="F428" s="1"/>
      <c r="G428" s="1"/>
    </row>
    <row r="429" ht="14.25" customHeight="1">
      <c r="A429" s="1"/>
      <c r="B429" s="1"/>
      <c r="C429" s="1"/>
      <c r="D429" s="2"/>
      <c r="F429" s="1"/>
      <c r="G429" s="1"/>
    </row>
    <row r="430" ht="14.25" customHeight="1">
      <c r="A430" s="1"/>
      <c r="B430" s="1"/>
      <c r="C430" s="1"/>
      <c r="D430" s="2"/>
      <c r="F430" s="1"/>
      <c r="G430" s="1"/>
    </row>
    <row r="431" ht="14.25" customHeight="1">
      <c r="A431" s="1"/>
      <c r="B431" s="1"/>
      <c r="C431" s="1"/>
      <c r="D431" s="2"/>
      <c r="F431" s="1"/>
      <c r="G431" s="1"/>
    </row>
    <row r="432" ht="14.25" customHeight="1">
      <c r="A432" s="1"/>
      <c r="B432" s="1"/>
      <c r="C432" s="1"/>
      <c r="D432" s="2"/>
      <c r="F432" s="1"/>
      <c r="G432" s="1"/>
    </row>
    <row r="433" ht="14.25" customHeight="1">
      <c r="A433" s="1"/>
      <c r="B433" s="1"/>
      <c r="C433" s="1"/>
      <c r="D433" s="2"/>
      <c r="F433" s="1"/>
      <c r="G433" s="1"/>
    </row>
    <row r="434" ht="14.25" customHeight="1">
      <c r="A434" s="1"/>
      <c r="B434" s="1"/>
      <c r="C434" s="1"/>
      <c r="D434" s="2"/>
      <c r="F434" s="1"/>
      <c r="G434" s="1"/>
    </row>
    <row r="435" ht="14.25" customHeight="1">
      <c r="A435" s="1"/>
      <c r="B435" s="1"/>
      <c r="C435" s="1"/>
      <c r="D435" s="2"/>
      <c r="F435" s="1"/>
      <c r="G435" s="1"/>
    </row>
    <row r="436" ht="14.25" customHeight="1">
      <c r="A436" s="1"/>
      <c r="B436" s="1"/>
      <c r="C436" s="1"/>
      <c r="D436" s="2"/>
      <c r="F436" s="1"/>
      <c r="G436" s="1"/>
    </row>
    <row r="437" ht="14.25" customHeight="1">
      <c r="A437" s="1"/>
      <c r="B437" s="1"/>
      <c r="C437" s="1"/>
      <c r="D437" s="2"/>
      <c r="F437" s="1"/>
      <c r="G437" s="1"/>
    </row>
    <row r="438" ht="14.25" customHeight="1">
      <c r="A438" s="1"/>
      <c r="B438" s="1"/>
      <c r="C438" s="1"/>
      <c r="D438" s="2"/>
      <c r="F438" s="1"/>
      <c r="G438" s="1"/>
    </row>
    <row r="439" ht="14.25" customHeight="1">
      <c r="A439" s="1"/>
      <c r="B439" s="1"/>
      <c r="C439" s="1"/>
      <c r="D439" s="2"/>
      <c r="F439" s="1"/>
      <c r="G439" s="1"/>
    </row>
    <row r="440" ht="14.25" customHeight="1">
      <c r="A440" s="1"/>
      <c r="B440" s="1"/>
      <c r="C440" s="1"/>
      <c r="D440" s="2"/>
      <c r="F440" s="1"/>
      <c r="G440" s="1"/>
    </row>
    <row r="441" ht="14.25" customHeight="1">
      <c r="A441" s="1"/>
      <c r="B441" s="1"/>
      <c r="C441" s="1"/>
      <c r="D441" s="2"/>
      <c r="F441" s="1"/>
      <c r="G441" s="1"/>
    </row>
    <row r="442" ht="14.25" customHeight="1">
      <c r="A442" s="1"/>
      <c r="B442" s="1"/>
      <c r="C442" s="1"/>
      <c r="D442" s="2"/>
      <c r="F442" s="1"/>
      <c r="G442" s="1"/>
    </row>
    <row r="443" ht="14.25" customHeight="1">
      <c r="A443" s="1"/>
      <c r="B443" s="1"/>
      <c r="C443" s="1"/>
      <c r="D443" s="2"/>
      <c r="F443" s="1"/>
      <c r="G443" s="1"/>
    </row>
    <row r="444" ht="14.25" customHeight="1">
      <c r="A444" s="1"/>
      <c r="B444" s="1"/>
      <c r="C444" s="1"/>
      <c r="D444" s="2"/>
      <c r="F444" s="1"/>
      <c r="G444" s="1"/>
    </row>
    <row r="445" ht="14.25" customHeight="1">
      <c r="A445" s="1"/>
      <c r="B445" s="1"/>
      <c r="C445" s="1"/>
      <c r="D445" s="2"/>
      <c r="F445" s="1"/>
      <c r="G445" s="1"/>
    </row>
    <row r="446" ht="14.25" customHeight="1">
      <c r="A446" s="1"/>
      <c r="B446" s="1"/>
      <c r="C446" s="1"/>
      <c r="D446" s="2"/>
      <c r="F446" s="1"/>
      <c r="G446" s="1"/>
    </row>
    <row r="447" ht="14.25" customHeight="1">
      <c r="A447" s="1"/>
      <c r="B447" s="1"/>
      <c r="C447" s="1"/>
      <c r="D447" s="2"/>
      <c r="F447" s="1"/>
      <c r="G447" s="1"/>
    </row>
    <row r="448" ht="14.25" customHeight="1">
      <c r="A448" s="1"/>
      <c r="B448" s="1"/>
      <c r="C448" s="1"/>
      <c r="D448" s="2"/>
      <c r="F448" s="1"/>
      <c r="G448" s="1"/>
    </row>
    <row r="449" ht="14.25" customHeight="1">
      <c r="A449" s="1"/>
      <c r="B449" s="1"/>
      <c r="C449" s="1"/>
      <c r="D449" s="2"/>
      <c r="F449" s="1"/>
      <c r="G449" s="1"/>
    </row>
    <row r="450" ht="14.25" customHeight="1">
      <c r="A450" s="1"/>
      <c r="B450" s="1"/>
      <c r="C450" s="1"/>
      <c r="D450" s="2"/>
      <c r="F450" s="1"/>
      <c r="G450" s="1"/>
    </row>
    <row r="451" ht="14.25" customHeight="1">
      <c r="A451" s="1"/>
      <c r="B451" s="1"/>
      <c r="C451" s="1"/>
      <c r="D451" s="2"/>
      <c r="F451" s="1"/>
      <c r="G451" s="1"/>
    </row>
    <row r="452" ht="14.25" customHeight="1">
      <c r="A452" s="1"/>
      <c r="B452" s="1"/>
      <c r="C452" s="1"/>
      <c r="D452" s="2"/>
      <c r="F452" s="1"/>
      <c r="G452" s="1"/>
    </row>
    <row r="453" ht="14.25" customHeight="1">
      <c r="A453" s="1"/>
      <c r="B453" s="1"/>
      <c r="C453" s="1"/>
      <c r="D453" s="2"/>
      <c r="F453" s="1"/>
      <c r="G453" s="1"/>
    </row>
    <row r="454" ht="14.25" customHeight="1">
      <c r="A454" s="1"/>
      <c r="B454" s="1"/>
      <c r="C454" s="1"/>
      <c r="D454" s="2"/>
      <c r="F454" s="1"/>
      <c r="G454" s="1"/>
    </row>
    <row r="455" ht="14.25" customHeight="1">
      <c r="A455" s="1"/>
      <c r="B455" s="1"/>
      <c r="C455" s="1"/>
      <c r="D455" s="2"/>
      <c r="F455" s="1"/>
      <c r="G455" s="1"/>
    </row>
    <row r="456" ht="14.25" customHeight="1">
      <c r="A456" s="1"/>
      <c r="B456" s="1"/>
      <c r="C456" s="1"/>
      <c r="D456" s="2"/>
      <c r="F456" s="1"/>
      <c r="G456" s="1"/>
    </row>
    <row r="457" ht="14.25" customHeight="1">
      <c r="A457" s="1"/>
      <c r="B457" s="1"/>
      <c r="C457" s="1"/>
      <c r="D457" s="2"/>
      <c r="F457" s="1"/>
      <c r="G457" s="1"/>
    </row>
    <row r="458" ht="14.25" customHeight="1">
      <c r="A458" s="1"/>
      <c r="B458" s="1"/>
      <c r="C458" s="1"/>
      <c r="D458" s="2"/>
      <c r="F458" s="1"/>
      <c r="G458" s="1"/>
    </row>
    <row r="459" ht="14.25" customHeight="1">
      <c r="A459" s="1"/>
      <c r="B459" s="1"/>
      <c r="C459" s="1"/>
      <c r="D459" s="2"/>
      <c r="F459" s="1"/>
      <c r="G459" s="1"/>
    </row>
    <row r="460" ht="14.25" customHeight="1">
      <c r="A460" s="1"/>
      <c r="B460" s="1"/>
      <c r="C460" s="1"/>
      <c r="D460" s="2"/>
      <c r="F460" s="1"/>
      <c r="G460" s="1"/>
    </row>
    <row r="461" ht="14.25" customHeight="1">
      <c r="A461" s="1"/>
      <c r="B461" s="1"/>
      <c r="C461" s="1"/>
      <c r="D461" s="2"/>
      <c r="F461" s="1"/>
      <c r="G461" s="1"/>
    </row>
    <row r="462" ht="14.25" customHeight="1">
      <c r="A462" s="1"/>
      <c r="B462" s="1"/>
      <c r="C462" s="1"/>
      <c r="D462" s="2"/>
      <c r="F462" s="1"/>
      <c r="G462" s="1"/>
    </row>
    <row r="463" ht="14.25" customHeight="1">
      <c r="A463" s="1"/>
      <c r="B463" s="1"/>
      <c r="C463" s="1"/>
      <c r="D463" s="2"/>
      <c r="F463" s="1"/>
      <c r="G463" s="1"/>
    </row>
    <row r="464" ht="14.25" customHeight="1">
      <c r="A464" s="1"/>
      <c r="B464" s="1"/>
      <c r="C464" s="1"/>
      <c r="D464" s="2"/>
      <c r="F464" s="1"/>
      <c r="G464" s="1"/>
    </row>
    <row r="465" ht="14.25" customHeight="1">
      <c r="A465" s="1"/>
      <c r="B465" s="1"/>
      <c r="C465" s="1"/>
      <c r="D465" s="2"/>
      <c r="F465" s="1"/>
      <c r="G465" s="1"/>
    </row>
    <row r="466" ht="14.25" customHeight="1">
      <c r="A466" s="1"/>
      <c r="B466" s="1"/>
      <c r="C466" s="1"/>
      <c r="D466" s="2"/>
      <c r="F466" s="1"/>
      <c r="G466" s="1"/>
    </row>
    <row r="467" ht="14.25" customHeight="1">
      <c r="A467" s="1"/>
      <c r="B467" s="1"/>
      <c r="C467" s="1"/>
      <c r="D467" s="2"/>
      <c r="F467" s="1"/>
      <c r="G467" s="1"/>
    </row>
    <row r="468" ht="14.25" customHeight="1">
      <c r="A468" s="1"/>
      <c r="B468" s="1"/>
      <c r="C468" s="1"/>
      <c r="D468" s="2"/>
      <c r="F468" s="1"/>
      <c r="G468" s="1"/>
    </row>
    <row r="469" ht="14.25" customHeight="1">
      <c r="A469" s="1"/>
      <c r="B469" s="1"/>
      <c r="C469" s="1"/>
      <c r="D469" s="2"/>
      <c r="F469" s="1"/>
      <c r="G469" s="1"/>
    </row>
    <row r="470" ht="14.25" customHeight="1">
      <c r="A470" s="1"/>
      <c r="B470" s="1"/>
      <c r="C470" s="1"/>
      <c r="D470" s="2"/>
      <c r="F470" s="1"/>
      <c r="G470" s="1"/>
    </row>
    <row r="471" ht="14.25" customHeight="1">
      <c r="A471" s="1"/>
      <c r="B471" s="1"/>
      <c r="C471" s="1"/>
      <c r="D471" s="2"/>
      <c r="F471" s="1"/>
      <c r="G471" s="1"/>
    </row>
    <row r="472" ht="14.25" customHeight="1">
      <c r="A472" s="1"/>
      <c r="B472" s="1"/>
      <c r="C472" s="1"/>
      <c r="D472" s="2"/>
      <c r="F472" s="1"/>
      <c r="G472" s="1"/>
    </row>
    <row r="473" ht="14.25" customHeight="1">
      <c r="A473" s="1"/>
      <c r="B473" s="1"/>
      <c r="C473" s="1"/>
      <c r="D473" s="2"/>
      <c r="F473" s="1"/>
      <c r="G473" s="1"/>
    </row>
    <row r="474" ht="14.25" customHeight="1">
      <c r="A474" s="1"/>
      <c r="B474" s="1"/>
      <c r="C474" s="1"/>
      <c r="D474" s="2"/>
      <c r="F474" s="1"/>
      <c r="G474" s="1"/>
    </row>
    <row r="475" ht="14.25" customHeight="1">
      <c r="A475" s="1"/>
      <c r="B475" s="1"/>
      <c r="C475" s="1"/>
      <c r="D475" s="2"/>
      <c r="F475" s="1"/>
      <c r="G475" s="1"/>
    </row>
    <row r="476" ht="14.25" customHeight="1">
      <c r="A476" s="1"/>
      <c r="B476" s="1"/>
      <c r="C476" s="1"/>
      <c r="D476" s="2"/>
      <c r="F476" s="1"/>
      <c r="G476" s="1"/>
    </row>
    <row r="477" ht="14.25" customHeight="1">
      <c r="A477" s="1"/>
      <c r="B477" s="1"/>
      <c r="C477" s="1"/>
      <c r="D477" s="2"/>
      <c r="F477" s="1"/>
      <c r="G477" s="1"/>
    </row>
    <row r="478" ht="14.25" customHeight="1">
      <c r="A478" s="1"/>
      <c r="B478" s="1"/>
      <c r="C478" s="1"/>
      <c r="D478" s="2"/>
      <c r="F478" s="1"/>
      <c r="G478" s="1"/>
    </row>
    <row r="479" ht="14.25" customHeight="1">
      <c r="A479" s="1"/>
      <c r="B479" s="1"/>
      <c r="C479" s="1"/>
      <c r="D479" s="2"/>
      <c r="F479" s="1"/>
      <c r="G479" s="1"/>
    </row>
    <row r="480" ht="14.25" customHeight="1">
      <c r="A480" s="1"/>
      <c r="B480" s="1"/>
      <c r="C480" s="1"/>
      <c r="D480" s="2"/>
      <c r="F480" s="1"/>
      <c r="G480" s="1"/>
    </row>
    <row r="481" ht="14.25" customHeight="1">
      <c r="A481" s="1"/>
      <c r="B481" s="1"/>
      <c r="C481" s="1"/>
      <c r="D481" s="2"/>
      <c r="F481" s="1"/>
      <c r="G481" s="1"/>
    </row>
    <row r="482" ht="14.25" customHeight="1">
      <c r="A482" s="1"/>
      <c r="B482" s="1"/>
      <c r="C482" s="1"/>
      <c r="D482" s="2"/>
      <c r="F482" s="1"/>
      <c r="G482" s="1"/>
    </row>
    <row r="483" ht="14.25" customHeight="1">
      <c r="A483" s="1"/>
      <c r="B483" s="1"/>
      <c r="C483" s="1"/>
      <c r="D483" s="2"/>
      <c r="F483" s="1"/>
      <c r="G483" s="1"/>
    </row>
    <row r="484" ht="14.25" customHeight="1">
      <c r="A484" s="1"/>
      <c r="B484" s="1"/>
      <c r="C484" s="1"/>
      <c r="D484" s="2"/>
      <c r="F484" s="1"/>
      <c r="G484" s="1"/>
    </row>
    <row r="485" ht="14.25" customHeight="1">
      <c r="A485" s="1"/>
      <c r="B485" s="1"/>
      <c r="C485" s="1"/>
      <c r="D485" s="2"/>
      <c r="F485" s="1"/>
      <c r="G485" s="1"/>
    </row>
    <row r="486" ht="14.25" customHeight="1">
      <c r="A486" s="1"/>
      <c r="B486" s="1"/>
      <c r="C486" s="1"/>
      <c r="D486" s="2"/>
      <c r="F486" s="1"/>
      <c r="G486" s="1"/>
    </row>
    <row r="487" ht="14.25" customHeight="1">
      <c r="A487" s="1"/>
      <c r="B487" s="1"/>
      <c r="C487" s="1"/>
      <c r="D487" s="2"/>
      <c r="F487" s="1"/>
      <c r="G487" s="1"/>
    </row>
    <row r="488" ht="14.25" customHeight="1">
      <c r="A488" s="1"/>
      <c r="B488" s="1"/>
      <c r="C488" s="1"/>
      <c r="D488" s="2"/>
      <c r="F488" s="1"/>
      <c r="G488" s="1"/>
    </row>
    <row r="489" ht="14.25" customHeight="1">
      <c r="A489" s="1"/>
      <c r="B489" s="1"/>
      <c r="C489" s="1"/>
      <c r="D489" s="2"/>
      <c r="F489" s="1"/>
      <c r="G489" s="1"/>
    </row>
    <row r="490" ht="14.25" customHeight="1">
      <c r="A490" s="1"/>
      <c r="B490" s="1"/>
      <c r="C490" s="1"/>
      <c r="D490" s="2"/>
      <c r="F490" s="1"/>
      <c r="G490" s="1"/>
    </row>
    <row r="491" ht="14.25" customHeight="1">
      <c r="A491" s="1"/>
      <c r="B491" s="1"/>
      <c r="C491" s="1"/>
      <c r="D491" s="2"/>
      <c r="F491" s="1"/>
      <c r="G491" s="1"/>
    </row>
    <row r="492" ht="14.25" customHeight="1">
      <c r="A492" s="1"/>
      <c r="B492" s="1"/>
      <c r="C492" s="1"/>
      <c r="D492" s="2"/>
      <c r="F492" s="1"/>
      <c r="G492" s="1"/>
    </row>
    <row r="493" ht="14.25" customHeight="1">
      <c r="A493" s="1"/>
      <c r="B493" s="1"/>
      <c r="C493" s="1"/>
      <c r="D493" s="2"/>
      <c r="F493" s="1"/>
      <c r="G493" s="1"/>
    </row>
    <row r="494" ht="14.25" customHeight="1">
      <c r="A494" s="1"/>
      <c r="B494" s="1"/>
      <c r="C494" s="1"/>
      <c r="D494" s="2"/>
      <c r="F494" s="1"/>
      <c r="G494" s="1"/>
    </row>
    <row r="495" ht="14.25" customHeight="1">
      <c r="A495" s="1"/>
      <c r="B495" s="1"/>
      <c r="C495" s="1"/>
      <c r="D495" s="2"/>
      <c r="F495" s="1"/>
      <c r="G495" s="1"/>
    </row>
    <row r="496" ht="14.25" customHeight="1">
      <c r="A496" s="1"/>
      <c r="B496" s="1"/>
      <c r="C496" s="1"/>
      <c r="D496" s="2"/>
      <c r="F496" s="1"/>
      <c r="G496" s="1"/>
    </row>
    <row r="497" ht="14.25" customHeight="1">
      <c r="A497" s="1"/>
      <c r="B497" s="1"/>
      <c r="C497" s="1"/>
      <c r="D497" s="2"/>
      <c r="F497" s="1"/>
      <c r="G497" s="1"/>
    </row>
    <row r="498" ht="14.25" customHeight="1">
      <c r="A498" s="1"/>
      <c r="B498" s="1"/>
      <c r="C498" s="1"/>
      <c r="D498" s="2"/>
      <c r="F498" s="1"/>
      <c r="G498" s="1"/>
    </row>
    <row r="499" ht="14.25" customHeight="1">
      <c r="A499" s="1"/>
      <c r="B499" s="1"/>
      <c r="C499" s="1"/>
      <c r="D499" s="2"/>
      <c r="F499" s="1"/>
      <c r="G499" s="1"/>
    </row>
    <row r="500" ht="14.25" customHeight="1">
      <c r="A500" s="1"/>
      <c r="B500" s="1"/>
      <c r="C500" s="1"/>
      <c r="D500" s="2"/>
      <c r="F500" s="1"/>
      <c r="G500" s="1"/>
    </row>
    <row r="501" ht="14.25" customHeight="1">
      <c r="A501" s="1"/>
      <c r="B501" s="1"/>
      <c r="C501" s="1"/>
      <c r="D501" s="2"/>
      <c r="F501" s="1"/>
      <c r="G501" s="1"/>
    </row>
    <row r="502" ht="14.25" customHeight="1">
      <c r="A502" s="1"/>
      <c r="B502" s="1"/>
      <c r="C502" s="1"/>
      <c r="D502" s="2"/>
      <c r="F502" s="1"/>
      <c r="G502" s="1"/>
    </row>
    <row r="503" ht="14.25" customHeight="1">
      <c r="A503" s="1"/>
      <c r="B503" s="1"/>
      <c r="C503" s="1"/>
      <c r="D503" s="2"/>
      <c r="F503" s="1"/>
      <c r="G503" s="1"/>
    </row>
    <row r="504" ht="14.25" customHeight="1">
      <c r="A504" s="1"/>
      <c r="B504" s="1"/>
      <c r="C504" s="1"/>
      <c r="D504" s="2"/>
      <c r="F504" s="1"/>
      <c r="G504" s="1"/>
    </row>
    <row r="505" ht="14.25" customHeight="1">
      <c r="A505" s="1"/>
      <c r="B505" s="1"/>
      <c r="C505" s="1"/>
      <c r="D505" s="2"/>
      <c r="F505" s="1"/>
      <c r="G505" s="1"/>
    </row>
    <row r="506" ht="14.25" customHeight="1">
      <c r="A506" s="1"/>
      <c r="B506" s="1"/>
      <c r="C506" s="1"/>
      <c r="D506" s="2"/>
      <c r="F506" s="1"/>
      <c r="G506" s="1"/>
    </row>
    <row r="507" ht="14.25" customHeight="1">
      <c r="A507" s="1"/>
      <c r="B507" s="1"/>
      <c r="C507" s="1"/>
      <c r="D507" s="2"/>
      <c r="F507" s="1"/>
      <c r="G507" s="1"/>
    </row>
    <row r="508" ht="14.25" customHeight="1">
      <c r="A508" s="1"/>
      <c r="B508" s="1"/>
      <c r="C508" s="1"/>
      <c r="D508" s="2"/>
      <c r="F508" s="1"/>
      <c r="G508" s="1"/>
    </row>
    <row r="509" ht="14.25" customHeight="1">
      <c r="A509" s="1"/>
      <c r="B509" s="1"/>
      <c r="C509" s="1"/>
      <c r="D509" s="2"/>
      <c r="F509" s="1"/>
      <c r="G509" s="1"/>
    </row>
    <row r="510" ht="14.25" customHeight="1">
      <c r="A510" s="1"/>
      <c r="B510" s="1"/>
      <c r="C510" s="1"/>
      <c r="D510" s="2"/>
      <c r="F510" s="1"/>
      <c r="G510" s="1"/>
    </row>
    <row r="511" ht="14.25" customHeight="1">
      <c r="A511" s="1"/>
      <c r="B511" s="1"/>
      <c r="C511" s="1"/>
      <c r="D511" s="2"/>
      <c r="F511" s="1"/>
      <c r="G511" s="1"/>
    </row>
    <row r="512" ht="14.25" customHeight="1">
      <c r="A512" s="1"/>
      <c r="B512" s="1"/>
      <c r="C512" s="1"/>
      <c r="D512" s="2"/>
      <c r="F512" s="1"/>
      <c r="G512" s="1"/>
    </row>
    <row r="513" ht="14.25" customHeight="1">
      <c r="A513" s="1"/>
      <c r="B513" s="1"/>
      <c r="C513" s="1"/>
      <c r="D513" s="2"/>
      <c r="F513" s="1"/>
      <c r="G513" s="1"/>
    </row>
    <row r="514" ht="14.25" customHeight="1">
      <c r="A514" s="1"/>
      <c r="B514" s="1"/>
      <c r="C514" s="1"/>
      <c r="D514" s="2"/>
      <c r="F514" s="1"/>
      <c r="G514" s="1"/>
    </row>
    <row r="515" ht="14.25" customHeight="1">
      <c r="A515" s="1"/>
      <c r="B515" s="1"/>
      <c r="C515" s="1"/>
      <c r="D515" s="2"/>
      <c r="F515" s="1"/>
      <c r="G515" s="1"/>
    </row>
    <row r="516" ht="14.25" customHeight="1">
      <c r="A516" s="1"/>
      <c r="B516" s="1"/>
      <c r="C516" s="1"/>
      <c r="D516" s="2"/>
      <c r="F516" s="1"/>
      <c r="G516" s="1"/>
    </row>
    <row r="517" ht="14.25" customHeight="1">
      <c r="A517" s="1"/>
      <c r="B517" s="1"/>
      <c r="C517" s="1"/>
      <c r="D517" s="2"/>
      <c r="F517" s="1"/>
      <c r="G517" s="1"/>
    </row>
    <row r="518" ht="14.25" customHeight="1">
      <c r="A518" s="1"/>
      <c r="B518" s="1"/>
      <c r="C518" s="1"/>
      <c r="D518" s="2"/>
      <c r="F518" s="1"/>
      <c r="G518" s="1"/>
    </row>
    <row r="519" ht="14.25" customHeight="1">
      <c r="A519" s="1"/>
      <c r="B519" s="1"/>
      <c r="C519" s="1"/>
      <c r="D519" s="2"/>
      <c r="F519" s="1"/>
      <c r="G519" s="1"/>
    </row>
    <row r="520" ht="14.25" customHeight="1">
      <c r="A520" s="1"/>
      <c r="B520" s="1"/>
      <c r="C520" s="1"/>
      <c r="D520" s="2"/>
      <c r="F520" s="1"/>
      <c r="G520" s="1"/>
    </row>
    <row r="521" ht="14.25" customHeight="1">
      <c r="A521" s="1"/>
      <c r="B521" s="1"/>
      <c r="C521" s="1"/>
      <c r="D521" s="2"/>
      <c r="F521" s="1"/>
      <c r="G521" s="1"/>
    </row>
    <row r="522" ht="14.25" customHeight="1">
      <c r="A522" s="1"/>
      <c r="B522" s="1"/>
      <c r="C522" s="1"/>
      <c r="D522" s="2"/>
      <c r="F522" s="1"/>
      <c r="G522" s="1"/>
    </row>
    <row r="523" ht="14.25" customHeight="1">
      <c r="A523" s="1"/>
      <c r="B523" s="1"/>
      <c r="C523" s="1"/>
      <c r="D523" s="2"/>
      <c r="F523" s="1"/>
      <c r="G523" s="1"/>
    </row>
    <row r="524" ht="14.25" customHeight="1">
      <c r="A524" s="1"/>
      <c r="B524" s="1"/>
      <c r="C524" s="1"/>
      <c r="D524" s="2"/>
      <c r="F524" s="1"/>
      <c r="G524" s="1"/>
    </row>
    <row r="525" ht="14.25" customHeight="1">
      <c r="A525" s="1"/>
      <c r="B525" s="1"/>
      <c r="C525" s="1"/>
      <c r="D525" s="2"/>
      <c r="F525" s="1"/>
      <c r="G525" s="1"/>
    </row>
    <row r="526" ht="14.25" customHeight="1">
      <c r="A526" s="1"/>
      <c r="B526" s="1"/>
      <c r="C526" s="1"/>
      <c r="D526" s="2"/>
      <c r="F526" s="1"/>
      <c r="G526" s="1"/>
    </row>
    <row r="527" ht="14.25" customHeight="1">
      <c r="A527" s="1"/>
      <c r="B527" s="1"/>
      <c r="C527" s="1"/>
      <c r="D527" s="2"/>
      <c r="F527" s="1"/>
      <c r="G527" s="1"/>
    </row>
    <row r="528" ht="14.25" customHeight="1">
      <c r="A528" s="1"/>
      <c r="B528" s="1"/>
      <c r="C528" s="1"/>
      <c r="D528" s="2"/>
      <c r="F528" s="1"/>
      <c r="G528" s="1"/>
    </row>
    <row r="529" ht="14.25" customHeight="1">
      <c r="A529" s="1"/>
      <c r="B529" s="1"/>
      <c r="C529" s="1"/>
      <c r="D529" s="2"/>
      <c r="F529" s="1"/>
      <c r="G529" s="1"/>
    </row>
    <row r="530" ht="14.25" customHeight="1">
      <c r="A530" s="1"/>
      <c r="B530" s="1"/>
      <c r="C530" s="1"/>
      <c r="D530" s="2"/>
      <c r="F530" s="1"/>
      <c r="G530" s="1"/>
    </row>
    <row r="531" ht="14.25" customHeight="1">
      <c r="A531" s="1"/>
      <c r="B531" s="1"/>
      <c r="C531" s="1"/>
      <c r="D531" s="2"/>
      <c r="F531" s="1"/>
      <c r="G531" s="1"/>
    </row>
    <row r="532" ht="14.25" customHeight="1">
      <c r="A532" s="1"/>
      <c r="B532" s="1"/>
      <c r="C532" s="1"/>
      <c r="D532" s="2"/>
      <c r="F532" s="1"/>
      <c r="G532" s="1"/>
    </row>
    <row r="533" ht="14.25" customHeight="1">
      <c r="A533" s="1"/>
      <c r="B533" s="1"/>
      <c r="C533" s="1"/>
      <c r="D533" s="2"/>
      <c r="F533" s="1"/>
      <c r="G533" s="1"/>
    </row>
    <row r="534" ht="14.25" customHeight="1">
      <c r="A534" s="1"/>
      <c r="B534" s="1"/>
      <c r="C534" s="1"/>
      <c r="D534" s="2"/>
      <c r="F534" s="1"/>
      <c r="G534" s="1"/>
    </row>
    <row r="535" ht="14.25" customHeight="1">
      <c r="A535" s="1"/>
      <c r="B535" s="1"/>
      <c r="C535" s="1"/>
      <c r="D535" s="2"/>
      <c r="F535" s="1"/>
      <c r="G535" s="1"/>
    </row>
    <row r="536" ht="14.25" customHeight="1">
      <c r="A536" s="1"/>
      <c r="B536" s="1"/>
      <c r="C536" s="1"/>
      <c r="D536" s="2"/>
      <c r="F536" s="1"/>
      <c r="G536" s="1"/>
    </row>
    <row r="537" ht="14.25" customHeight="1">
      <c r="A537" s="1"/>
      <c r="B537" s="1"/>
      <c r="C537" s="1"/>
      <c r="D537" s="2"/>
      <c r="F537" s="1"/>
      <c r="G537" s="1"/>
    </row>
    <row r="538" ht="14.25" customHeight="1">
      <c r="A538" s="1"/>
      <c r="B538" s="1"/>
      <c r="C538" s="1"/>
      <c r="D538" s="2"/>
      <c r="F538" s="1"/>
      <c r="G538" s="1"/>
    </row>
    <row r="539" ht="14.25" customHeight="1">
      <c r="A539" s="1"/>
      <c r="B539" s="1"/>
      <c r="C539" s="1"/>
      <c r="D539" s="2"/>
      <c r="F539" s="1"/>
      <c r="G539" s="1"/>
    </row>
    <row r="540" ht="14.25" customHeight="1">
      <c r="A540" s="1"/>
      <c r="B540" s="1"/>
      <c r="C540" s="1"/>
      <c r="D540" s="2"/>
      <c r="F540" s="1"/>
      <c r="G540" s="1"/>
    </row>
    <row r="541" ht="14.25" customHeight="1">
      <c r="A541" s="1"/>
      <c r="B541" s="1"/>
      <c r="C541" s="1"/>
      <c r="D541" s="2"/>
      <c r="F541" s="1"/>
      <c r="G541" s="1"/>
    </row>
    <row r="542" ht="14.25" customHeight="1">
      <c r="A542" s="1"/>
      <c r="B542" s="1"/>
      <c r="C542" s="1"/>
      <c r="D542" s="2"/>
      <c r="F542" s="1"/>
      <c r="G542" s="1"/>
    </row>
    <row r="543" ht="14.25" customHeight="1">
      <c r="A543" s="1"/>
      <c r="B543" s="1"/>
      <c r="C543" s="1"/>
      <c r="D543" s="2"/>
      <c r="F543" s="1"/>
      <c r="G543" s="1"/>
    </row>
    <row r="544" ht="14.25" customHeight="1">
      <c r="A544" s="1"/>
      <c r="B544" s="1"/>
      <c r="C544" s="1"/>
      <c r="D544" s="2"/>
      <c r="F544" s="1"/>
      <c r="G544" s="1"/>
    </row>
    <row r="545" ht="14.25" customHeight="1">
      <c r="A545" s="1"/>
      <c r="B545" s="1"/>
      <c r="C545" s="1"/>
      <c r="D545" s="2"/>
      <c r="F545" s="1"/>
      <c r="G545" s="1"/>
    </row>
    <row r="546" ht="14.25" customHeight="1">
      <c r="A546" s="1"/>
      <c r="B546" s="1"/>
      <c r="C546" s="1"/>
      <c r="D546" s="2"/>
      <c r="F546" s="1"/>
      <c r="G546" s="1"/>
    </row>
    <row r="547" ht="14.25" customHeight="1">
      <c r="A547" s="1"/>
      <c r="B547" s="1"/>
      <c r="C547" s="1"/>
      <c r="D547" s="2"/>
      <c r="F547" s="1"/>
      <c r="G547" s="1"/>
    </row>
    <row r="548" ht="14.25" customHeight="1">
      <c r="A548" s="1"/>
      <c r="B548" s="1"/>
      <c r="C548" s="1"/>
      <c r="D548" s="2"/>
      <c r="F548" s="1"/>
      <c r="G548" s="1"/>
    </row>
    <row r="549" ht="14.25" customHeight="1">
      <c r="A549" s="1"/>
      <c r="B549" s="1"/>
      <c r="C549" s="1"/>
      <c r="D549" s="2"/>
      <c r="F549" s="1"/>
      <c r="G549" s="1"/>
    </row>
    <row r="550" ht="14.25" customHeight="1">
      <c r="A550" s="1"/>
      <c r="B550" s="1"/>
      <c r="C550" s="1"/>
      <c r="D550" s="2"/>
      <c r="F550" s="1"/>
      <c r="G550" s="1"/>
    </row>
    <row r="551" ht="14.25" customHeight="1">
      <c r="A551" s="1"/>
      <c r="B551" s="1"/>
      <c r="C551" s="1"/>
      <c r="D551" s="2"/>
      <c r="F551" s="1"/>
      <c r="G551" s="1"/>
    </row>
    <row r="552" ht="14.25" customHeight="1">
      <c r="A552" s="1"/>
      <c r="B552" s="1"/>
      <c r="C552" s="1"/>
      <c r="D552" s="2"/>
      <c r="F552" s="1"/>
      <c r="G552" s="1"/>
    </row>
    <row r="553" ht="14.25" customHeight="1">
      <c r="A553" s="1"/>
      <c r="B553" s="1"/>
      <c r="C553" s="1"/>
      <c r="D553" s="2"/>
      <c r="F553" s="1"/>
      <c r="G553" s="1"/>
    </row>
    <row r="554" ht="14.25" customHeight="1">
      <c r="A554" s="1"/>
      <c r="B554" s="1"/>
      <c r="C554" s="1"/>
      <c r="D554" s="2"/>
      <c r="F554" s="1"/>
      <c r="G554" s="1"/>
    </row>
    <row r="555" ht="14.25" customHeight="1">
      <c r="A555" s="1"/>
      <c r="B555" s="1"/>
      <c r="C555" s="1"/>
      <c r="D555" s="2"/>
      <c r="F555" s="1"/>
      <c r="G555" s="1"/>
    </row>
    <row r="556" ht="14.25" customHeight="1">
      <c r="A556" s="1"/>
      <c r="B556" s="1"/>
      <c r="C556" s="1"/>
      <c r="D556" s="2"/>
      <c r="F556" s="1"/>
      <c r="G556" s="1"/>
    </row>
    <row r="557" ht="14.25" customHeight="1">
      <c r="A557" s="1"/>
      <c r="B557" s="1"/>
      <c r="C557" s="1"/>
      <c r="D557" s="2"/>
      <c r="F557" s="1"/>
      <c r="G557" s="1"/>
    </row>
    <row r="558" ht="14.25" customHeight="1">
      <c r="A558" s="1"/>
      <c r="B558" s="1"/>
      <c r="C558" s="1"/>
      <c r="D558" s="2"/>
      <c r="F558" s="1"/>
      <c r="G558" s="1"/>
    </row>
    <row r="559" ht="14.25" customHeight="1">
      <c r="A559" s="1"/>
      <c r="B559" s="1"/>
      <c r="C559" s="1"/>
      <c r="D559" s="2"/>
      <c r="F559" s="1"/>
      <c r="G559" s="1"/>
    </row>
    <row r="560" ht="14.25" customHeight="1">
      <c r="A560" s="1"/>
      <c r="B560" s="1"/>
      <c r="C560" s="1"/>
      <c r="D560" s="2"/>
      <c r="F560" s="1"/>
      <c r="G560" s="1"/>
    </row>
    <row r="561" ht="14.25" customHeight="1">
      <c r="A561" s="1"/>
      <c r="B561" s="1"/>
      <c r="C561" s="1"/>
      <c r="D561" s="2"/>
      <c r="F561" s="1"/>
      <c r="G561" s="1"/>
    </row>
    <row r="562" ht="14.25" customHeight="1">
      <c r="A562" s="1"/>
      <c r="B562" s="1"/>
      <c r="C562" s="1"/>
      <c r="D562" s="2"/>
      <c r="F562" s="1"/>
      <c r="G562" s="1"/>
    </row>
    <row r="563" ht="14.25" customHeight="1">
      <c r="A563" s="1"/>
      <c r="B563" s="1"/>
      <c r="C563" s="1"/>
      <c r="D563" s="2"/>
      <c r="F563" s="1"/>
      <c r="G563" s="1"/>
    </row>
    <row r="564" ht="14.25" customHeight="1">
      <c r="A564" s="1"/>
      <c r="B564" s="1"/>
      <c r="C564" s="1"/>
      <c r="D564" s="2"/>
      <c r="F564" s="1"/>
      <c r="G564" s="1"/>
    </row>
    <row r="565" ht="14.25" customHeight="1">
      <c r="A565" s="1"/>
      <c r="B565" s="1"/>
      <c r="C565" s="1"/>
      <c r="D565" s="2"/>
      <c r="F565" s="1"/>
      <c r="G565" s="1"/>
    </row>
    <row r="566" ht="14.25" customHeight="1">
      <c r="A566" s="1"/>
      <c r="B566" s="1"/>
      <c r="C566" s="1"/>
      <c r="D566" s="2"/>
      <c r="F566" s="1"/>
      <c r="G566" s="1"/>
    </row>
    <row r="567" ht="14.25" customHeight="1">
      <c r="A567" s="1"/>
      <c r="B567" s="1"/>
      <c r="C567" s="1"/>
      <c r="D567" s="2"/>
      <c r="F567" s="1"/>
      <c r="G567" s="1"/>
    </row>
    <row r="568" ht="14.25" customHeight="1">
      <c r="A568" s="1"/>
      <c r="B568" s="1"/>
      <c r="C568" s="1"/>
      <c r="D568" s="2"/>
      <c r="F568" s="1"/>
      <c r="G568" s="1"/>
    </row>
    <row r="569" ht="14.25" customHeight="1">
      <c r="A569" s="1"/>
      <c r="B569" s="1"/>
      <c r="C569" s="1"/>
      <c r="D569" s="2"/>
      <c r="F569" s="1"/>
      <c r="G569" s="1"/>
    </row>
    <row r="570" ht="14.25" customHeight="1">
      <c r="A570" s="1"/>
      <c r="B570" s="1"/>
      <c r="C570" s="1"/>
      <c r="D570" s="2"/>
      <c r="F570" s="1"/>
      <c r="G570" s="1"/>
    </row>
    <row r="571" ht="14.25" customHeight="1">
      <c r="A571" s="1"/>
      <c r="B571" s="1"/>
      <c r="C571" s="1"/>
      <c r="D571" s="2"/>
      <c r="F571" s="1"/>
      <c r="G571" s="1"/>
    </row>
    <row r="572" ht="14.25" customHeight="1">
      <c r="A572" s="1"/>
      <c r="B572" s="1"/>
      <c r="C572" s="1"/>
      <c r="D572" s="2"/>
      <c r="F572" s="1"/>
      <c r="G572" s="1"/>
    </row>
    <row r="573" ht="14.25" customHeight="1">
      <c r="A573" s="1"/>
      <c r="B573" s="1"/>
      <c r="C573" s="1"/>
      <c r="D573" s="2"/>
      <c r="F573" s="1"/>
      <c r="G573" s="1"/>
    </row>
    <row r="574" ht="14.25" customHeight="1">
      <c r="A574" s="1"/>
      <c r="B574" s="1"/>
      <c r="C574" s="1"/>
      <c r="D574" s="2"/>
      <c r="F574" s="1"/>
      <c r="G574" s="1"/>
    </row>
    <row r="575" ht="14.25" customHeight="1">
      <c r="A575" s="1"/>
      <c r="B575" s="1"/>
      <c r="C575" s="1"/>
      <c r="D575" s="2"/>
      <c r="F575" s="1"/>
      <c r="G575" s="1"/>
    </row>
    <row r="576" ht="14.25" customHeight="1">
      <c r="A576" s="1"/>
      <c r="B576" s="1"/>
      <c r="C576" s="1"/>
      <c r="D576" s="2"/>
      <c r="F576" s="1"/>
      <c r="G576" s="1"/>
    </row>
    <row r="577" ht="14.25" customHeight="1">
      <c r="A577" s="1"/>
      <c r="B577" s="1"/>
      <c r="C577" s="1"/>
      <c r="D577" s="2"/>
      <c r="F577" s="1"/>
      <c r="G577" s="1"/>
    </row>
    <row r="578" ht="14.25" customHeight="1">
      <c r="A578" s="1"/>
      <c r="B578" s="1"/>
      <c r="C578" s="1"/>
      <c r="D578" s="2"/>
      <c r="F578" s="1"/>
      <c r="G578" s="1"/>
    </row>
    <row r="579" ht="14.25" customHeight="1">
      <c r="A579" s="1"/>
      <c r="B579" s="1"/>
      <c r="C579" s="1"/>
      <c r="D579" s="2"/>
      <c r="F579" s="1"/>
      <c r="G579" s="1"/>
    </row>
    <row r="580" ht="14.25" customHeight="1">
      <c r="A580" s="1"/>
      <c r="B580" s="1"/>
      <c r="C580" s="1"/>
      <c r="D580" s="2"/>
      <c r="F580" s="1"/>
      <c r="G580" s="1"/>
    </row>
    <row r="581" ht="14.25" customHeight="1">
      <c r="A581" s="1"/>
      <c r="B581" s="1"/>
      <c r="C581" s="1"/>
      <c r="D581" s="2"/>
      <c r="F581" s="1"/>
      <c r="G581" s="1"/>
    </row>
    <row r="582" ht="14.25" customHeight="1">
      <c r="A582" s="1"/>
      <c r="B582" s="1"/>
      <c r="C582" s="1"/>
      <c r="D582" s="2"/>
      <c r="F582" s="1"/>
      <c r="G582" s="1"/>
    </row>
    <row r="583" ht="14.25" customHeight="1">
      <c r="A583" s="1"/>
      <c r="B583" s="1"/>
      <c r="C583" s="1"/>
      <c r="D583" s="2"/>
      <c r="F583" s="1"/>
      <c r="G583" s="1"/>
    </row>
    <row r="584" ht="14.25" customHeight="1">
      <c r="A584" s="1"/>
      <c r="B584" s="1"/>
      <c r="C584" s="1"/>
      <c r="D584" s="2"/>
      <c r="F584" s="1"/>
      <c r="G584" s="1"/>
    </row>
    <row r="585" ht="14.25" customHeight="1">
      <c r="A585" s="1"/>
      <c r="B585" s="1"/>
      <c r="C585" s="1"/>
      <c r="D585" s="2"/>
      <c r="F585" s="1"/>
      <c r="G585" s="1"/>
    </row>
    <row r="586" ht="14.25" customHeight="1">
      <c r="A586" s="1"/>
      <c r="B586" s="1"/>
      <c r="C586" s="1"/>
      <c r="D586" s="2"/>
      <c r="F586" s="1"/>
      <c r="G586" s="1"/>
    </row>
    <row r="587" ht="14.25" customHeight="1">
      <c r="A587" s="1"/>
      <c r="B587" s="1"/>
      <c r="C587" s="1"/>
      <c r="D587" s="2"/>
      <c r="F587" s="1"/>
      <c r="G587" s="1"/>
    </row>
    <row r="588" ht="14.25" customHeight="1">
      <c r="A588" s="1"/>
      <c r="B588" s="1"/>
      <c r="C588" s="1"/>
      <c r="D588" s="2"/>
      <c r="F588" s="1"/>
      <c r="G588" s="1"/>
    </row>
    <row r="589" ht="14.25" customHeight="1">
      <c r="A589" s="1"/>
      <c r="B589" s="1"/>
      <c r="C589" s="1"/>
      <c r="D589" s="2"/>
      <c r="F589" s="1"/>
      <c r="G589" s="1"/>
    </row>
    <row r="590" ht="14.25" customHeight="1">
      <c r="A590" s="1"/>
      <c r="B590" s="1"/>
      <c r="C590" s="1"/>
      <c r="D590" s="2"/>
      <c r="F590" s="1"/>
      <c r="G590" s="1"/>
    </row>
    <row r="591" ht="14.25" customHeight="1">
      <c r="A591" s="1"/>
      <c r="B591" s="1"/>
      <c r="C591" s="1"/>
      <c r="D591" s="2"/>
      <c r="F591" s="1"/>
      <c r="G591" s="1"/>
    </row>
    <row r="592" ht="14.25" customHeight="1">
      <c r="A592" s="1"/>
      <c r="B592" s="1"/>
      <c r="C592" s="1"/>
      <c r="D592" s="2"/>
      <c r="F592" s="1"/>
      <c r="G592" s="1"/>
    </row>
    <row r="593" ht="14.25" customHeight="1">
      <c r="A593" s="1"/>
      <c r="B593" s="1"/>
      <c r="C593" s="1"/>
      <c r="D593" s="2"/>
      <c r="F593" s="1"/>
      <c r="G593" s="1"/>
    </row>
    <row r="594" ht="14.25" customHeight="1">
      <c r="A594" s="1"/>
      <c r="B594" s="1"/>
      <c r="C594" s="1"/>
      <c r="D594" s="2"/>
      <c r="F594" s="1"/>
      <c r="G594" s="1"/>
    </row>
    <row r="595" ht="14.25" customHeight="1">
      <c r="A595" s="1"/>
      <c r="B595" s="1"/>
      <c r="C595" s="1"/>
      <c r="D595" s="2"/>
      <c r="F595" s="1"/>
      <c r="G595" s="1"/>
    </row>
    <row r="596" ht="14.25" customHeight="1">
      <c r="A596" s="1"/>
      <c r="B596" s="1"/>
      <c r="C596" s="1"/>
      <c r="D596" s="2"/>
      <c r="F596" s="1"/>
      <c r="G596" s="1"/>
    </row>
    <row r="597" ht="14.25" customHeight="1">
      <c r="A597" s="1"/>
      <c r="B597" s="1"/>
      <c r="C597" s="1"/>
      <c r="D597" s="2"/>
      <c r="F597" s="1"/>
      <c r="G597" s="1"/>
    </row>
    <row r="598" ht="14.25" customHeight="1">
      <c r="A598" s="1"/>
      <c r="B598" s="1"/>
      <c r="C598" s="1"/>
      <c r="D598" s="2"/>
      <c r="F598" s="1"/>
      <c r="G598" s="1"/>
    </row>
    <row r="599" ht="14.25" customHeight="1">
      <c r="A599" s="1"/>
      <c r="B599" s="1"/>
      <c r="C599" s="1"/>
      <c r="D599" s="2"/>
      <c r="F599" s="1"/>
      <c r="G599" s="1"/>
    </row>
    <row r="600" ht="14.25" customHeight="1">
      <c r="A600" s="1"/>
      <c r="B600" s="1"/>
      <c r="C600" s="1"/>
      <c r="D600" s="2"/>
      <c r="F600" s="1"/>
      <c r="G600" s="1"/>
    </row>
    <row r="601" ht="14.25" customHeight="1">
      <c r="A601" s="1"/>
      <c r="B601" s="1"/>
      <c r="C601" s="1"/>
      <c r="D601" s="2"/>
      <c r="F601" s="1"/>
      <c r="G601" s="1"/>
    </row>
    <row r="602" ht="14.25" customHeight="1">
      <c r="A602" s="1"/>
      <c r="B602" s="1"/>
      <c r="C602" s="1"/>
      <c r="D602" s="2"/>
      <c r="F602" s="1"/>
      <c r="G602" s="1"/>
    </row>
    <row r="603" ht="14.25" customHeight="1">
      <c r="A603" s="1"/>
      <c r="B603" s="1"/>
      <c r="C603" s="1"/>
      <c r="D603" s="2"/>
      <c r="F603" s="1"/>
      <c r="G603" s="1"/>
    </row>
    <row r="604" ht="14.25" customHeight="1">
      <c r="A604" s="1"/>
      <c r="B604" s="1"/>
      <c r="C604" s="1"/>
      <c r="D604" s="2"/>
      <c r="F604" s="1"/>
      <c r="G604" s="1"/>
    </row>
    <row r="605" ht="14.25" customHeight="1">
      <c r="A605" s="1"/>
      <c r="B605" s="1"/>
      <c r="C605" s="1"/>
      <c r="D605" s="2"/>
      <c r="F605" s="1"/>
      <c r="G605" s="1"/>
    </row>
    <row r="606" ht="14.25" customHeight="1">
      <c r="A606" s="1"/>
      <c r="B606" s="1"/>
      <c r="C606" s="1"/>
      <c r="D606" s="2"/>
      <c r="F606" s="1"/>
      <c r="G606" s="1"/>
    </row>
    <row r="607" ht="14.25" customHeight="1">
      <c r="A607" s="1"/>
      <c r="B607" s="1"/>
      <c r="C607" s="1"/>
      <c r="D607" s="2"/>
      <c r="F607" s="1"/>
      <c r="G607" s="1"/>
    </row>
    <row r="608" ht="14.25" customHeight="1">
      <c r="A608" s="1"/>
      <c r="B608" s="1"/>
      <c r="C608" s="1"/>
      <c r="D608" s="2"/>
      <c r="F608" s="1"/>
      <c r="G608" s="1"/>
    </row>
    <row r="609" ht="14.25" customHeight="1">
      <c r="A609" s="1"/>
      <c r="B609" s="1"/>
      <c r="C609" s="1"/>
      <c r="D609" s="2"/>
      <c r="F609" s="1"/>
      <c r="G609" s="1"/>
    </row>
    <row r="610" ht="14.25" customHeight="1">
      <c r="A610" s="1"/>
      <c r="B610" s="1"/>
      <c r="C610" s="1"/>
      <c r="D610" s="2"/>
      <c r="F610" s="1"/>
      <c r="G610" s="1"/>
    </row>
    <row r="611" ht="14.25" customHeight="1">
      <c r="A611" s="1"/>
      <c r="B611" s="1"/>
      <c r="C611" s="1"/>
      <c r="D611" s="2"/>
      <c r="F611" s="1"/>
      <c r="G611" s="1"/>
    </row>
    <row r="612" ht="14.25" customHeight="1">
      <c r="A612" s="1"/>
      <c r="B612" s="1"/>
      <c r="C612" s="1"/>
      <c r="D612" s="2"/>
      <c r="F612" s="1"/>
      <c r="G612" s="1"/>
    </row>
    <row r="613" ht="14.25" customHeight="1">
      <c r="A613" s="1"/>
      <c r="B613" s="1"/>
      <c r="C613" s="1"/>
      <c r="D613" s="2"/>
      <c r="F613" s="1"/>
      <c r="G613" s="1"/>
    </row>
    <row r="614" ht="14.25" customHeight="1">
      <c r="A614" s="1"/>
      <c r="B614" s="1"/>
      <c r="C614" s="1"/>
      <c r="D614" s="2"/>
      <c r="F614" s="1"/>
      <c r="G614" s="1"/>
    </row>
    <row r="615" ht="14.25" customHeight="1">
      <c r="A615" s="1"/>
      <c r="B615" s="1"/>
      <c r="C615" s="1"/>
      <c r="D615" s="2"/>
      <c r="F615" s="1"/>
      <c r="G615" s="1"/>
    </row>
    <row r="616" ht="14.25" customHeight="1">
      <c r="A616" s="1"/>
      <c r="B616" s="1"/>
      <c r="C616" s="1"/>
      <c r="D616" s="2"/>
      <c r="F616" s="1"/>
      <c r="G616" s="1"/>
    </row>
    <row r="617" ht="14.25" customHeight="1">
      <c r="A617" s="1"/>
      <c r="B617" s="1"/>
      <c r="C617" s="1"/>
      <c r="D617" s="2"/>
      <c r="F617" s="1"/>
      <c r="G617" s="1"/>
    </row>
    <row r="618" ht="14.25" customHeight="1">
      <c r="A618" s="1"/>
      <c r="B618" s="1"/>
      <c r="C618" s="1"/>
      <c r="D618" s="2"/>
      <c r="F618" s="1"/>
      <c r="G618" s="1"/>
    </row>
    <row r="619" ht="14.25" customHeight="1">
      <c r="A619" s="1"/>
      <c r="B619" s="1"/>
      <c r="C619" s="1"/>
      <c r="D619" s="2"/>
      <c r="F619" s="1"/>
      <c r="G619" s="1"/>
    </row>
    <row r="620" ht="14.25" customHeight="1">
      <c r="A620" s="1"/>
      <c r="B620" s="1"/>
      <c r="C620" s="1"/>
      <c r="D620" s="2"/>
      <c r="F620" s="1"/>
      <c r="G620" s="1"/>
    </row>
    <row r="621" ht="14.25" customHeight="1">
      <c r="A621" s="1"/>
      <c r="B621" s="1"/>
      <c r="C621" s="1"/>
      <c r="D621" s="2"/>
      <c r="F621" s="1"/>
      <c r="G621" s="1"/>
    </row>
    <row r="622" ht="14.25" customHeight="1">
      <c r="A622" s="1"/>
      <c r="B622" s="1"/>
      <c r="C622" s="1"/>
      <c r="D622" s="2"/>
      <c r="F622" s="1"/>
      <c r="G622" s="1"/>
    </row>
    <row r="623" ht="14.25" customHeight="1">
      <c r="A623" s="1"/>
      <c r="B623" s="1"/>
      <c r="C623" s="1"/>
      <c r="D623" s="2"/>
      <c r="F623" s="1"/>
      <c r="G623" s="1"/>
    </row>
    <row r="624" ht="14.25" customHeight="1">
      <c r="A624" s="1"/>
      <c r="B624" s="1"/>
      <c r="C624" s="1"/>
      <c r="D624" s="2"/>
      <c r="F624" s="1"/>
      <c r="G624" s="1"/>
    </row>
    <row r="625" ht="14.25" customHeight="1">
      <c r="A625" s="1"/>
      <c r="B625" s="1"/>
      <c r="C625" s="1"/>
      <c r="D625" s="2"/>
      <c r="F625" s="1"/>
      <c r="G625" s="1"/>
    </row>
    <row r="626" ht="14.25" customHeight="1">
      <c r="A626" s="1"/>
      <c r="B626" s="1"/>
      <c r="C626" s="1"/>
      <c r="D626" s="2"/>
      <c r="F626" s="1"/>
      <c r="G626" s="1"/>
    </row>
    <row r="627" ht="14.25" customHeight="1">
      <c r="A627" s="1"/>
      <c r="B627" s="1"/>
      <c r="C627" s="1"/>
      <c r="D627" s="2"/>
      <c r="F627" s="1"/>
      <c r="G627" s="1"/>
    </row>
    <row r="628" ht="14.25" customHeight="1">
      <c r="A628" s="1"/>
      <c r="B628" s="1"/>
      <c r="C628" s="1"/>
      <c r="D628" s="2"/>
      <c r="F628" s="1"/>
      <c r="G628" s="1"/>
    </row>
    <row r="629" ht="14.25" customHeight="1">
      <c r="A629" s="1"/>
      <c r="B629" s="1"/>
      <c r="C629" s="1"/>
      <c r="D629" s="2"/>
      <c r="F629" s="1"/>
      <c r="G629" s="1"/>
    </row>
    <row r="630" ht="14.25" customHeight="1">
      <c r="A630" s="1"/>
      <c r="B630" s="1"/>
      <c r="C630" s="1"/>
      <c r="D630" s="2"/>
      <c r="F630" s="1"/>
      <c r="G630" s="1"/>
    </row>
    <row r="631" ht="14.25" customHeight="1">
      <c r="A631" s="1"/>
      <c r="B631" s="1"/>
      <c r="C631" s="1"/>
      <c r="D631" s="2"/>
      <c r="F631" s="1"/>
      <c r="G631" s="1"/>
    </row>
    <row r="632" ht="14.25" customHeight="1">
      <c r="A632" s="1"/>
      <c r="B632" s="1"/>
      <c r="C632" s="1"/>
      <c r="D632" s="2"/>
      <c r="F632" s="1"/>
      <c r="G632" s="1"/>
    </row>
    <row r="633" ht="14.25" customHeight="1">
      <c r="A633" s="1"/>
      <c r="B633" s="1"/>
      <c r="C633" s="1"/>
      <c r="D633" s="2"/>
      <c r="F633" s="1"/>
      <c r="G633" s="1"/>
    </row>
    <row r="634" ht="14.25" customHeight="1">
      <c r="A634" s="1"/>
      <c r="B634" s="1"/>
      <c r="C634" s="1"/>
      <c r="D634" s="2"/>
      <c r="F634" s="1"/>
      <c r="G634" s="1"/>
    </row>
    <row r="635" ht="14.25" customHeight="1">
      <c r="A635" s="1"/>
      <c r="B635" s="1"/>
      <c r="C635" s="1"/>
      <c r="D635" s="2"/>
      <c r="F635" s="1"/>
      <c r="G635" s="1"/>
    </row>
    <row r="636" ht="14.25" customHeight="1">
      <c r="A636" s="1"/>
      <c r="B636" s="1"/>
      <c r="C636" s="1"/>
      <c r="D636" s="2"/>
      <c r="F636" s="1"/>
      <c r="G636" s="1"/>
    </row>
    <row r="637" ht="14.25" customHeight="1">
      <c r="A637" s="1"/>
      <c r="B637" s="1"/>
      <c r="C637" s="1"/>
      <c r="D637" s="2"/>
      <c r="F637" s="1"/>
      <c r="G637" s="1"/>
    </row>
    <row r="638" ht="14.25" customHeight="1">
      <c r="A638" s="1"/>
      <c r="B638" s="1"/>
      <c r="C638" s="1"/>
      <c r="D638" s="2"/>
      <c r="F638" s="1"/>
      <c r="G638" s="1"/>
    </row>
    <row r="639" ht="14.25" customHeight="1">
      <c r="A639" s="1"/>
      <c r="B639" s="1"/>
      <c r="C639" s="1"/>
      <c r="D639" s="2"/>
      <c r="F639" s="1"/>
      <c r="G639" s="1"/>
    </row>
    <row r="640" ht="14.25" customHeight="1">
      <c r="A640" s="1"/>
      <c r="B640" s="1"/>
      <c r="C640" s="1"/>
      <c r="D640" s="2"/>
      <c r="F640" s="1"/>
      <c r="G640" s="1"/>
    </row>
    <row r="641" ht="14.25" customHeight="1">
      <c r="A641" s="1"/>
      <c r="B641" s="1"/>
      <c r="C641" s="1"/>
      <c r="D641" s="2"/>
      <c r="F641" s="1"/>
      <c r="G641" s="1"/>
    </row>
    <row r="642" ht="14.25" customHeight="1">
      <c r="A642" s="1"/>
      <c r="B642" s="1"/>
      <c r="C642" s="1"/>
      <c r="D642" s="2"/>
      <c r="F642" s="1"/>
      <c r="G642" s="1"/>
    </row>
    <row r="643" ht="14.25" customHeight="1">
      <c r="A643" s="1"/>
      <c r="B643" s="1"/>
      <c r="C643" s="1"/>
      <c r="D643" s="2"/>
      <c r="F643" s="1"/>
      <c r="G643" s="1"/>
    </row>
    <row r="644" ht="14.25" customHeight="1">
      <c r="A644" s="1"/>
      <c r="B644" s="1"/>
      <c r="C644" s="1"/>
      <c r="D644" s="2"/>
      <c r="F644" s="1"/>
      <c r="G644" s="1"/>
    </row>
    <row r="645" ht="14.25" customHeight="1">
      <c r="A645" s="1"/>
      <c r="B645" s="1"/>
      <c r="C645" s="1"/>
      <c r="D645" s="2"/>
      <c r="F645" s="1"/>
      <c r="G645" s="1"/>
    </row>
    <row r="646" ht="14.25" customHeight="1">
      <c r="A646" s="1"/>
      <c r="B646" s="1"/>
      <c r="C646" s="1"/>
      <c r="D646" s="2"/>
      <c r="F646" s="1"/>
      <c r="G646" s="1"/>
    </row>
    <row r="647" ht="14.25" customHeight="1">
      <c r="A647" s="1"/>
      <c r="B647" s="1"/>
      <c r="C647" s="1"/>
      <c r="D647" s="2"/>
      <c r="F647" s="1"/>
      <c r="G647" s="1"/>
    </row>
    <row r="648" ht="14.25" customHeight="1">
      <c r="A648" s="1"/>
      <c r="B648" s="1"/>
      <c r="C648" s="1"/>
      <c r="D648" s="2"/>
      <c r="F648" s="1"/>
      <c r="G648" s="1"/>
    </row>
    <row r="649" ht="14.25" customHeight="1">
      <c r="A649" s="1"/>
      <c r="B649" s="1"/>
      <c r="C649" s="1"/>
      <c r="D649" s="2"/>
      <c r="F649" s="1"/>
      <c r="G649" s="1"/>
    </row>
    <row r="650" ht="14.25" customHeight="1">
      <c r="A650" s="1"/>
      <c r="B650" s="1"/>
      <c r="C650" s="1"/>
      <c r="D650" s="2"/>
      <c r="F650" s="1"/>
      <c r="G650" s="1"/>
    </row>
    <row r="651" ht="14.25" customHeight="1">
      <c r="A651" s="1"/>
      <c r="B651" s="1"/>
      <c r="C651" s="1"/>
      <c r="D651" s="2"/>
      <c r="F651" s="1"/>
      <c r="G651" s="1"/>
    </row>
    <row r="652" ht="14.25" customHeight="1">
      <c r="A652" s="1"/>
      <c r="B652" s="1"/>
      <c r="C652" s="1"/>
      <c r="D652" s="2"/>
      <c r="F652" s="1"/>
      <c r="G652" s="1"/>
    </row>
    <row r="653" ht="14.25" customHeight="1">
      <c r="A653" s="1"/>
      <c r="B653" s="1"/>
      <c r="C653" s="1"/>
      <c r="D653" s="2"/>
      <c r="F653" s="1"/>
      <c r="G653" s="1"/>
    </row>
    <row r="654" ht="14.25" customHeight="1">
      <c r="A654" s="1"/>
      <c r="B654" s="1"/>
      <c r="C654" s="1"/>
      <c r="D654" s="2"/>
      <c r="F654" s="1"/>
      <c r="G654" s="1"/>
    </row>
    <row r="655" ht="14.25" customHeight="1">
      <c r="A655" s="1"/>
      <c r="B655" s="1"/>
      <c r="C655" s="1"/>
      <c r="D655" s="2"/>
      <c r="F655" s="1"/>
      <c r="G655" s="1"/>
    </row>
    <row r="656" ht="14.25" customHeight="1">
      <c r="A656" s="1"/>
      <c r="B656" s="1"/>
      <c r="C656" s="1"/>
      <c r="D656" s="2"/>
      <c r="F656" s="1"/>
      <c r="G656" s="1"/>
    </row>
    <row r="657" ht="14.25" customHeight="1">
      <c r="A657" s="1"/>
      <c r="B657" s="1"/>
      <c r="C657" s="1"/>
      <c r="D657" s="2"/>
      <c r="F657" s="1"/>
      <c r="G657" s="1"/>
    </row>
    <row r="658" ht="14.25" customHeight="1">
      <c r="A658" s="1"/>
      <c r="B658" s="1"/>
      <c r="C658" s="1"/>
      <c r="D658" s="2"/>
      <c r="F658" s="1"/>
      <c r="G658" s="1"/>
    </row>
    <row r="659" ht="14.25" customHeight="1">
      <c r="A659" s="1"/>
      <c r="B659" s="1"/>
      <c r="C659" s="1"/>
      <c r="D659" s="2"/>
      <c r="F659" s="1"/>
      <c r="G659" s="1"/>
    </row>
    <row r="660" ht="14.25" customHeight="1">
      <c r="A660" s="1"/>
      <c r="B660" s="1"/>
      <c r="C660" s="1"/>
      <c r="D660" s="2"/>
      <c r="F660" s="1"/>
      <c r="G660" s="1"/>
    </row>
    <row r="661" ht="14.25" customHeight="1">
      <c r="A661" s="1"/>
      <c r="B661" s="1"/>
      <c r="C661" s="1"/>
      <c r="D661" s="2"/>
      <c r="F661" s="1"/>
      <c r="G661" s="1"/>
    </row>
    <row r="662" ht="14.25" customHeight="1">
      <c r="A662" s="1"/>
      <c r="B662" s="1"/>
      <c r="C662" s="1"/>
      <c r="D662" s="2"/>
      <c r="F662" s="1"/>
      <c r="G662" s="1"/>
    </row>
    <row r="663" ht="14.25" customHeight="1">
      <c r="A663" s="1"/>
      <c r="B663" s="1"/>
      <c r="C663" s="1"/>
      <c r="D663" s="2"/>
      <c r="F663" s="1"/>
      <c r="G663" s="1"/>
    </row>
    <row r="664" ht="14.25" customHeight="1">
      <c r="A664" s="1"/>
      <c r="B664" s="1"/>
      <c r="C664" s="1"/>
      <c r="D664" s="2"/>
      <c r="F664" s="1"/>
      <c r="G664" s="1"/>
    </row>
    <row r="665" ht="14.25" customHeight="1">
      <c r="A665" s="1"/>
      <c r="B665" s="1"/>
      <c r="C665" s="1"/>
      <c r="D665" s="2"/>
      <c r="F665" s="1"/>
      <c r="G665" s="1"/>
    </row>
    <row r="666" ht="14.25" customHeight="1">
      <c r="A666" s="1"/>
      <c r="B666" s="1"/>
      <c r="C666" s="1"/>
      <c r="D666" s="2"/>
      <c r="F666" s="1"/>
      <c r="G666" s="1"/>
    </row>
    <row r="667" ht="14.25" customHeight="1">
      <c r="A667" s="1"/>
      <c r="B667" s="1"/>
      <c r="C667" s="1"/>
      <c r="D667" s="2"/>
      <c r="F667" s="1"/>
      <c r="G667" s="1"/>
    </row>
    <row r="668" ht="14.25" customHeight="1">
      <c r="A668" s="1"/>
      <c r="B668" s="1"/>
      <c r="C668" s="1"/>
      <c r="D668" s="2"/>
      <c r="F668" s="1"/>
      <c r="G668" s="1"/>
    </row>
    <row r="669" ht="14.25" customHeight="1">
      <c r="A669" s="1"/>
      <c r="B669" s="1"/>
      <c r="C669" s="1"/>
      <c r="D669" s="2"/>
      <c r="F669" s="1"/>
      <c r="G669" s="1"/>
    </row>
    <row r="670" ht="14.25" customHeight="1">
      <c r="A670" s="1"/>
      <c r="B670" s="1"/>
      <c r="C670" s="1"/>
      <c r="D670" s="2"/>
      <c r="F670" s="1"/>
      <c r="G670" s="1"/>
    </row>
    <row r="671" ht="14.25" customHeight="1">
      <c r="A671" s="1"/>
      <c r="B671" s="1"/>
      <c r="C671" s="1"/>
      <c r="D671" s="2"/>
      <c r="F671" s="1"/>
      <c r="G671" s="1"/>
    </row>
    <row r="672" ht="14.25" customHeight="1">
      <c r="A672" s="1"/>
      <c r="B672" s="1"/>
      <c r="C672" s="1"/>
      <c r="D672" s="2"/>
      <c r="F672" s="1"/>
      <c r="G672" s="1"/>
    </row>
    <row r="673" ht="14.25" customHeight="1">
      <c r="A673" s="1"/>
      <c r="B673" s="1"/>
      <c r="C673" s="1"/>
      <c r="D673" s="2"/>
      <c r="F673" s="1"/>
      <c r="G673" s="1"/>
    </row>
    <row r="674" ht="14.25" customHeight="1">
      <c r="A674" s="1"/>
      <c r="B674" s="1"/>
      <c r="C674" s="1"/>
      <c r="D674" s="2"/>
      <c r="F674" s="1"/>
      <c r="G674" s="1"/>
    </row>
    <row r="675" ht="14.25" customHeight="1">
      <c r="A675" s="1"/>
      <c r="B675" s="1"/>
      <c r="C675" s="1"/>
      <c r="D675" s="2"/>
      <c r="F675" s="1"/>
      <c r="G675" s="1"/>
    </row>
    <row r="676" ht="14.25" customHeight="1">
      <c r="A676" s="1"/>
      <c r="B676" s="1"/>
      <c r="C676" s="1"/>
      <c r="D676" s="2"/>
      <c r="F676" s="1"/>
      <c r="G676" s="1"/>
    </row>
    <row r="677" ht="14.25" customHeight="1">
      <c r="A677" s="1"/>
      <c r="B677" s="1"/>
      <c r="C677" s="1"/>
      <c r="D677" s="2"/>
      <c r="F677" s="1"/>
      <c r="G677" s="1"/>
    </row>
    <row r="678" ht="14.25" customHeight="1">
      <c r="A678" s="1"/>
      <c r="B678" s="1"/>
      <c r="C678" s="1"/>
      <c r="D678" s="2"/>
      <c r="F678" s="1"/>
      <c r="G678" s="1"/>
    </row>
    <row r="679" ht="14.25" customHeight="1">
      <c r="A679" s="1"/>
      <c r="B679" s="1"/>
      <c r="C679" s="1"/>
      <c r="D679" s="2"/>
      <c r="F679" s="1"/>
      <c r="G679" s="1"/>
    </row>
    <row r="680" ht="14.25" customHeight="1">
      <c r="A680" s="1"/>
      <c r="B680" s="1"/>
      <c r="C680" s="1"/>
      <c r="D680" s="2"/>
      <c r="F680" s="1"/>
      <c r="G680" s="1"/>
    </row>
    <row r="681" ht="14.25" customHeight="1">
      <c r="A681" s="1"/>
      <c r="B681" s="1"/>
      <c r="C681" s="1"/>
      <c r="D681" s="2"/>
      <c r="F681" s="1"/>
      <c r="G681" s="1"/>
    </row>
    <row r="682" ht="14.25" customHeight="1">
      <c r="A682" s="1"/>
      <c r="B682" s="1"/>
      <c r="C682" s="1"/>
      <c r="D682" s="2"/>
      <c r="F682" s="1"/>
      <c r="G682" s="1"/>
    </row>
    <row r="683" ht="14.25" customHeight="1">
      <c r="A683" s="1"/>
      <c r="B683" s="1"/>
      <c r="C683" s="1"/>
      <c r="D683" s="2"/>
      <c r="F683" s="1"/>
      <c r="G683" s="1"/>
    </row>
    <row r="684" ht="14.25" customHeight="1">
      <c r="A684" s="1"/>
      <c r="B684" s="1"/>
      <c r="C684" s="1"/>
      <c r="D684" s="2"/>
      <c r="F684" s="1"/>
      <c r="G684" s="1"/>
    </row>
    <row r="685" ht="14.25" customHeight="1">
      <c r="A685" s="1"/>
      <c r="B685" s="1"/>
      <c r="C685" s="1"/>
      <c r="D685" s="2"/>
      <c r="F685" s="1"/>
      <c r="G685" s="1"/>
    </row>
    <row r="686" ht="14.25" customHeight="1">
      <c r="A686" s="1"/>
      <c r="B686" s="1"/>
      <c r="C686" s="1"/>
      <c r="D686" s="2"/>
      <c r="F686" s="1"/>
      <c r="G686" s="1"/>
    </row>
    <row r="687" ht="14.25" customHeight="1">
      <c r="A687" s="1"/>
      <c r="B687" s="1"/>
      <c r="C687" s="1"/>
      <c r="D687" s="2"/>
      <c r="F687" s="1"/>
      <c r="G687" s="1"/>
    </row>
    <row r="688" ht="14.25" customHeight="1">
      <c r="A688" s="1"/>
      <c r="B688" s="1"/>
      <c r="C688" s="1"/>
      <c r="D688" s="2"/>
      <c r="F688" s="1"/>
      <c r="G688" s="1"/>
    </row>
    <row r="689" ht="14.25" customHeight="1">
      <c r="A689" s="1"/>
      <c r="B689" s="1"/>
      <c r="C689" s="1"/>
      <c r="D689" s="2"/>
      <c r="F689" s="1"/>
      <c r="G689" s="1"/>
    </row>
    <row r="690" ht="14.25" customHeight="1">
      <c r="A690" s="1"/>
      <c r="B690" s="1"/>
      <c r="C690" s="1"/>
      <c r="D690" s="2"/>
      <c r="F690" s="1"/>
      <c r="G690" s="1"/>
    </row>
    <row r="691" ht="14.25" customHeight="1">
      <c r="A691" s="1"/>
      <c r="B691" s="1"/>
      <c r="C691" s="1"/>
      <c r="D691" s="2"/>
      <c r="F691" s="1"/>
      <c r="G691" s="1"/>
    </row>
    <row r="692" ht="14.25" customHeight="1">
      <c r="A692" s="1"/>
      <c r="B692" s="1"/>
      <c r="C692" s="1"/>
      <c r="D692" s="2"/>
      <c r="F692" s="1"/>
      <c r="G692" s="1"/>
    </row>
    <row r="693" ht="14.25" customHeight="1">
      <c r="A693" s="1"/>
      <c r="B693" s="1"/>
      <c r="C693" s="1"/>
      <c r="D693" s="2"/>
      <c r="F693" s="1"/>
      <c r="G693" s="1"/>
    </row>
    <row r="694" ht="14.25" customHeight="1">
      <c r="A694" s="1"/>
      <c r="B694" s="1"/>
      <c r="C694" s="1"/>
      <c r="D694" s="2"/>
      <c r="F694" s="1"/>
      <c r="G694" s="1"/>
    </row>
    <row r="695" ht="14.25" customHeight="1">
      <c r="A695" s="1"/>
      <c r="B695" s="1"/>
      <c r="C695" s="1"/>
      <c r="D695" s="2"/>
      <c r="F695" s="1"/>
      <c r="G695" s="1"/>
    </row>
    <row r="696" ht="14.25" customHeight="1">
      <c r="A696" s="1"/>
      <c r="B696" s="1"/>
      <c r="C696" s="1"/>
      <c r="D696" s="2"/>
      <c r="F696" s="1"/>
      <c r="G696" s="1"/>
    </row>
    <row r="697" ht="14.25" customHeight="1">
      <c r="A697" s="1"/>
      <c r="B697" s="1"/>
      <c r="C697" s="1"/>
      <c r="D697" s="2"/>
      <c r="F697" s="1"/>
      <c r="G697" s="1"/>
    </row>
    <row r="698" ht="14.25" customHeight="1">
      <c r="A698" s="1"/>
      <c r="B698" s="1"/>
      <c r="C698" s="1"/>
      <c r="D698" s="2"/>
      <c r="F698" s="1"/>
      <c r="G698" s="1"/>
    </row>
    <row r="699" ht="14.25" customHeight="1">
      <c r="A699" s="1"/>
      <c r="B699" s="1"/>
      <c r="C699" s="1"/>
      <c r="D699" s="2"/>
      <c r="F699" s="1"/>
      <c r="G699" s="1"/>
    </row>
    <row r="700" ht="14.25" customHeight="1">
      <c r="A700" s="1"/>
      <c r="B700" s="1"/>
      <c r="C700" s="1"/>
      <c r="D700" s="2"/>
      <c r="F700" s="1"/>
      <c r="G700" s="1"/>
    </row>
    <row r="701" ht="14.25" customHeight="1">
      <c r="A701" s="1"/>
      <c r="B701" s="1"/>
      <c r="C701" s="1"/>
      <c r="D701" s="2"/>
      <c r="F701" s="1"/>
      <c r="G701" s="1"/>
    </row>
    <row r="702" ht="14.25" customHeight="1">
      <c r="A702" s="1"/>
      <c r="B702" s="1"/>
      <c r="C702" s="1"/>
      <c r="D702" s="2"/>
      <c r="F702" s="1"/>
      <c r="G702" s="1"/>
    </row>
    <row r="703" ht="14.25" customHeight="1">
      <c r="A703" s="1"/>
      <c r="B703" s="1"/>
      <c r="C703" s="1"/>
      <c r="D703" s="2"/>
      <c r="F703" s="1"/>
      <c r="G703" s="1"/>
    </row>
    <row r="704" ht="14.25" customHeight="1">
      <c r="A704" s="1"/>
      <c r="B704" s="1"/>
      <c r="C704" s="1"/>
      <c r="D704" s="2"/>
      <c r="F704" s="1"/>
      <c r="G704" s="1"/>
    </row>
    <row r="705" ht="14.25" customHeight="1">
      <c r="A705" s="1"/>
      <c r="B705" s="1"/>
      <c r="C705" s="1"/>
      <c r="D705" s="2"/>
      <c r="F705" s="1"/>
      <c r="G705" s="1"/>
    </row>
    <row r="706" ht="14.25" customHeight="1">
      <c r="A706" s="1"/>
      <c r="B706" s="1"/>
      <c r="C706" s="1"/>
      <c r="D706" s="2"/>
      <c r="F706" s="1"/>
      <c r="G706" s="1"/>
    </row>
    <row r="707" ht="14.25" customHeight="1">
      <c r="A707" s="1"/>
      <c r="B707" s="1"/>
      <c r="C707" s="1"/>
      <c r="D707" s="2"/>
      <c r="F707" s="1"/>
      <c r="G707" s="1"/>
    </row>
    <row r="708" ht="14.25" customHeight="1">
      <c r="A708" s="1"/>
      <c r="B708" s="1"/>
      <c r="C708" s="1"/>
      <c r="D708" s="2"/>
      <c r="F708" s="1"/>
      <c r="G708" s="1"/>
    </row>
    <row r="709" ht="14.25" customHeight="1">
      <c r="A709" s="1"/>
      <c r="B709" s="1"/>
      <c r="C709" s="1"/>
      <c r="D709" s="2"/>
      <c r="F709" s="1"/>
      <c r="G709" s="1"/>
    </row>
    <row r="710" ht="14.25" customHeight="1">
      <c r="A710" s="1"/>
      <c r="B710" s="1"/>
      <c r="C710" s="1"/>
      <c r="D710" s="2"/>
      <c r="F710" s="1"/>
      <c r="G710" s="1"/>
    </row>
    <row r="711" ht="14.25" customHeight="1">
      <c r="A711" s="1"/>
      <c r="B711" s="1"/>
      <c r="C711" s="1"/>
      <c r="D711" s="2"/>
      <c r="F711" s="1"/>
      <c r="G711" s="1"/>
    </row>
    <row r="712" ht="14.25" customHeight="1">
      <c r="A712" s="1"/>
      <c r="B712" s="1"/>
      <c r="C712" s="1"/>
      <c r="D712" s="2"/>
      <c r="F712" s="1"/>
      <c r="G712" s="1"/>
    </row>
    <row r="713" ht="14.25" customHeight="1">
      <c r="A713" s="1"/>
      <c r="B713" s="1"/>
      <c r="C713" s="1"/>
      <c r="D713" s="2"/>
      <c r="F713" s="1"/>
      <c r="G713" s="1"/>
    </row>
    <row r="714" ht="14.25" customHeight="1">
      <c r="A714" s="1"/>
      <c r="B714" s="1"/>
      <c r="C714" s="1"/>
      <c r="D714" s="2"/>
      <c r="F714" s="1"/>
      <c r="G714" s="1"/>
    </row>
    <row r="715" ht="14.25" customHeight="1">
      <c r="A715" s="1"/>
      <c r="B715" s="1"/>
      <c r="C715" s="1"/>
      <c r="D715" s="2"/>
      <c r="F715" s="1"/>
      <c r="G715" s="1"/>
    </row>
    <row r="716" ht="14.25" customHeight="1">
      <c r="A716" s="1"/>
      <c r="B716" s="1"/>
      <c r="C716" s="1"/>
      <c r="D716" s="2"/>
      <c r="F716" s="1"/>
      <c r="G716" s="1"/>
    </row>
    <row r="717" ht="14.25" customHeight="1">
      <c r="A717" s="1"/>
      <c r="B717" s="1"/>
      <c r="C717" s="1"/>
      <c r="D717" s="2"/>
      <c r="F717" s="1"/>
      <c r="G717" s="1"/>
    </row>
    <row r="718" ht="14.25" customHeight="1">
      <c r="A718" s="1"/>
      <c r="B718" s="1"/>
      <c r="C718" s="1"/>
      <c r="D718" s="2"/>
      <c r="F718" s="1"/>
      <c r="G718" s="1"/>
    </row>
    <row r="719" ht="14.25" customHeight="1">
      <c r="A719" s="1"/>
      <c r="B719" s="1"/>
      <c r="C719" s="1"/>
      <c r="D719" s="2"/>
      <c r="F719" s="1"/>
      <c r="G719" s="1"/>
    </row>
    <row r="720" ht="14.25" customHeight="1">
      <c r="A720" s="1"/>
      <c r="B720" s="1"/>
      <c r="C720" s="1"/>
      <c r="D720" s="2"/>
      <c r="F720" s="1"/>
      <c r="G720" s="1"/>
    </row>
    <row r="721" ht="14.25" customHeight="1">
      <c r="A721" s="1"/>
      <c r="B721" s="1"/>
      <c r="C721" s="1"/>
      <c r="D721" s="2"/>
      <c r="F721" s="1"/>
      <c r="G721" s="1"/>
    </row>
    <row r="722" ht="14.25" customHeight="1">
      <c r="A722" s="1"/>
      <c r="B722" s="1"/>
      <c r="C722" s="1"/>
      <c r="D722" s="2"/>
      <c r="F722" s="1"/>
      <c r="G722" s="1"/>
    </row>
    <row r="723" ht="14.25" customHeight="1">
      <c r="A723" s="1"/>
      <c r="B723" s="1"/>
      <c r="C723" s="1"/>
      <c r="D723" s="2"/>
      <c r="F723" s="1"/>
      <c r="G723" s="1"/>
    </row>
    <row r="724" ht="14.25" customHeight="1">
      <c r="A724" s="1"/>
      <c r="B724" s="1"/>
      <c r="C724" s="1"/>
      <c r="D724" s="2"/>
      <c r="F724" s="1"/>
      <c r="G724" s="1"/>
    </row>
    <row r="725" ht="14.25" customHeight="1">
      <c r="A725" s="1"/>
      <c r="B725" s="1"/>
      <c r="C725" s="1"/>
      <c r="D725" s="2"/>
      <c r="F725" s="1"/>
      <c r="G725" s="1"/>
    </row>
    <row r="726" ht="14.25" customHeight="1">
      <c r="A726" s="1"/>
      <c r="B726" s="1"/>
      <c r="C726" s="1"/>
      <c r="D726" s="2"/>
      <c r="F726" s="1"/>
      <c r="G726" s="1"/>
    </row>
    <row r="727" ht="14.25" customHeight="1">
      <c r="A727" s="1"/>
      <c r="B727" s="1"/>
      <c r="C727" s="1"/>
      <c r="D727" s="2"/>
      <c r="F727" s="1"/>
      <c r="G727" s="1"/>
    </row>
    <row r="728" ht="14.25" customHeight="1">
      <c r="A728" s="1"/>
      <c r="B728" s="1"/>
      <c r="C728" s="1"/>
      <c r="D728" s="2"/>
      <c r="F728" s="1"/>
      <c r="G728" s="1"/>
    </row>
    <row r="729" ht="14.25" customHeight="1">
      <c r="A729" s="1"/>
      <c r="B729" s="1"/>
      <c r="C729" s="1"/>
      <c r="D729" s="2"/>
      <c r="F729" s="1"/>
      <c r="G729" s="1"/>
    </row>
    <row r="730" ht="14.25" customHeight="1">
      <c r="A730" s="1"/>
      <c r="B730" s="1"/>
      <c r="C730" s="1"/>
      <c r="D730" s="2"/>
      <c r="F730" s="1"/>
      <c r="G730" s="1"/>
    </row>
    <row r="731" ht="14.25" customHeight="1">
      <c r="A731" s="1"/>
      <c r="B731" s="1"/>
      <c r="C731" s="1"/>
      <c r="D731" s="2"/>
      <c r="F731" s="1"/>
      <c r="G731" s="1"/>
    </row>
    <row r="732" ht="14.25" customHeight="1">
      <c r="A732" s="1"/>
      <c r="B732" s="1"/>
      <c r="C732" s="1"/>
      <c r="D732" s="2"/>
      <c r="F732" s="1"/>
      <c r="G732" s="1"/>
    </row>
    <row r="733" ht="14.25" customHeight="1">
      <c r="A733" s="1"/>
      <c r="B733" s="1"/>
      <c r="C733" s="1"/>
      <c r="D733" s="2"/>
      <c r="F733" s="1"/>
      <c r="G733" s="1"/>
    </row>
    <row r="734" ht="14.25" customHeight="1">
      <c r="A734" s="1"/>
      <c r="B734" s="1"/>
      <c r="C734" s="1"/>
      <c r="D734" s="2"/>
      <c r="F734" s="1"/>
      <c r="G734" s="1"/>
    </row>
    <row r="735" ht="14.25" customHeight="1">
      <c r="A735" s="1"/>
      <c r="B735" s="1"/>
      <c r="C735" s="1"/>
      <c r="D735" s="2"/>
      <c r="F735" s="1"/>
      <c r="G735" s="1"/>
    </row>
    <row r="736" ht="14.25" customHeight="1">
      <c r="A736" s="1"/>
      <c r="B736" s="1"/>
      <c r="C736" s="1"/>
      <c r="D736" s="2"/>
      <c r="F736" s="1"/>
      <c r="G736" s="1"/>
    </row>
    <row r="737" ht="14.25" customHeight="1">
      <c r="A737" s="1"/>
      <c r="B737" s="1"/>
      <c r="C737" s="1"/>
      <c r="D737" s="2"/>
      <c r="F737" s="1"/>
      <c r="G737" s="1"/>
    </row>
    <row r="738" ht="14.25" customHeight="1">
      <c r="A738" s="1"/>
      <c r="B738" s="1"/>
      <c r="C738" s="1"/>
      <c r="D738" s="2"/>
      <c r="F738" s="1"/>
      <c r="G738" s="1"/>
    </row>
    <row r="739" ht="14.25" customHeight="1">
      <c r="A739" s="1"/>
      <c r="B739" s="1"/>
      <c r="C739" s="1"/>
      <c r="D739" s="2"/>
      <c r="F739" s="1"/>
      <c r="G739" s="1"/>
    </row>
    <row r="740" ht="14.25" customHeight="1">
      <c r="A740" s="1"/>
      <c r="B740" s="1"/>
      <c r="C740" s="1"/>
      <c r="D740" s="2"/>
      <c r="F740" s="1"/>
      <c r="G740" s="1"/>
    </row>
    <row r="741" ht="14.25" customHeight="1">
      <c r="A741" s="1"/>
      <c r="B741" s="1"/>
      <c r="C741" s="1"/>
      <c r="D741" s="2"/>
      <c r="F741" s="1"/>
      <c r="G741" s="1"/>
    </row>
    <row r="742" ht="14.25" customHeight="1">
      <c r="A742" s="1"/>
      <c r="B742" s="1"/>
      <c r="C742" s="1"/>
      <c r="D742" s="2"/>
      <c r="F742" s="1"/>
      <c r="G742" s="1"/>
    </row>
    <row r="743" ht="14.25" customHeight="1">
      <c r="A743" s="1"/>
      <c r="B743" s="1"/>
      <c r="C743" s="1"/>
      <c r="D743" s="2"/>
      <c r="F743" s="1"/>
      <c r="G743" s="1"/>
    </row>
    <row r="744" ht="14.25" customHeight="1">
      <c r="A744" s="1"/>
      <c r="B744" s="1"/>
      <c r="C744" s="1"/>
      <c r="D744" s="2"/>
      <c r="F744" s="1"/>
      <c r="G744" s="1"/>
    </row>
    <row r="745" ht="14.25" customHeight="1">
      <c r="A745" s="1"/>
      <c r="B745" s="1"/>
      <c r="C745" s="1"/>
      <c r="D745" s="2"/>
      <c r="F745" s="1"/>
      <c r="G745" s="1"/>
    </row>
    <row r="746" ht="14.25" customHeight="1">
      <c r="A746" s="1"/>
      <c r="B746" s="1"/>
      <c r="C746" s="1"/>
      <c r="D746" s="2"/>
      <c r="F746" s="1"/>
      <c r="G746" s="1"/>
    </row>
    <row r="747" ht="14.25" customHeight="1">
      <c r="A747" s="1"/>
      <c r="B747" s="1"/>
      <c r="C747" s="1"/>
      <c r="D747" s="2"/>
      <c r="F747" s="1"/>
      <c r="G747" s="1"/>
    </row>
    <row r="748" ht="14.25" customHeight="1">
      <c r="A748" s="1"/>
      <c r="B748" s="1"/>
      <c r="C748" s="1"/>
      <c r="D748" s="2"/>
      <c r="F748" s="1"/>
      <c r="G748" s="1"/>
    </row>
    <row r="749" ht="14.25" customHeight="1">
      <c r="A749" s="1"/>
      <c r="B749" s="1"/>
      <c r="C749" s="1"/>
      <c r="D749" s="2"/>
      <c r="F749" s="1"/>
      <c r="G749" s="1"/>
    </row>
    <row r="750" ht="14.25" customHeight="1">
      <c r="A750" s="1"/>
      <c r="B750" s="1"/>
      <c r="C750" s="1"/>
      <c r="D750" s="2"/>
      <c r="F750" s="1"/>
      <c r="G750" s="1"/>
    </row>
    <row r="751" ht="14.25" customHeight="1">
      <c r="A751" s="1"/>
      <c r="B751" s="1"/>
      <c r="C751" s="1"/>
      <c r="D751" s="2"/>
      <c r="F751" s="1"/>
      <c r="G751" s="1"/>
    </row>
    <row r="752" ht="14.25" customHeight="1">
      <c r="A752" s="1"/>
      <c r="B752" s="1"/>
      <c r="C752" s="1"/>
      <c r="D752" s="2"/>
      <c r="F752" s="1"/>
      <c r="G752" s="1"/>
    </row>
    <row r="753" ht="14.25" customHeight="1">
      <c r="A753" s="1"/>
      <c r="B753" s="1"/>
      <c r="C753" s="1"/>
      <c r="D753" s="2"/>
      <c r="F753" s="1"/>
      <c r="G753" s="1"/>
    </row>
    <row r="754" ht="14.25" customHeight="1">
      <c r="A754" s="1"/>
      <c r="B754" s="1"/>
      <c r="C754" s="1"/>
      <c r="D754" s="2"/>
      <c r="F754" s="1"/>
      <c r="G754" s="1"/>
    </row>
    <row r="755" ht="14.25" customHeight="1">
      <c r="A755" s="1"/>
      <c r="B755" s="1"/>
      <c r="C755" s="1"/>
      <c r="D755" s="2"/>
      <c r="F755" s="1"/>
      <c r="G755" s="1"/>
    </row>
    <row r="756" ht="14.25" customHeight="1">
      <c r="A756" s="1"/>
      <c r="B756" s="1"/>
      <c r="C756" s="1"/>
      <c r="D756" s="2"/>
      <c r="F756" s="1"/>
      <c r="G756" s="1"/>
    </row>
    <row r="757" ht="14.25" customHeight="1">
      <c r="A757" s="1"/>
      <c r="B757" s="1"/>
      <c r="C757" s="1"/>
      <c r="D757" s="2"/>
      <c r="F757" s="1"/>
      <c r="G757" s="1"/>
    </row>
    <row r="758" ht="14.25" customHeight="1">
      <c r="A758" s="1"/>
      <c r="B758" s="1"/>
      <c r="C758" s="1"/>
      <c r="D758" s="2"/>
      <c r="F758" s="1"/>
      <c r="G758" s="1"/>
    </row>
    <row r="759" ht="14.25" customHeight="1">
      <c r="A759" s="1"/>
      <c r="B759" s="1"/>
      <c r="C759" s="1"/>
      <c r="D759" s="2"/>
      <c r="F759" s="1"/>
      <c r="G759" s="1"/>
    </row>
    <row r="760" ht="14.25" customHeight="1">
      <c r="A760" s="1"/>
      <c r="B760" s="1"/>
      <c r="C760" s="1"/>
      <c r="D760" s="2"/>
      <c r="F760" s="1"/>
      <c r="G760" s="1"/>
    </row>
    <row r="761" ht="14.25" customHeight="1">
      <c r="A761" s="1"/>
      <c r="B761" s="1"/>
      <c r="C761" s="1"/>
      <c r="D761" s="2"/>
      <c r="F761" s="1"/>
      <c r="G761" s="1"/>
    </row>
    <row r="762" ht="14.25" customHeight="1">
      <c r="A762" s="1"/>
      <c r="B762" s="1"/>
      <c r="C762" s="1"/>
      <c r="D762" s="2"/>
      <c r="F762" s="1"/>
      <c r="G762" s="1"/>
    </row>
    <row r="763" ht="14.25" customHeight="1">
      <c r="A763" s="1"/>
      <c r="B763" s="1"/>
      <c r="C763" s="1"/>
      <c r="D763" s="2"/>
      <c r="F763" s="1"/>
      <c r="G763" s="1"/>
    </row>
    <row r="764" ht="14.25" customHeight="1">
      <c r="A764" s="1"/>
      <c r="B764" s="1"/>
      <c r="C764" s="1"/>
      <c r="D764" s="2"/>
      <c r="F764" s="1"/>
      <c r="G764" s="1"/>
    </row>
    <row r="765" ht="14.25" customHeight="1">
      <c r="A765" s="1"/>
      <c r="B765" s="1"/>
      <c r="C765" s="1"/>
      <c r="D765" s="2"/>
      <c r="F765" s="1"/>
      <c r="G765" s="1"/>
    </row>
    <row r="766" ht="14.25" customHeight="1">
      <c r="A766" s="1"/>
      <c r="B766" s="1"/>
      <c r="C766" s="1"/>
      <c r="D766" s="2"/>
      <c r="F766" s="1"/>
      <c r="G766" s="1"/>
    </row>
    <row r="767" ht="14.25" customHeight="1">
      <c r="A767" s="1"/>
      <c r="B767" s="1"/>
      <c r="C767" s="1"/>
      <c r="D767" s="2"/>
      <c r="F767" s="1"/>
      <c r="G767" s="1"/>
    </row>
    <row r="768" ht="14.25" customHeight="1">
      <c r="A768" s="1"/>
      <c r="B768" s="1"/>
      <c r="C768" s="1"/>
      <c r="D768" s="2"/>
      <c r="F768" s="1"/>
      <c r="G768" s="1"/>
    </row>
    <row r="769" ht="14.25" customHeight="1">
      <c r="A769" s="1"/>
      <c r="B769" s="1"/>
      <c r="C769" s="1"/>
      <c r="D769" s="2"/>
      <c r="F769" s="1"/>
      <c r="G769" s="1"/>
    </row>
    <row r="770" ht="14.25" customHeight="1">
      <c r="A770" s="1"/>
      <c r="B770" s="1"/>
      <c r="C770" s="1"/>
      <c r="D770" s="2"/>
      <c r="F770" s="1"/>
      <c r="G770" s="1"/>
    </row>
    <row r="771" ht="14.25" customHeight="1">
      <c r="A771" s="1"/>
      <c r="B771" s="1"/>
      <c r="C771" s="1"/>
      <c r="D771" s="2"/>
      <c r="F771" s="1"/>
      <c r="G771" s="1"/>
    </row>
    <row r="772" ht="14.25" customHeight="1">
      <c r="A772" s="1"/>
      <c r="B772" s="1"/>
      <c r="C772" s="1"/>
      <c r="D772" s="2"/>
      <c r="F772" s="1"/>
      <c r="G772" s="1"/>
    </row>
    <row r="773" ht="14.25" customHeight="1">
      <c r="A773" s="1"/>
      <c r="B773" s="1"/>
      <c r="C773" s="1"/>
      <c r="D773" s="2"/>
      <c r="F773" s="1"/>
      <c r="G773" s="1"/>
    </row>
    <row r="774" ht="14.25" customHeight="1">
      <c r="A774" s="1"/>
      <c r="B774" s="1"/>
      <c r="C774" s="1"/>
      <c r="D774" s="2"/>
      <c r="F774" s="1"/>
      <c r="G774" s="1"/>
    </row>
    <row r="775" ht="14.25" customHeight="1">
      <c r="A775" s="1"/>
      <c r="B775" s="1"/>
      <c r="C775" s="1"/>
      <c r="D775" s="2"/>
      <c r="F775" s="1"/>
      <c r="G775" s="1"/>
    </row>
    <row r="776" ht="14.25" customHeight="1">
      <c r="A776" s="1"/>
      <c r="B776" s="1"/>
      <c r="C776" s="1"/>
      <c r="D776" s="2"/>
      <c r="F776" s="1"/>
      <c r="G776" s="1"/>
    </row>
    <row r="777" ht="14.25" customHeight="1">
      <c r="A777" s="1"/>
      <c r="B777" s="1"/>
      <c r="C777" s="1"/>
      <c r="D777" s="2"/>
      <c r="F777" s="1"/>
      <c r="G777" s="1"/>
    </row>
    <row r="778" ht="14.25" customHeight="1">
      <c r="A778" s="1"/>
      <c r="B778" s="1"/>
      <c r="C778" s="1"/>
      <c r="D778" s="2"/>
      <c r="F778" s="1"/>
      <c r="G778" s="1"/>
    </row>
    <row r="779" ht="14.25" customHeight="1">
      <c r="A779" s="1"/>
      <c r="B779" s="1"/>
      <c r="C779" s="1"/>
      <c r="D779" s="2"/>
      <c r="F779" s="1"/>
      <c r="G779" s="1"/>
    </row>
    <row r="780" ht="14.25" customHeight="1">
      <c r="A780" s="1"/>
      <c r="B780" s="1"/>
      <c r="C780" s="1"/>
      <c r="D780" s="2"/>
      <c r="F780" s="1"/>
      <c r="G780" s="1"/>
    </row>
    <row r="781" ht="14.25" customHeight="1">
      <c r="A781" s="1"/>
      <c r="B781" s="1"/>
      <c r="C781" s="1"/>
      <c r="D781" s="2"/>
      <c r="F781" s="1"/>
      <c r="G781" s="1"/>
    </row>
    <row r="782" ht="14.25" customHeight="1">
      <c r="A782" s="1"/>
      <c r="B782" s="1"/>
      <c r="C782" s="1"/>
      <c r="D782" s="2"/>
      <c r="F782" s="1"/>
      <c r="G782" s="1"/>
    </row>
    <row r="783" ht="14.25" customHeight="1">
      <c r="A783" s="1"/>
      <c r="B783" s="1"/>
      <c r="C783" s="1"/>
      <c r="D783" s="2"/>
      <c r="F783" s="1"/>
      <c r="G783" s="1"/>
    </row>
    <row r="784" ht="14.25" customHeight="1">
      <c r="A784" s="1"/>
      <c r="B784" s="1"/>
      <c r="C784" s="1"/>
      <c r="D784" s="2"/>
      <c r="F784" s="1"/>
      <c r="G784" s="1"/>
    </row>
    <row r="785" ht="14.25" customHeight="1">
      <c r="A785" s="1"/>
      <c r="B785" s="1"/>
      <c r="C785" s="1"/>
      <c r="D785" s="2"/>
      <c r="F785" s="1"/>
      <c r="G785" s="1"/>
    </row>
    <row r="786" ht="14.25" customHeight="1">
      <c r="A786" s="1"/>
      <c r="B786" s="1"/>
      <c r="C786" s="1"/>
      <c r="D786" s="2"/>
      <c r="F786" s="1"/>
      <c r="G786" s="1"/>
    </row>
    <row r="787" ht="14.25" customHeight="1">
      <c r="A787" s="1"/>
      <c r="B787" s="1"/>
      <c r="C787" s="1"/>
      <c r="D787" s="2"/>
      <c r="F787" s="1"/>
      <c r="G787" s="1"/>
    </row>
    <row r="788" ht="14.25" customHeight="1">
      <c r="A788" s="1"/>
      <c r="B788" s="1"/>
      <c r="C788" s="1"/>
      <c r="D788" s="2"/>
      <c r="F788" s="1"/>
      <c r="G788" s="1"/>
    </row>
    <row r="789" ht="14.25" customHeight="1">
      <c r="A789" s="1"/>
      <c r="B789" s="1"/>
      <c r="C789" s="1"/>
      <c r="D789" s="2"/>
      <c r="F789" s="1"/>
      <c r="G789" s="1"/>
    </row>
    <row r="790" ht="14.25" customHeight="1">
      <c r="A790" s="1"/>
      <c r="B790" s="1"/>
      <c r="C790" s="1"/>
      <c r="D790" s="2"/>
      <c r="F790" s="1"/>
      <c r="G790" s="1"/>
    </row>
    <row r="791" ht="14.25" customHeight="1">
      <c r="A791" s="1"/>
      <c r="B791" s="1"/>
      <c r="C791" s="1"/>
      <c r="D791" s="2"/>
      <c r="F791" s="1"/>
      <c r="G791" s="1"/>
    </row>
    <row r="792" ht="14.25" customHeight="1">
      <c r="A792" s="1"/>
      <c r="B792" s="1"/>
      <c r="C792" s="1"/>
      <c r="D792" s="2"/>
      <c r="F792" s="1"/>
      <c r="G792" s="1"/>
    </row>
    <row r="793" ht="14.25" customHeight="1">
      <c r="A793" s="1"/>
      <c r="B793" s="1"/>
      <c r="C793" s="1"/>
      <c r="D793" s="2"/>
      <c r="F793" s="1"/>
      <c r="G793" s="1"/>
    </row>
    <row r="794" ht="14.25" customHeight="1">
      <c r="A794" s="1"/>
      <c r="B794" s="1"/>
      <c r="C794" s="1"/>
      <c r="D794" s="2"/>
      <c r="F794" s="1"/>
      <c r="G794" s="1"/>
    </row>
    <row r="795" ht="14.25" customHeight="1">
      <c r="A795" s="1"/>
      <c r="B795" s="1"/>
      <c r="C795" s="1"/>
      <c r="D795" s="2"/>
      <c r="F795" s="1"/>
      <c r="G795" s="1"/>
    </row>
    <row r="796" ht="14.25" customHeight="1">
      <c r="A796" s="1"/>
      <c r="B796" s="1"/>
      <c r="C796" s="1"/>
      <c r="D796" s="2"/>
      <c r="F796" s="1"/>
      <c r="G796" s="1"/>
    </row>
    <row r="797" ht="14.25" customHeight="1">
      <c r="A797" s="1"/>
      <c r="B797" s="1"/>
      <c r="C797" s="1"/>
      <c r="D797" s="2"/>
      <c r="F797" s="1"/>
      <c r="G797" s="1"/>
    </row>
    <row r="798" ht="14.25" customHeight="1">
      <c r="A798" s="1"/>
      <c r="B798" s="1"/>
      <c r="C798" s="1"/>
      <c r="D798" s="2"/>
      <c r="F798" s="1"/>
      <c r="G798" s="1"/>
    </row>
    <row r="799" ht="14.25" customHeight="1">
      <c r="A799" s="1"/>
      <c r="B799" s="1"/>
      <c r="C799" s="1"/>
      <c r="D799" s="2"/>
      <c r="F799" s="1"/>
      <c r="G799" s="1"/>
    </row>
    <row r="800" ht="14.25" customHeight="1">
      <c r="A800" s="1"/>
      <c r="B800" s="1"/>
      <c r="C800" s="1"/>
      <c r="D800" s="2"/>
      <c r="F800" s="1"/>
      <c r="G800" s="1"/>
    </row>
    <row r="801" ht="14.25" customHeight="1">
      <c r="A801" s="1"/>
      <c r="B801" s="1"/>
      <c r="C801" s="1"/>
      <c r="D801" s="2"/>
      <c r="F801" s="1"/>
      <c r="G801" s="1"/>
    </row>
    <row r="802" ht="14.25" customHeight="1">
      <c r="A802" s="1"/>
      <c r="B802" s="1"/>
      <c r="C802" s="1"/>
      <c r="D802" s="2"/>
      <c r="F802" s="1"/>
      <c r="G802" s="1"/>
    </row>
    <row r="803" ht="14.25" customHeight="1">
      <c r="A803" s="1"/>
      <c r="B803" s="1"/>
      <c r="C803" s="1"/>
      <c r="D803" s="2"/>
      <c r="F803" s="1"/>
      <c r="G803" s="1"/>
    </row>
    <row r="804" ht="14.25" customHeight="1">
      <c r="A804" s="1"/>
      <c r="B804" s="1"/>
      <c r="C804" s="1"/>
      <c r="D804" s="2"/>
      <c r="F804" s="1"/>
      <c r="G804" s="1"/>
    </row>
    <row r="805" ht="14.25" customHeight="1">
      <c r="A805" s="1"/>
      <c r="B805" s="1"/>
      <c r="C805" s="1"/>
      <c r="D805" s="2"/>
      <c r="F805" s="1"/>
      <c r="G805" s="1"/>
    </row>
    <row r="806" ht="14.25" customHeight="1">
      <c r="A806" s="1"/>
      <c r="B806" s="1"/>
      <c r="C806" s="1"/>
      <c r="D806" s="2"/>
      <c r="F806" s="1"/>
      <c r="G806" s="1"/>
    </row>
    <row r="807" ht="14.25" customHeight="1">
      <c r="A807" s="1"/>
      <c r="B807" s="1"/>
      <c r="C807" s="1"/>
      <c r="D807" s="2"/>
      <c r="F807" s="1"/>
      <c r="G807" s="1"/>
    </row>
    <row r="808" ht="14.25" customHeight="1">
      <c r="A808" s="1"/>
      <c r="B808" s="1"/>
      <c r="C808" s="1"/>
      <c r="D808" s="2"/>
      <c r="F808" s="1"/>
      <c r="G808" s="1"/>
    </row>
    <row r="809" ht="14.25" customHeight="1">
      <c r="A809" s="1"/>
      <c r="B809" s="1"/>
      <c r="C809" s="1"/>
      <c r="D809" s="2"/>
      <c r="F809" s="1"/>
      <c r="G809" s="1"/>
    </row>
    <row r="810" ht="14.25" customHeight="1">
      <c r="A810" s="1"/>
      <c r="B810" s="1"/>
      <c r="C810" s="1"/>
      <c r="D810" s="2"/>
      <c r="F810" s="1"/>
      <c r="G810" s="1"/>
    </row>
    <row r="811" ht="14.25" customHeight="1">
      <c r="A811" s="1"/>
      <c r="B811" s="1"/>
      <c r="C811" s="1"/>
      <c r="D811" s="2"/>
      <c r="F811" s="1"/>
      <c r="G811" s="1"/>
    </row>
    <row r="812" ht="14.25" customHeight="1">
      <c r="A812" s="1"/>
      <c r="B812" s="1"/>
      <c r="C812" s="1"/>
      <c r="D812" s="2"/>
      <c r="F812" s="1"/>
      <c r="G812" s="1"/>
    </row>
    <row r="813" ht="14.25" customHeight="1">
      <c r="A813" s="1"/>
      <c r="B813" s="1"/>
      <c r="C813" s="1"/>
      <c r="D813" s="2"/>
      <c r="F813" s="1"/>
      <c r="G813" s="1"/>
    </row>
    <row r="814" ht="14.25" customHeight="1">
      <c r="A814" s="1"/>
      <c r="B814" s="1"/>
      <c r="C814" s="1"/>
      <c r="D814" s="2"/>
      <c r="F814" s="1"/>
      <c r="G814" s="1"/>
    </row>
    <row r="815" ht="14.25" customHeight="1">
      <c r="A815" s="1"/>
      <c r="B815" s="1"/>
      <c r="C815" s="1"/>
      <c r="D815" s="2"/>
      <c r="F815" s="1"/>
      <c r="G815" s="1"/>
    </row>
    <row r="816" ht="14.25" customHeight="1">
      <c r="A816" s="1"/>
      <c r="B816" s="1"/>
      <c r="C816" s="1"/>
      <c r="D816" s="2"/>
      <c r="F816" s="1"/>
      <c r="G816" s="1"/>
    </row>
    <row r="817" ht="14.25" customHeight="1">
      <c r="A817" s="1"/>
      <c r="B817" s="1"/>
      <c r="C817" s="1"/>
      <c r="D817" s="2"/>
      <c r="F817" s="1"/>
      <c r="G817" s="1"/>
    </row>
    <row r="818" ht="14.25" customHeight="1">
      <c r="A818" s="1"/>
      <c r="B818" s="1"/>
      <c r="C818" s="1"/>
      <c r="D818" s="2"/>
      <c r="F818" s="1"/>
      <c r="G818" s="1"/>
    </row>
    <row r="819" ht="14.25" customHeight="1">
      <c r="A819" s="1"/>
      <c r="B819" s="1"/>
      <c r="C819" s="1"/>
      <c r="D819" s="2"/>
      <c r="F819" s="1"/>
      <c r="G819" s="1"/>
    </row>
    <row r="820" ht="14.25" customHeight="1">
      <c r="A820" s="1"/>
      <c r="B820" s="1"/>
      <c r="C820" s="1"/>
      <c r="D820" s="2"/>
      <c r="F820" s="1"/>
      <c r="G820" s="1"/>
    </row>
    <row r="821" ht="14.25" customHeight="1">
      <c r="A821" s="1"/>
      <c r="B821" s="1"/>
      <c r="C821" s="1"/>
      <c r="D821" s="2"/>
      <c r="F821" s="1"/>
      <c r="G821" s="1"/>
    </row>
    <row r="822" ht="14.25" customHeight="1">
      <c r="A822" s="1"/>
      <c r="B822" s="1"/>
      <c r="C822" s="1"/>
      <c r="D822" s="2"/>
      <c r="F822" s="1"/>
      <c r="G822" s="1"/>
    </row>
    <row r="823" ht="14.25" customHeight="1">
      <c r="A823" s="1"/>
      <c r="B823" s="1"/>
      <c r="C823" s="1"/>
      <c r="D823" s="2"/>
      <c r="F823" s="1"/>
      <c r="G823" s="1"/>
    </row>
    <row r="824" ht="14.25" customHeight="1">
      <c r="A824" s="1"/>
      <c r="B824" s="1"/>
      <c r="C824" s="1"/>
      <c r="D824" s="2"/>
      <c r="F824" s="1"/>
      <c r="G824" s="1"/>
    </row>
    <row r="825" ht="14.25" customHeight="1">
      <c r="A825" s="1"/>
      <c r="B825" s="1"/>
      <c r="C825" s="1"/>
      <c r="D825" s="2"/>
      <c r="F825" s="1"/>
      <c r="G825" s="1"/>
    </row>
    <row r="826" ht="14.25" customHeight="1">
      <c r="A826" s="1"/>
      <c r="B826" s="1"/>
      <c r="C826" s="1"/>
      <c r="D826" s="2"/>
      <c r="F826" s="1"/>
      <c r="G826" s="1"/>
    </row>
    <row r="827" ht="14.25" customHeight="1">
      <c r="A827" s="1"/>
      <c r="B827" s="1"/>
      <c r="C827" s="1"/>
      <c r="D827" s="2"/>
      <c r="F827" s="1"/>
      <c r="G827" s="1"/>
    </row>
    <row r="828" ht="14.25" customHeight="1">
      <c r="A828" s="1"/>
      <c r="B828" s="1"/>
      <c r="C828" s="1"/>
      <c r="D828" s="2"/>
      <c r="F828" s="1"/>
      <c r="G828" s="1"/>
    </row>
    <row r="829" ht="14.25" customHeight="1">
      <c r="A829" s="1"/>
      <c r="B829" s="1"/>
      <c r="C829" s="1"/>
      <c r="D829" s="2"/>
      <c r="F829" s="1"/>
      <c r="G829" s="1"/>
    </row>
    <row r="830" ht="14.25" customHeight="1">
      <c r="A830" s="1"/>
      <c r="B830" s="1"/>
      <c r="C830" s="1"/>
      <c r="D830" s="2"/>
      <c r="F830" s="1"/>
      <c r="G830" s="1"/>
    </row>
    <row r="831" ht="14.25" customHeight="1">
      <c r="A831" s="1"/>
      <c r="B831" s="1"/>
      <c r="C831" s="1"/>
      <c r="D831" s="2"/>
      <c r="F831" s="1"/>
      <c r="G831" s="1"/>
    </row>
    <row r="832" ht="14.25" customHeight="1">
      <c r="A832" s="1"/>
      <c r="B832" s="1"/>
      <c r="C832" s="1"/>
      <c r="D832" s="2"/>
      <c r="F832" s="1"/>
      <c r="G832" s="1"/>
    </row>
    <row r="833" ht="14.25" customHeight="1">
      <c r="A833" s="1"/>
      <c r="B833" s="1"/>
      <c r="C833" s="1"/>
      <c r="D833" s="2"/>
      <c r="F833" s="1"/>
      <c r="G833" s="1"/>
    </row>
    <row r="834" ht="14.25" customHeight="1">
      <c r="A834" s="1"/>
      <c r="B834" s="1"/>
      <c r="C834" s="1"/>
      <c r="D834" s="2"/>
      <c r="F834" s="1"/>
      <c r="G834" s="1"/>
    </row>
    <row r="835" ht="14.25" customHeight="1">
      <c r="A835" s="1"/>
      <c r="B835" s="1"/>
      <c r="C835" s="1"/>
      <c r="D835" s="2"/>
      <c r="F835" s="1"/>
      <c r="G835" s="1"/>
    </row>
    <row r="836" ht="14.25" customHeight="1">
      <c r="A836" s="1"/>
      <c r="B836" s="1"/>
      <c r="C836" s="1"/>
      <c r="D836" s="2"/>
      <c r="F836" s="1"/>
      <c r="G836" s="1"/>
    </row>
    <row r="837" ht="14.25" customHeight="1">
      <c r="A837" s="1"/>
      <c r="B837" s="1"/>
      <c r="C837" s="1"/>
      <c r="D837" s="2"/>
      <c r="F837" s="1"/>
      <c r="G837" s="1"/>
    </row>
    <row r="838" ht="14.25" customHeight="1">
      <c r="A838" s="1"/>
      <c r="B838" s="1"/>
      <c r="C838" s="1"/>
      <c r="D838" s="2"/>
      <c r="F838" s="1"/>
      <c r="G838" s="1"/>
    </row>
    <row r="839" ht="14.25" customHeight="1">
      <c r="A839" s="1"/>
      <c r="B839" s="1"/>
      <c r="C839" s="1"/>
      <c r="D839" s="2"/>
      <c r="F839" s="1"/>
      <c r="G839" s="1"/>
    </row>
    <row r="840" ht="14.25" customHeight="1">
      <c r="A840" s="1"/>
      <c r="B840" s="1"/>
      <c r="C840" s="1"/>
      <c r="D840" s="2"/>
      <c r="F840" s="1"/>
      <c r="G840" s="1"/>
    </row>
    <row r="841" ht="14.25" customHeight="1">
      <c r="A841" s="1"/>
      <c r="B841" s="1"/>
      <c r="C841" s="1"/>
      <c r="D841" s="2"/>
      <c r="F841" s="1"/>
      <c r="G841" s="1"/>
    </row>
    <row r="842" ht="14.25" customHeight="1">
      <c r="A842" s="1"/>
      <c r="B842" s="1"/>
      <c r="C842" s="1"/>
      <c r="D842" s="2"/>
      <c r="F842" s="1"/>
      <c r="G842" s="1"/>
    </row>
    <row r="843" ht="14.25" customHeight="1">
      <c r="A843" s="1"/>
      <c r="B843" s="1"/>
      <c r="C843" s="1"/>
      <c r="D843" s="2"/>
      <c r="F843" s="1"/>
      <c r="G843" s="1"/>
    </row>
    <row r="844" ht="14.25" customHeight="1">
      <c r="A844" s="1"/>
      <c r="B844" s="1"/>
      <c r="C844" s="1"/>
      <c r="D844" s="2"/>
      <c r="F844" s="1"/>
      <c r="G844" s="1"/>
    </row>
    <row r="845" ht="14.25" customHeight="1">
      <c r="A845" s="1"/>
      <c r="B845" s="1"/>
      <c r="C845" s="1"/>
      <c r="D845" s="2"/>
      <c r="F845" s="1"/>
      <c r="G845" s="1"/>
    </row>
    <row r="846" ht="14.25" customHeight="1">
      <c r="A846" s="1"/>
      <c r="B846" s="1"/>
      <c r="C846" s="1"/>
      <c r="D846" s="2"/>
      <c r="F846" s="1"/>
      <c r="G846" s="1"/>
    </row>
    <row r="847" ht="14.25" customHeight="1">
      <c r="A847" s="1"/>
      <c r="B847" s="1"/>
      <c r="C847" s="1"/>
      <c r="D847" s="2"/>
      <c r="F847" s="1"/>
      <c r="G847" s="1"/>
    </row>
    <row r="848" ht="14.25" customHeight="1">
      <c r="A848" s="1"/>
      <c r="B848" s="1"/>
      <c r="C848" s="1"/>
      <c r="D848" s="2"/>
      <c r="F848" s="1"/>
      <c r="G848" s="1"/>
    </row>
    <row r="849" ht="14.25" customHeight="1">
      <c r="A849" s="1"/>
      <c r="B849" s="1"/>
      <c r="C849" s="1"/>
      <c r="D849" s="2"/>
      <c r="F849" s="1"/>
      <c r="G849" s="1"/>
    </row>
    <row r="850" ht="14.25" customHeight="1">
      <c r="A850" s="1"/>
      <c r="B850" s="1"/>
      <c r="C850" s="1"/>
      <c r="D850" s="2"/>
      <c r="F850" s="1"/>
      <c r="G850" s="1"/>
    </row>
    <row r="851" ht="14.25" customHeight="1">
      <c r="A851" s="1"/>
      <c r="B851" s="1"/>
      <c r="C851" s="1"/>
      <c r="D851" s="2"/>
      <c r="F851" s="1"/>
      <c r="G851" s="1"/>
    </row>
    <row r="852" ht="14.25" customHeight="1">
      <c r="A852" s="1"/>
      <c r="B852" s="1"/>
      <c r="C852" s="1"/>
      <c r="D852" s="2"/>
      <c r="F852" s="1"/>
      <c r="G852" s="1"/>
    </row>
    <row r="853" ht="14.25" customHeight="1">
      <c r="A853" s="1"/>
      <c r="B853" s="1"/>
      <c r="C853" s="1"/>
      <c r="D853" s="2"/>
      <c r="F853" s="1"/>
      <c r="G853" s="1"/>
    </row>
    <row r="854" ht="14.25" customHeight="1">
      <c r="A854" s="1"/>
      <c r="B854" s="1"/>
      <c r="C854" s="1"/>
      <c r="D854" s="2"/>
      <c r="F854" s="1"/>
      <c r="G854" s="1"/>
    </row>
    <row r="855" ht="14.25" customHeight="1">
      <c r="A855" s="1"/>
      <c r="B855" s="1"/>
      <c r="C855" s="1"/>
      <c r="D855" s="2"/>
      <c r="F855" s="1"/>
      <c r="G855" s="1"/>
    </row>
    <row r="856" ht="14.25" customHeight="1">
      <c r="A856" s="1"/>
      <c r="B856" s="1"/>
      <c r="C856" s="1"/>
      <c r="D856" s="2"/>
      <c r="F856" s="1"/>
      <c r="G856" s="1"/>
    </row>
    <row r="857" ht="14.25" customHeight="1">
      <c r="A857" s="1"/>
      <c r="B857" s="1"/>
      <c r="C857" s="1"/>
      <c r="D857" s="2"/>
      <c r="F857" s="1"/>
      <c r="G857" s="1"/>
    </row>
    <row r="858" ht="14.25" customHeight="1">
      <c r="A858" s="1"/>
      <c r="B858" s="1"/>
      <c r="C858" s="1"/>
      <c r="D858" s="2"/>
      <c r="F858" s="1"/>
      <c r="G858" s="1"/>
    </row>
    <row r="859" ht="14.25" customHeight="1">
      <c r="A859" s="1"/>
      <c r="B859" s="1"/>
      <c r="C859" s="1"/>
      <c r="D859" s="2"/>
      <c r="F859" s="1"/>
      <c r="G859" s="1"/>
    </row>
    <row r="860" ht="14.25" customHeight="1">
      <c r="A860" s="1"/>
      <c r="B860" s="1"/>
      <c r="C860" s="1"/>
      <c r="D860" s="2"/>
      <c r="F860" s="1"/>
      <c r="G860" s="1"/>
    </row>
    <row r="861" ht="14.25" customHeight="1">
      <c r="A861" s="1"/>
      <c r="B861" s="1"/>
      <c r="C861" s="1"/>
      <c r="D861" s="2"/>
      <c r="F861" s="1"/>
      <c r="G861" s="1"/>
    </row>
    <row r="862" ht="14.25" customHeight="1">
      <c r="A862" s="1"/>
      <c r="B862" s="1"/>
      <c r="C862" s="1"/>
      <c r="D862" s="2"/>
      <c r="F862" s="1"/>
      <c r="G862" s="1"/>
    </row>
    <row r="863" ht="14.25" customHeight="1">
      <c r="A863" s="1"/>
      <c r="B863" s="1"/>
      <c r="C863" s="1"/>
      <c r="D863" s="2"/>
      <c r="F863" s="1"/>
      <c r="G863" s="1"/>
    </row>
    <row r="864" ht="14.25" customHeight="1">
      <c r="A864" s="1"/>
      <c r="B864" s="1"/>
      <c r="C864" s="1"/>
      <c r="D864" s="2"/>
      <c r="F864" s="1"/>
      <c r="G864" s="1"/>
    </row>
    <row r="865" ht="14.25" customHeight="1">
      <c r="A865" s="1"/>
      <c r="B865" s="1"/>
      <c r="C865" s="1"/>
      <c r="D865" s="2"/>
      <c r="F865" s="1"/>
      <c r="G865" s="1"/>
    </row>
    <row r="866" ht="14.25" customHeight="1">
      <c r="A866" s="1"/>
      <c r="B866" s="1"/>
      <c r="C866" s="1"/>
      <c r="D866" s="2"/>
      <c r="F866" s="1"/>
      <c r="G866" s="1"/>
    </row>
    <row r="867" ht="14.25" customHeight="1">
      <c r="A867" s="1"/>
      <c r="B867" s="1"/>
      <c r="C867" s="1"/>
      <c r="D867" s="2"/>
      <c r="F867" s="1"/>
      <c r="G867" s="1"/>
    </row>
    <row r="868" ht="14.25" customHeight="1">
      <c r="A868" s="1"/>
      <c r="B868" s="1"/>
      <c r="C868" s="1"/>
      <c r="D868" s="2"/>
      <c r="F868" s="1"/>
      <c r="G868" s="1"/>
    </row>
    <row r="869" ht="14.25" customHeight="1">
      <c r="A869" s="1"/>
      <c r="B869" s="1"/>
      <c r="C869" s="1"/>
      <c r="D869" s="2"/>
      <c r="F869" s="1"/>
      <c r="G869" s="1"/>
    </row>
    <row r="870" ht="14.25" customHeight="1">
      <c r="A870" s="1"/>
      <c r="B870" s="1"/>
      <c r="C870" s="1"/>
      <c r="D870" s="2"/>
      <c r="F870" s="1"/>
      <c r="G870" s="1"/>
    </row>
    <row r="871" ht="14.25" customHeight="1">
      <c r="A871" s="1"/>
      <c r="B871" s="1"/>
      <c r="C871" s="1"/>
      <c r="D871" s="2"/>
      <c r="F871" s="1"/>
      <c r="G871" s="1"/>
    </row>
    <row r="872" ht="14.25" customHeight="1">
      <c r="A872" s="1"/>
      <c r="B872" s="1"/>
      <c r="C872" s="1"/>
      <c r="D872" s="2"/>
      <c r="F872" s="1"/>
      <c r="G872" s="1"/>
    </row>
    <row r="873" ht="14.25" customHeight="1">
      <c r="A873" s="1"/>
      <c r="B873" s="1"/>
      <c r="C873" s="1"/>
      <c r="D873" s="2"/>
      <c r="F873" s="1"/>
      <c r="G873" s="1"/>
    </row>
    <row r="874" ht="14.25" customHeight="1">
      <c r="A874" s="1"/>
      <c r="B874" s="1"/>
      <c r="C874" s="1"/>
      <c r="D874" s="2"/>
      <c r="F874" s="1"/>
      <c r="G874" s="1"/>
    </row>
    <row r="875" ht="14.25" customHeight="1">
      <c r="A875" s="1"/>
      <c r="B875" s="1"/>
      <c r="C875" s="1"/>
      <c r="D875" s="2"/>
      <c r="F875" s="1"/>
      <c r="G875" s="1"/>
    </row>
    <row r="876" ht="14.25" customHeight="1">
      <c r="A876" s="1"/>
      <c r="B876" s="1"/>
      <c r="C876" s="1"/>
      <c r="D876" s="2"/>
      <c r="F876" s="1"/>
      <c r="G876" s="1"/>
    </row>
    <row r="877" ht="14.25" customHeight="1">
      <c r="A877" s="1"/>
      <c r="B877" s="1"/>
      <c r="C877" s="1"/>
      <c r="D877" s="2"/>
      <c r="F877" s="1"/>
      <c r="G877" s="1"/>
    </row>
    <row r="878" ht="14.25" customHeight="1">
      <c r="A878" s="1"/>
      <c r="B878" s="1"/>
      <c r="C878" s="1"/>
      <c r="D878" s="2"/>
      <c r="F878" s="1"/>
      <c r="G878" s="1"/>
    </row>
    <row r="879" ht="14.25" customHeight="1">
      <c r="A879" s="1"/>
      <c r="B879" s="1"/>
      <c r="C879" s="1"/>
      <c r="D879" s="2"/>
      <c r="F879" s="1"/>
      <c r="G879" s="1"/>
    </row>
    <row r="880" ht="14.25" customHeight="1">
      <c r="A880" s="1"/>
      <c r="B880" s="1"/>
      <c r="C880" s="1"/>
      <c r="D880" s="2"/>
      <c r="F880" s="1"/>
      <c r="G880" s="1"/>
    </row>
    <row r="881" ht="14.25" customHeight="1">
      <c r="A881" s="1"/>
      <c r="B881" s="1"/>
      <c r="C881" s="1"/>
      <c r="D881" s="2"/>
      <c r="F881" s="1"/>
      <c r="G881" s="1"/>
    </row>
    <row r="882" ht="14.25" customHeight="1">
      <c r="A882" s="1"/>
      <c r="B882" s="1"/>
      <c r="C882" s="1"/>
      <c r="D882" s="2"/>
      <c r="F882" s="1"/>
      <c r="G882" s="1"/>
    </row>
    <row r="883" ht="14.25" customHeight="1">
      <c r="A883" s="1"/>
      <c r="B883" s="1"/>
      <c r="C883" s="1"/>
      <c r="D883" s="2"/>
      <c r="F883" s="1"/>
      <c r="G883" s="1"/>
    </row>
    <row r="884" ht="14.25" customHeight="1">
      <c r="A884" s="1"/>
      <c r="B884" s="1"/>
      <c r="C884" s="1"/>
      <c r="D884" s="2"/>
      <c r="F884" s="1"/>
      <c r="G884" s="1"/>
    </row>
    <row r="885" ht="14.25" customHeight="1">
      <c r="A885" s="1"/>
      <c r="B885" s="1"/>
      <c r="C885" s="1"/>
      <c r="D885" s="2"/>
      <c r="F885" s="1"/>
      <c r="G885" s="1"/>
    </row>
    <row r="886" ht="14.25" customHeight="1">
      <c r="A886" s="1"/>
      <c r="B886" s="1"/>
      <c r="C886" s="1"/>
      <c r="D886" s="2"/>
      <c r="F886" s="1"/>
      <c r="G886" s="1"/>
    </row>
    <row r="887" ht="14.25" customHeight="1">
      <c r="A887" s="1"/>
      <c r="B887" s="1"/>
      <c r="C887" s="1"/>
      <c r="D887" s="2"/>
      <c r="F887" s="1"/>
      <c r="G887" s="1"/>
    </row>
    <row r="888" ht="14.25" customHeight="1">
      <c r="A888" s="1"/>
      <c r="B888" s="1"/>
      <c r="C888" s="1"/>
      <c r="D888" s="2"/>
      <c r="F888" s="1"/>
      <c r="G888" s="1"/>
    </row>
    <row r="889" ht="14.25" customHeight="1">
      <c r="A889" s="1"/>
      <c r="B889" s="1"/>
      <c r="C889" s="1"/>
      <c r="D889" s="2"/>
      <c r="F889" s="1"/>
      <c r="G889" s="1"/>
    </row>
    <row r="890" ht="14.25" customHeight="1">
      <c r="A890" s="1"/>
      <c r="B890" s="1"/>
      <c r="C890" s="1"/>
      <c r="D890" s="2"/>
      <c r="F890" s="1"/>
      <c r="G890" s="1"/>
    </row>
    <row r="891" ht="14.25" customHeight="1">
      <c r="A891" s="1"/>
      <c r="B891" s="1"/>
      <c r="C891" s="1"/>
      <c r="D891" s="2"/>
      <c r="F891" s="1"/>
      <c r="G891" s="1"/>
    </row>
    <row r="892" ht="14.25" customHeight="1">
      <c r="A892" s="1"/>
      <c r="B892" s="1"/>
      <c r="C892" s="1"/>
      <c r="D892" s="2"/>
      <c r="F892" s="1"/>
      <c r="G892" s="1"/>
    </row>
    <row r="893" ht="14.25" customHeight="1">
      <c r="A893" s="1"/>
      <c r="B893" s="1"/>
      <c r="C893" s="1"/>
      <c r="D893" s="2"/>
      <c r="F893" s="1"/>
      <c r="G893" s="1"/>
    </row>
    <row r="894" ht="14.25" customHeight="1">
      <c r="A894" s="1"/>
      <c r="B894" s="1"/>
      <c r="C894" s="1"/>
      <c r="D894" s="2"/>
      <c r="F894" s="1"/>
      <c r="G894" s="1"/>
    </row>
    <row r="895" ht="14.25" customHeight="1">
      <c r="A895" s="1"/>
      <c r="B895" s="1"/>
      <c r="C895" s="1"/>
      <c r="D895" s="2"/>
      <c r="F895" s="1"/>
      <c r="G895" s="1"/>
    </row>
    <row r="896" ht="14.25" customHeight="1">
      <c r="A896" s="1"/>
      <c r="B896" s="1"/>
      <c r="C896" s="1"/>
      <c r="D896" s="2"/>
      <c r="F896" s="1"/>
      <c r="G896" s="1"/>
    </row>
    <row r="897" ht="14.25" customHeight="1">
      <c r="A897" s="1"/>
      <c r="B897" s="1"/>
      <c r="C897" s="1"/>
      <c r="D897" s="2"/>
      <c r="F897" s="1"/>
      <c r="G897" s="1"/>
    </row>
    <row r="898" ht="14.25" customHeight="1">
      <c r="A898" s="1"/>
      <c r="B898" s="1"/>
      <c r="C898" s="1"/>
      <c r="D898" s="2"/>
      <c r="F898" s="1"/>
      <c r="G898" s="1"/>
    </row>
    <row r="899" ht="14.25" customHeight="1">
      <c r="A899" s="1"/>
      <c r="B899" s="1"/>
      <c r="C899" s="1"/>
      <c r="D899" s="2"/>
      <c r="F899" s="1"/>
      <c r="G899" s="1"/>
    </row>
    <row r="900" ht="14.25" customHeight="1">
      <c r="A900" s="1"/>
      <c r="B900" s="1"/>
      <c r="C900" s="1"/>
      <c r="D900" s="2"/>
      <c r="F900" s="1"/>
      <c r="G900" s="1"/>
    </row>
    <row r="901" ht="14.25" customHeight="1">
      <c r="A901" s="1"/>
      <c r="B901" s="1"/>
      <c r="C901" s="1"/>
      <c r="D901" s="2"/>
      <c r="F901" s="1"/>
      <c r="G901" s="1"/>
    </row>
    <row r="902" ht="14.25" customHeight="1">
      <c r="A902" s="1"/>
      <c r="B902" s="1"/>
      <c r="C902" s="1"/>
      <c r="D902" s="2"/>
      <c r="F902" s="1"/>
      <c r="G902" s="1"/>
    </row>
    <row r="903" ht="14.25" customHeight="1">
      <c r="A903" s="1"/>
      <c r="B903" s="1"/>
      <c r="C903" s="1"/>
      <c r="D903" s="2"/>
      <c r="F903" s="1"/>
      <c r="G903" s="1"/>
    </row>
    <row r="904" ht="14.25" customHeight="1">
      <c r="A904" s="1"/>
      <c r="B904" s="1"/>
      <c r="C904" s="1"/>
      <c r="D904" s="2"/>
      <c r="F904" s="1"/>
      <c r="G904" s="1"/>
    </row>
    <row r="905" ht="14.25" customHeight="1">
      <c r="A905" s="1"/>
      <c r="B905" s="1"/>
      <c r="C905" s="1"/>
      <c r="D905" s="2"/>
      <c r="F905" s="1"/>
      <c r="G905" s="1"/>
    </row>
    <row r="906" ht="14.25" customHeight="1">
      <c r="A906" s="1"/>
      <c r="B906" s="1"/>
      <c r="C906" s="1"/>
      <c r="D906" s="2"/>
      <c r="F906" s="1"/>
      <c r="G906" s="1"/>
    </row>
    <row r="907" ht="14.25" customHeight="1">
      <c r="A907" s="1"/>
      <c r="B907" s="1"/>
      <c r="C907" s="1"/>
      <c r="D907" s="2"/>
      <c r="F907" s="1"/>
      <c r="G907" s="1"/>
    </row>
    <row r="908" ht="14.25" customHeight="1">
      <c r="A908" s="1"/>
      <c r="B908" s="1"/>
      <c r="C908" s="1"/>
      <c r="D908" s="2"/>
      <c r="F908" s="1"/>
      <c r="G908" s="1"/>
    </row>
    <row r="909" ht="14.25" customHeight="1">
      <c r="A909" s="1"/>
      <c r="B909" s="1"/>
      <c r="C909" s="1"/>
      <c r="D909" s="2"/>
      <c r="F909" s="1"/>
      <c r="G909" s="1"/>
    </row>
    <row r="910" ht="14.25" customHeight="1">
      <c r="A910" s="1"/>
      <c r="B910" s="1"/>
      <c r="C910" s="1"/>
      <c r="D910" s="2"/>
      <c r="F910" s="1"/>
      <c r="G910" s="1"/>
    </row>
    <row r="911" ht="14.25" customHeight="1">
      <c r="A911" s="1"/>
      <c r="B911" s="1"/>
      <c r="C911" s="1"/>
      <c r="D911" s="2"/>
      <c r="F911" s="1"/>
      <c r="G911" s="1"/>
    </row>
    <row r="912" ht="14.25" customHeight="1">
      <c r="A912" s="1"/>
      <c r="B912" s="1"/>
      <c r="C912" s="1"/>
      <c r="D912" s="2"/>
      <c r="F912" s="1"/>
      <c r="G912" s="1"/>
    </row>
    <row r="913" ht="14.25" customHeight="1">
      <c r="A913" s="1"/>
      <c r="B913" s="1"/>
      <c r="C913" s="1"/>
      <c r="D913" s="2"/>
      <c r="F913" s="1"/>
      <c r="G913" s="1"/>
    </row>
    <row r="914" ht="14.25" customHeight="1">
      <c r="A914" s="1"/>
      <c r="B914" s="1"/>
      <c r="C914" s="1"/>
      <c r="D914" s="2"/>
      <c r="F914" s="1"/>
      <c r="G914" s="1"/>
    </row>
    <row r="915" ht="14.25" customHeight="1">
      <c r="A915" s="1"/>
      <c r="B915" s="1"/>
      <c r="C915" s="1"/>
      <c r="D915" s="2"/>
      <c r="F915" s="1"/>
      <c r="G915" s="1"/>
    </row>
    <row r="916" ht="14.25" customHeight="1">
      <c r="A916" s="1"/>
      <c r="B916" s="1"/>
      <c r="C916" s="1"/>
      <c r="D916" s="2"/>
      <c r="F916" s="1"/>
      <c r="G916" s="1"/>
    </row>
    <row r="917" ht="14.25" customHeight="1">
      <c r="A917" s="1"/>
      <c r="B917" s="1"/>
      <c r="C917" s="1"/>
      <c r="D917" s="2"/>
      <c r="F917" s="1"/>
      <c r="G917" s="1"/>
    </row>
    <row r="918" ht="14.25" customHeight="1">
      <c r="A918" s="1"/>
      <c r="B918" s="1"/>
      <c r="C918" s="1"/>
      <c r="D918" s="2"/>
      <c r="F918" s="1"/>
      <c r="G918" s="1"/>
    </row>
    <row r="919" ht="14.25" customHeight="1">
      <c r="A919" s="1"/>
      <c r="B919" s="1"/>
      <c r="C919" s="1"/>
      <c r="D919" s="2"/>
      <c r="F919" s="1"/>
      <c r="G919" s="1"/>
    </row>
    <row r="920" ht="14.25" customHeight="1">
      <c r="A920" s="1"/>
      <c r="B920" s="1"/>
      <c r="C920" s="1"/>
      <c r="D920" s="2"/>
      <c r="F920" s="1"/>
      <c r="G920" s="1"/>
    </row>
    <row r="921" ht="14.25" customHeight="1">
      <c r="A921" s="1"/>
      <c r="B921" s="1"/>
      <c r="C921" s="1"/>
      <c r="D921" s="2"/>
      <c r="F921" s="1"/>
      <c r="G921" s="1"/>
    </row>
    <row r="922" ht="14.25" customHeight="1">
      <c r="A922" s="1"/>
      <c r="B922" s="1"/>
      <c r="C922" s="1"/>
      <c r="D922" s="2"/>
      <c r="F922" s="1"/>
      <c r="G922" s="1"/>
    </row>
    <row r="923" ht="14.25" customHeight="1">
      <c r="A923" s="1"/>
      <c r="B923" s="1"/>
      <c r="C923" s="1"/>
      <c r="D923" s="2"/>
      <c r="F923" s="1"/>
      <c r="G923" s="1"/>
    </row>
    <row r="924" ht="14.25" customHeight="1">
      <c r="A924" s="1"/>
      <c r="B924" s="1"/>
      <c r="C924" s="1"/>
      <c r="D924" s="2"/>
      <c r="F924" s="1"/>
      <c r="G924" s="1"/>
    </row>
    <row r="925" ht="14.25" customHeight="1">
      <c r="A925" s="1"/>
      <c r="B925" s="1"/>
      <c r="C925" s="1"/>
      <c r="D925" s="2"/>
      <c r="F925" s="1"/>
      <c r="G925" s="1"/>
    </row>
    <row r="926" ht="14.25" customHeight="1">
      <c r="A926" s="1"/>
      <c r="B926" s="1"/>
      <c r="C926" s="1"/>
      <c r="D926" s="2"/>
      <c r="F926" s="1"/>
      <c r="G926" s="1"/>
    </row>
    <row r="927" ht="14.25" customHeight="1">
      <c r="A927" s="1"/>
      <c r="B927" s="1"/>
      <c r="C927" s="1"/>
      <c r="D927" s="2"/>
      <c r="F927" s="1"/>
      <c r="G927" s="1"/>
    </row>
    <row r="928" ht="14.25" customHeight="1">
      <c r="A928" s="1"/>
      <c r="B928" s="1"/>
      <c r="C928" s="1"/>
      <c r="D928" s="2"/>
      <c r="F928" s="1"/>
      <c r="G928" s="1"/>
    </row>
    <row r="929" ht="14.25" customHeight="1">
      <c r="A929" s="1"/>
      <c r="B929" s="1"/>
      <c r="C929" s="1"/>
      <c r="D929" s="2"/>
      <c r="F929" s="1"/>
      <c r="G929" s="1"/>
    </row>
    <row r="930" ht="14.25" customHeight="1">
      <c r="A930" s="1"/>
      <c r="B930" s="1"/>
      <c r="C930" s="1"/>
      <c r="D930" s="2"/>
      <c r="F930" s="1"/>
      <c r="G930" s="1"/>
    </row>
    <row r="931" ht="14.25" customHeight="1">
      <c r="A931" s="1"/>
      <c r="B931" s="1"/>
      <c r="C931" s="1"/>
      <c r="D931" s="2"/>
      <c r="F931" s="1"/>
      <c r="G931" s="1"/>
    </row>
    <row r="932" ht="14.25" customHeight="1">
      <c r="A932" s="1"/>
      <c r="B932" s="1"/>
      <c r="C932" s="1"/>
      <c r="D932" s="2"/>
      <c r="F932" s="1"/>
      <c r="G932" s="1"/>
    </row>
    <row r="933" ht="14.25" customHeight="1">
      <c r="A933" s="1"/>
      <c r="B933" s="1"/>
      <c r="C933" s="1"/>
      <c r="D933" s="2"/>
      <c r="F933" s="1"/>
      <c r="G933" s="1"/>
    </row>
    <row r="934" ht="14.25" customHeight="1">
      <c r="A934" s="1"/>
      <c r="B934" s="1"/>
      <c r="C934" s="1"/>
      <c r="D934" s="2"/>
      <c r="F934" s="1"/>
      <c r="G934" s="1"/>
    </row>
    <row r="935" ht="14.25" customHeight="1">
      <c r="A935" s="1"/>
      <c r="B935" s="1"/>
      <c r="C935" s="1"/>
      <c r="D935" s="2"/>
      <c r="F935" s="1"/>
      <c r="G935" s="1"/>
    </row>
    <row r="936" ht="14.25" customHeight="1">
      <c r="A936" s="1"/>
      <c r="B936" s="1"/>
      <c r="C936" s="1"/>
      <c r="D936" s="2"/>
      <c r="F936" s="1"/>
      <c r="G936" s="1"/>
    </row>
    <row r="937" ht="14.25" customHeight="1">
      <c r="A937" s="1"/>
      <c r="B937" s="1"/>
      <c r="C937" s="1"/>
      <c r="D937" s="2"/>
      <c r="F937" s="1"/>
      <c r="G937" s="1"/>
    </row>
    <row r="938" ht="14.25" customHeight="1">
      <c r="A938" s="1"/>
      <c r="B938" s="1"/>
      <c r="C938" s="1"/>
      <c r="D938" s="2"/>
      <c r="F938" s="1"/>
      <c r="G938" s="1"/>
    </row>
    <row r="939" ht="14.25" customHeight="1">
      <c r="A939" s="1"/>
      <c r="B939" s="1"/>
      <c r="C939" s="1"/>
      <c r="D939" s="2"/>
      <c r="F939" s="1"/>
      <c r="G939" s="1"/>
    </row>
    <row r="940" ht="14.25" customHeight="1">
      <c r="A940" s="1"/>
      <c r="B940" s="1"/>
      <c r="C940" s="1"/>
      <c r="D940" s="2"/>
      <c r="F940" s="1"/>
      <c r="G940" s="1"/>
    </row>
    <row r="941" ht="14.25" customHeight="1">
      <c r="A941" s="1"/>
      <c r="B941" s="1"/>
      <c r="C941" s="1"/>
      <c r="D941" s="2"/>
      <c r="F941" s="1"/>
      <c r="G941" s="1"/>
    </row>
    <row r="942" ht="14.25" customHeight="1">
      <c r="A942" s="1"/>
      <c r="B942" s="1"/>
      <c r="C942" s="1"/>
      <c r="D942" s="2"/>
      <c r="F942" s="1"/>
      <c r="G942" s="1"/>
    </row>
    <row r="943" ht="14.25" customHeight="1">
      <c r="A943" s="1"/>
      <c r="B943" s="1"/>
      <c r="C943" s="1"/>
      <c r="D943" s="2"/>
      <c r="F943" s="1"/>
      <c r="G943" s="1"/>
    </row>
    <row r="944" ht="14.25" customHeight="1">
      <c r="A944" s="1"/>
      <c r="B944" s="1"/>
      <c r="C944" s="1"/>
      <c r="D944" s="2"/>
      <c r="F944" s="1"/>
      <c r="G944" s="1"/>
    </row>
    <row r="945" ht="14.25" customHeight="1">
      <c r="A945" s="1"/>
      <c r="B945" s="1"/>
      <c r="C945" s="1"/>
      <c r="D945" s="2"/>
      <c r="F945" s="1"/>
      <c r="G945" s="1"/>
    </row>
    <row r="946" ht="14.25" customHeight="1">
      <c r="A946" s="1"/>
      <c r="B946" s="1"/>
      <c r="C946" s="1"/>
      <c r="D946" s="2"/>
      <c r="F946" s="1"/>
      <c r="G946" s="1"/>
    </row>
    <row r="947" ht="14.25" customHeight="1">
      <c r="A947" s="1"/>
      <c r="B947" s="1"/>
      <c r="C947" s="1"/>
      <c r="D947" s="2"/>
      <c r="F947" s="1"/>
      <c r="G947" s="1"/>
    </row>
    <row r="948" ht="14.25" customHeight="1">
      <c r="A948" s="1"/>
      <c r="B948" s="1"/>
      <c r="C948" s="1"/>
      <c r="D948" s="2"/>
      <c r="F948" s="1"/>
      <c r="G948" s="1"/>
    </row>
    <row r="949" ht="14.25" customHeight="1">
      <c r="A949" s="1"/>
      <c r="B949" s="1"/>
      <c r="C949" s="1"/>
      <c r="D949" s="2"/>
      <c r="F949" s="1"/>
      <c r="G949" s="1"/>
    </row>
    <row r="950" ht="14.25" customHeight="1">
      <c r="A950" s="1"/>
      <c r="B950" s="1"/>
      <c r="C950" s="1"/>
      <c r="D950" s="2"/>
      <c r="F950" s="1"/>
      <c r="G950" s="1"/>
    </row>
    <row r="951" ht="14.25" customHeight="1">
      <c r="A951" s="1"/>
      <c r="B951" s="1"/>
      <c r="C951" s="1"/>
      <c r="D951" s="2"/>
      <c r="F951" s="1"/>
      <c r="G951" s="1"/>
    </row>
    <row r="952" ht="14.25" customHeight="1">
      <c r="A952" s="1"/>
      <c r="B952" s="1"/>
      <c r="C952" s="1"/>
      <c r="D952" s="2"/>
      <c r="F952" s="1"/>
      <c r="G952" s="1"/>
    </row>
    <row r="953" ht="14.25" customHeight="1">
      <c r="A953" s="1"/>
      <c r="B953" s="1"/>
      <c r="C953" s="1"/>
      <c r="D953" s="2"/>
      <c r="F953" s="1"/>
      <c r="G953" s="1"/>
    </row>
    <row r="954" ht="14.25" customHeight="1">
      <c r="A954" s="1"/>
      <c r="B954" s="1"/>
      <c r="C954" s="1"/>
      <c r="D954" s="2"/>
      <c r="F954" s="1"/>
      <c r="G954" s="1"/>
    </row>
    <row r="955" ht="14.25" customHeight="1">
      <c r="A955" s="1"/>
      <c r="B955" s="1"/>
      <c r="C955" s="1"/>
      <c r="D955" s="2"/>
      <c r="F955" s="1"/>
      <c r="G955" s="1"/>
    </row>
    <row r="956" ht="14.25" customHeight="1">
      <c r="A956" s="1"/>
      <c r="B956" s="1"/>
      <c r="C956" s="1"/>
      <c r="D956" s="2"/>
      <c r="F956" s="1"/>
      <c r="G956" s="1"/>
    </row>
    <row r="957" ht="14.25" customHeight="1">
      <c r="A957" s="1"/>
      <c r="B957" s="1"/>
      <c r="C957" s="1"/>
      <c r="D957" s="2"/>
      <c r="F957" s="1"/>
      <c r="G957" s="1"/>
    </row>
    <row r="958" ht="14.25" customHeight="1">
      <c r="A958" s="1"/>
      <c r="B958" s="1"/>
      <c r="C958" s="1"/>
      <c r="D958" s="2"/>
      <c r="F958" s="1"/>
      <c r="G958" s="1"/>
    </row>
    <row r="959" ht="14.25" customHeight="1">
      <c r="A959" s="1"/>
      <c r="B959" s="1"/>
      <c r="C959" s="1"/>
      <c r="D959" s="2"/>
      <c r="F959" s="1"/>
      <c r="G959" s="1"/>
    </row>
    <row r="960" ht="14.25" customHeight="1">
      <c r="A960" s="1"/>
      <c r="B960" s="1"/>
      <c r="C960" s="1"/>
      <c r="D960" s="2"/>
      <c r="F960" s="1"/>
      <c r="G960" s="1"/>
    </row>
    <row r="961" ht="14.25" customHeight="1">
      <c r="A961" s="1"/>
      <c r="B961" s="1"/>
      <c r="C961" s="1"/>
      <c r="D961" s="2"/>
      <c r="F961" s="1"/>
      <c r="G961" s="1"/>
    </row>
    <row r="962" ht="14.25" customHeight="1">
      <c r="A962" s="1"/>
      <c r="B962" s="1"/>
      <c r="C962" s="1"/>
      <c r="D962" s="2"/>
      <c r="F962" s="1"/>
      <c r="G962" s="1"/>
    </row>
    <row r="963" ht="14.25" customHeight="1">
      <c r="A963" s="1"/>
      <c r="B963" s="1"/>
      <c r="C963" s="1"/>
      <c r="D963" s="2"/>
      <c r="F963" s="1"/>
      <c r="G963" s="1"/>
    </row>
    <row r="964" ht="14.25" customHeight="1">
      <c r="A964" s="1"/>
      <c r="B964" s="1"/>
      <c r="C964" s="1"/>
      <c r="D964" s="2"/>
      <c r="F964" s="1"/>
      <c r="G964" s="1"/>
    </row>
    <row r="965" ht="14.25" customHeight="1">
      <c r="A965" s="1"/>
      <c r="B965" s="1"/>
      <c r="C965" s="1"/>
      <c r="D965" s="2"/>
      <c r="F965" s="1"/>
      <c r="G965" s="1"/>
    </row>
    <row r="966" ht="14.25" customHeight="1">
      <c r="A966" s="1"/>
      <c r="B966" s="1"/>
      <c r="C966" s="1"/>
      <c r="D966" s="2"/>
      <c r="F966" s="1"/>
      <c r="G966" s="1"/>
    </row>
    <row r="967" ht="14.25" customHeight="1">
      <c r="A967" s="1"/>
      <c r="B967" s="1"/>
      <c r="C967" s="1"/>
      <c r="D967" s="2"/>
      <c r="F967" s="1"/>
      <c r="G967" s="1"/>
    </row>
    <row r="968" ht="14.25" customHeight="1">
      <c r="A968" s="1"/>
      <c r="B968" s="1"/>
      <c r="C968" s="1"/>
      <c r="D968" s="2"/>
      <c r="F968" s="1"/>
      <c r="G968" s="1"/>
    </row>
    <row r="969" ht="14.25" customHeight="1">
      <c r="A969" s="1"/>
      <c r="B969" s="1"/>
      <c r="C969" s="1"/>
      <c r="D969" s="2"/>
      <c r="F969" s="1"/>
      <c r="G969" s="1"/>
    </row>
    <row r="970" ht="14.25" customHeight="1">
      <c r="A970" s="1"/>
      <c r="B970" s="1"/>
      <c r="C970" s="1"/>
      <c r="D970" s="2"/>
      <c r="F970" s="1"/>
      <c r="G970" s="1"/>
    </row>
    <row r="971" ht="14.25" customHeight="1">
      <c r="A971" s="1"/>
      <c r="B971" s="1"/>
      <c r="C971" s="1"/>
      <c r="D971" s="2"/>
      <c r="F971" s="1"/>
      <c r="G971" s="1"/>
    </row>
    <row r="972" ht="14.25" customHeight="1">
      <c r="A972" s="1"/>
      <c r="B972" s="1"/>
      <c r="C972" s="1"/>
      <c r="D972" s="2"/>
      <c r="F972" s="1"/>
      <c r="G972" s="1"/>
    </row>
    <row r="973" ht="14.25" customHeight="1">
      <c r="A973" s="1"/>
      <c r="B973" s="1"/>
      <c r="C973" s="1"/>
      <c r="D973" s="2"/>
      <c r="F973" s="1"/>
      <c r="G973" s="1"/>
    </row>
    <row r="974" ht="14.25" customHeight="1">
      <c r="A974" s="1"/>
      <c r="B974" s="1"/>
      <c r="C974" s="1"/>
      <c r="D974" s="2"/>
      <c r="F974" s="1"/>
      <c r="G974" s="1"/>
    </row>
    <row r="975" ht="14.25" customHeight="1">
      <c r="A975" s="1"/>
      <c r="B975" s="1"/>
      <c r="C975" s="1"/>
      <c r="D975" s="2"/>
      <c r="F975" s="1"/>
      <c r="G975" s="1"/>
    </row>
    <row r="976" ht="14.25" customHeight="1">
      <c r="A976" s="1"/>
      <c r="B976" s="1"/>
      <c r="C976" s="1"/>
      <c r="D976" s="2"/>
      <c r="F976" s="1"/>
      <c r="G976" s="1"/>
    </row>
    <row r="977" ht="14.25" customHeight="1">
      <c r="A977" s="1"/>
      <c r="B977" s="1"/>
      <c r="C977" s="1"/>
      <c r="D977" s="2"/>
      <c r="F977" s="1"/>
      <c r="G977" s="1"/>
    </row>
    <row r="978" ht="14.25" customHeight="1">
      <c r="A978" s="1"/>
      <c r="B978" s="1"/>
      <c r="C978" s="1"/>
      <c r="D978" s="2"/>
      <c r="F978" s="1"/>
      <c r="G978" s="1"/>
    </row>
    <row r="979" ht="14.25" customHeight="1">
      <c r="A979" s="1"/>
      <c r="B979" s="1"/>
      <c r="C979" s="1"/>
      <c r="D979" s="2"/>
      <c r="F979" s="1"/>
      <c r="G979" s="1"/>
    </row>
    <row r="980" ht="14.25" customHeight="1">
      <c r="A980" s="1"/>
      <c r="B980" s="1"/>
      <c r="C980" s="1"/>
      <c r="D980" s="2"/>
      <c r="F980" s="1"/>
      <c r="G980" s="1"/>
    </row>
    <row r="981" ht="14.25" customHeight="1">
      <c r="A981" s="1"/>
      <c r="B981" s="1"/>
      <c r="C981" s="1"/>
      <c r="D981" s="2"/>
      <c r="F981" s="1"/>
      <c r="G981" s="1"/>
    </row>
    <row r="982" ht="14.25" customHeight="1">
      <c r="A982" s="1"/>
      <c r="B982" s="1"/>
      <c r="C982" s="1"/>
      <c r="D982" s="2"/>
      <c r="F982" s="1"/>
      <c r="G982" s="1"/>
    </row>
    <row r="983" ht="14.25" customHeight="1">
      <c r="A983" s="1"/>
      <c r="B983" s="1"/>
      <c r="C983" s="1"/>
      <c r="D983" s="2"/>
      <c r="F983" s="1"/>
      <c r="G983" s="1"/>
    </row>
    <row r="984" ht="14.25" customHeight="1">
      <c r="A984" s="1"/>
      <c r="B984" s="1"/>
      <c r="C984" s="1"/>
      <c r="D984" s="2"/>
      <c r="F984" s="1"/>
      <c r="G984" s="1"/>
    </row>
    <row r="985" ht="14.25" customHeight="1">
      <c r="A985" s="1"/>
      <c r="B985" s="1"/>
      <c r="C985" s="1"/>
      <c r="D985" s="2"/>
      <c r="F985" s="1"/>
      <c r="G985" s="1"/>
    </row>
    <row r="986" ht="14.25" customHeight="1">
      <c r="A986" s="1"/>
      <c r="B986" s="1"/>
      <c r="C986" s="1"/>
      <c r="D986" s="2"/>
      <c r="F986" s="1"/>
      <c r="G986" s="1"/>
    </row>
    <row r="987" ht="14.25" customHeight="1">
      <c r="A987" s="1"/>
      <c r="B987" s="1"/>
      <c r="C987" s="1"/>
      <c r="D987" s="2"/>
      <c r="F987" s="1"/>
      <c r="G987" s="1"/>
    </row>
    <row r="988" ht="14.25" customHeight="1">
      <c r="A988" s="1"/>
      <c r="B988" s="1"/>
      <c r="C988" s="1"/>
      <c r="D988" s="2"/>
      <c r="F988" s="1"/>
      <c r="G988" s="1"/>
    </row>
    <row r="989" ht="14.25" customHeight="1">
      <c r="A989" s="1"/>
      <c r="B989" s="1"/>
      <c r="C989" s="1"/>
      <c r="D989" s="2"/>
      <c r="F989" s="1"/>
      <c r="G989" s="1"/>
    </row>
    <row r="990" ht="14.25" customHeight="1">
      <c r="A990" s="1"/>
      <c r="B990" s="1"/>
      <c r="C990" s="1"/>
      <c r="D990" s="2"/>
      <c r="F990" s="1"/>
      <c r="G990" s="1"/>
    </row>
    <row r="991" ht="14.25" customHeight="1">
      <c r="A991" s="1"/>
      <c r="B991" s="1"/>
      <c r="C991" s="1"/>
      <c r="D991" s="2"/>
      <c r="F991" s="1"/>
      <c r="G991" s="1"/>
    </row>
    <row r="992" ht="14.25" customHeight="1">
      <c r="A992" s="1"/>
      <c r="B992" s="1"/>
      <c r="C992" s="1"/>
      <c r="D992" s="2"/>
      <c r="F992" s="1"/>
      <c r="G992" s="1"/>
    </row>
    <row r="993" ht="14.25" customHeight="1">
      <c r="A993" s="1"/>
      <c r="B993" s="1"/>
      <c r="C993" s="1"/>
      <c r="D993" s="2"/>
      <c r="F993" s="1"/>
      <c r="G993" s="1"/>
    </row>
    <row r="994" ht="14.25" customHeight="1">
      <c r="A994" s="1"/>
      <c r="B994" s="1"/>
      <c r="C994" s="1"/>
      <c r="D994" s="2"/>
      <c r="F994" s="1"/>
      <c r="G994" s="1"/>
    </row>
    <row r="995" ht="14.25" customHeight="1">
      <c r="A995" s="1"/>
      <c r="B995" s="1"/>
      <c r="C995" s="1"/>
      <c r="D995" s="2"/>
      <c r="F995" s="1"/>
      <c r="G995" s="1"/>
    </row>
    <row r="996" ht="14.25" customHeight="1">
      <c r="A996" s="1"/>
      <c r="B996" s="1"/>
      <c r="C996" s="1"/>
      <c r="D996" s="2"/>
      <c r="F996" s="1"/>
      <c r="G996" s="1"/>
    </row>
    <row r="997" ht="14.25" customHeight="1">
      <c r="A997" s="1"/>
      <c r="B997" s="1"/>
      <c r="C997" s="1"/>
      <c r="D997" s="2"/>
      <c r="F997" s="1"/>
      <c r="G997" s="1"/>
    </row>
    <row r="998" ht="14.25" customHeight="1">
      <c r="A998" s="1"/>
      <c r="B998" s="1"/>
      <c r="C998" s="1"/>
      <c r="D998" s="2"/>
      <c r="F998" s="1"/>
      <c r="G998" s="1"/>
    </row>
    <row r="999" ht="14.25" customHeight="1">
      <c r="A999" s="1"/>
      <c r="B999" s="1"/>
      <c r="C999" s="1"/>
      <c r="D999" s="2"/>
      <c r="F999" s="1"/>
      <c r="G999" s="1"/>
    </row>
    <row r="1000" ht="14.25" customHeight="1">
      <c r="A1000" s="1"/>
      <c r="B1000" s="1"/>
      <c r="C1000" s="1"/>
      <c r="D1000" s="2"/>
      <c r="F1000" s="1"/>
      <c r="G1000" s="1"/>
    </row>
  </sheetData>
  <mergeCells count="1">
    <mergeCell ref="B3:B11"/>
  </mergeCells>
  <conditionalFormatting sqref="G1:G33 G35:G36 G41:G1000">
    <cfRule type="cellIs" dxfId="0" priority="1" operator="equal">
      <formula>"-"</formula>
    </cfRule>
  </conditionalFormatting>
  <conditionalFormatting sqref="A1:A36 A40:A1000">
    <cfRule type="cellIs" dxfId="1" priority="2" operator="equal">
      <formula>"N"</formula>
    </cfRule>
  </conditionalFormatting>
  <conditionalFormatting sqref="A1:A36 A40:A1000">
    <cfRule type="cellIs" dxfId="2" priority="3" operator="equal">
      <formula>"D"</formula>
    </cfRule>
  </conditionalFormatting>
  <conditionalFormatting sqref="A1:A36 A40:A1000">
    <cfRule type="cellIs" dxfId="3" priority="4" operator="equal">
      <formula>"P"</formula>
    </cfRule>
  </conditionalFormatting>
  <conditionalFormatting sqref="F34">
    <cfRule type="cellIs" dxfId="0" priority="5" operator="equal">
      <formula>"-"</formula>
    </cfRule>
  </conditionalFormatting>
  <conditionalFormatting sqref="F24">
    <cfRule type="cellIs" dxfId="0" priority="6" operator="equal">
      <formula>"-"</formula>
    </cfRule>
  </conditionalFormatting>
  <conditionalFormatting sqref="F21">
    <cfRule type="cellIs" dxfId="0" priority="7" operator="equal">
      <formula>"-"</formula>
    </cfRule>
  </conditionalFormatting>
  <conditionalFormatting sqref="F18">
    <cfRule type="cellIs" dxfId="0" priority="8" operator="equal">
      <formula>"-"</formula>
    </cfRule>
  </conditionalFormatting>
  <conditionalFormatting sqref="F15">
    <cfRule type="cellIs" dxfId="0" priority="9" operator="equal">
      <formula>"-"</formula>
    </cfRule>
  </conditionalFormatting>
  <conditionalFormatting sqref="F30">
    <cfRule type="cellIs" dxfId="0" priority="10" operator="equal">
      <formula>"-"</formula>
    </cfRule>
  </conditionalFormatting>
  <conditionalFormatting sqref="F27">
    <cfRule type="cellIs" dxfId="0" priority="11" operator="equal">
      <formula>"-"</formula>
    </cfRule>
  </conditionalFormatting>
  <conditionalFormatting sqref="F40">
    <cfRule type="cellIs" dxfId="0" priority="12" operator="equal">
      <formula>"-"</formula>
    </cfRule>
  </conditionalFormatting>
  <conditionalFormatting sqref="G40">
    <cfRule type="cellIs" dxfId="0" priority="13" operator="equal">
      <formula>"-"</formula>
    </cfRule>
  </conditionalFormatting>
  <conditionalFormatting sqref="G34">
    <cfRule type="cellIs" dxfId="0" priority="14" operator="equal">
      <formula>"-"</formula>
    </cfRule>
  </conditionalFormatting>
  <conditionalFormatting sqref="G38:G39">
    <cfRule type="cellIs" dxfId="0" priority="15" operator="equal">
      <formula>"-"</formula>
    </cfRule>
  </conditionalFormatting>
  <conditionalFormatting sqref="A37:A39">
    <cfRule type="cellIs" dxfId="1" priority="16" operator="equal">
      <formula>"N"</formula>
    </cfRule>
  </conditionalFormatting>
  <conditionalFormatting sqref="A37:A39">
    <cfRule type="cellIs" dxfId="2" priority="17" operator="equal">
      <formula>"D"</formula>
    </cfRule>
  </conditionalFormatting>
  <conditionalFormatting sqref="A37:A39">
    <cfRule type="cellIs" dxfId="3" priority="18" operator="equal">
      <formula>"P"</formula>
    </cfRule>
  </conditionalFormatting>
  <conditionalFormatting sqref="F37">
    <cfRule type="cellIs" dxfId="0" priority="19" operator="equal">
      <formula>"-"</formula>
    </cfRule>
  </conditionalFormatting>
  <conditionalFormatting sqref="G37">
    <cfRule type="cellIs" dxfId="0" priority="20" operator="equal">
      <formula>"-"</formula>
    </cfRule>
  </conditionalFormatting>
  <conditionalFormatting sqref="F31">
    <cfRule type="cellIs" dxfId="0" priority="21" operator="equal">
      <formula>"-"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7.0" topLeftCell="H18" activePane="bottomRight" state="frozen"/>
      <selection activeCell="H1" sqref="H1" pane="topRight"/>
      <selection activeCell="A18" sqref="A18" pane="bottomLeft"/>
      <selection activeCell="H18" sqref="H18" pane="bottomRight"/>
    </sheetView>
  </sheetViews>
  <sheetFormatPr customHeight="1" defaultColWidth="12.63" defaultRowHeight="15.0"/>
  <cols>
    <col customWidth="1" min="1" max="1" width="7.63"/>
    <col customWidth="1" min="2" max="2" width="23.75"/>
    <col customWidth="1" min="3" max="3" width="16.25"/>
    <col customWidth="1" min="4" max="4" width="17.25"/>
    <col customWidth="1" min="5" max="5" width="10.0"/>
    <col customWidth="1" min="6" max="6" width="20.5"/>
    <col customWidth="1" min="7" max="7" width="15.75"/>
    <col customWidth="1" min="8" max="8" width="7.88"/>
    <col customWidth="1" min="9" max="26" width="7.63"/>
  </cols>
  <sheetData>
    <row r="1" ht="14.25" customHeight="1">
      <c r="H1" s="1"/>
    </row>
    <row r="2" ht="14.25" customHeight="1">
      <c r="B2" s="29" t="s">
        <v>35</v>
      </c>
      <c r="C2" s="29" t="s">
        <v>36</v>
      </c>
      <c r="D2" s="29" t="s">
        <v>37</v>
      </c>
      <c r="E2" s="29" t="s">
        <v>38</v>
      </c>
      <c r="F2" s="29" t="s">
        <v>39</v>
      </c>
      <c r="G2" s="30" t="s">
        <v>40</v>
      </c>
      <c r="H2" s="1"/>
    </row>
    <row r="3" ht="14.25" customHeight="1">
      <c r="B3" s="31" t="s">
        <v>41</v>
      </c>
      <c r="C3" s="32"/>
      <c r="D3" s="32"/>
      <c r="E3" s="32"/>
      <c r="F3" s="33"/>
      <c r="G3" s="34"/>
      <c r="H3" s="1"/>
    </row>
    <row r="4" ht="14.25" customHeight="1">
      <c r="B4" s="35" t="s">
        <v>23</v>
      </c>
      <c r="C4" s="36" t="s">
        <v>42</v>
      </c>
      <c r="D4" s="36" t="s">
        <v>43</v>
      </c>
      <c r="E4" s="36" t="s">
        <v>44</v>
      </c>
      <c r="F4" s="36" t="s">
        <v>45</v>
      </c>
      <c r="H4" s="1"/>
    </row>
    <row r="5" ht="14.25" customHeight="1">
      <c r="B5" s="36" t="s">
        <v>46</v>
      </c>
      <c r="C5" s="36" t="s">
        <v>42</v>
      </c>
      <c r="D5" s="36" t="s">
        <v>47</v>
      </c>
      <c r="E5" s="36" t="s">
        <v>44</v>
      </c>
      <c r="F5" s="36" t="s">
        <v>48</v>
      </c>
      <c r="H5" s="1"/>
    </row>
    <row r="6" ht="14.25" customHeight="1">
      <c r="B6" s="36" t="s">
        <v>49</v>
      </c>
      <c r="C6" s="36" t="s">
        <v>42</v>
      </c>
      <c r="D6" s="36" t="s">
        <v>50</v>
      </c>
      <c r="E6" s="36" t="s">
        <v>44</v>
      </c>
      <c r="F6" s="36" t="s">
        <v>51</v>
      </c>
      <c r="H6" s="1"/>
    </row>
    <row r="7" ht="14.25" customHeight="1">
      <c r="B7" s="37" t="s">
        <v>52</v>
      </c>
      <c r="C7" s="37" t="s">
        <v>42</v>
      </c>
      <c r="D7" s="37" t="s">
        <v>53</v>
      </c>
      <c r="E7" s="37" t="s">
        <v>44</v>
      </c>
      <c r="F7" s="37" t="s">
        <v>54</v>
      </c>
      <c r="G7" s="21" t="s">
        <v>55</v>
      </c>
      <c r="H7" s="1"/>
    </row>
    <row r="8" ht="14.25" customHeight="1">
      <c r="B8" s="36" t="s">
        <v>56</v>
      </c>
      <c r="C8" s="36" t="s">
        <v>42</v>
      </c>
      <c r="D8" s="36" t="s">
        <v>57</v>
      </c>
      <c r="E8" s="36" t="s">
        <v>44</v>
      </c>
      <c r="F8" s="36" t="s">
        <v>58</v>
      </c>
      <c r="H8" s="1"/>
    </row>
    <row r="9" ht="14.25" customHeight="1">
      <c r="B9" s="36" t="s">
        <v>59</v>
      </c>
      <c r="C9" s="36" t="s">
        <v>42</v>
      </c>
      <c r="D9" s="36" t="s">
        <v>60</v>
      </c>
      <c r="E9" s="36" t="s">
        <v>44</v>
      </c>
      <c r="F9" s="36" t="s">
        <v>61</v>
      </c>
      <c r="H9" s="1"/>
    </row>
    <row r="10" ht="14.25" customHeight="1">
      <c r="B10" s="36" t="s">
        <v>62</v>
      </c>
      <c r="C10" s="36" t="s">
        <v>42</v>
      </c>
      <c r="D10" s="36" t="s">
        <v>63</v>
      </c>
      <c r="E10" s="36" t="s">
        <v>44</v>
      </c>
      <c r="F10" s="36" t="s">
        <v>64</v>
      </c>
      <c r="H10" s="1"/>
    </row>
    <row r="11" ht="14.25" customHeight="1">
      <c r="B11" s="35" t="s">
        <v>33</v>
      </c>
      <c r="C11" s="36" t="s">
        <v>42</v>
      </c>
      <c r="D11" s="36" t="s">
        <v>65</v>
      </c>
      <c r="E11" s="36" t="s">
        <v>44</v>
      </c>
      <c r="F11" s="36" t="s">
        <v>66</v>
      </c>
      <c r="H11" s="1"/>
    </row>
    <row r="12" ht="14.25" customHeight="1">
      <c r="B12" s="36"/>
      <c r="C12" s="36"/>
      <c r="D12" s="36"/>
      <c r="E12" s="36"/>
      <c r="F12" s="36"/>
      <c r="H12" s="1"/>
    </row>
    <row r="13" ht="14.25" customHeight="1">
      <c r="B13" s="36" t="s">
        <v>67</v>
      </c>
      <c r="C13" s="36" t="s">
        <v>42</v>
      </c>
      <c r="D13" s="36" t="s">
        <v>68</v>
      </c>
      <c r="E13" s="36" t="s">
        <v>44</v>
      </c>
      <c r="F13" s="36" t="s">
        <v>69</v>
      </c>
      <c r="H13" s="1"/>
    </row>
    <row r="14" ht="14.25" customHeight="1">
      <c r="B14" s="36"/>
      <c r="C14" s="36"/>
      <c r="D14" s="36"/>
      <c r="E14" s="36"/>
      <c r="F14" s="36"/>
      <c r="H14" s="1"/>
    </row>
    <row r="15" ht="14.25" customHeight="1">
      <c r="B15" s="36" t="s">
        <v>70</v>
      </c>
      <c r="C15" s="36" t="s">
        <v>42</v>
      </c>
      <c r="D15" s="36" t="s">
        <v>71</v>
      </c>
      <c r="E15" s="36" t="s">
        <v>72</v>
      </c>
      <c r="F15" s="36" t="s">
        <v>73</v>
      </c>
      <c r="H15" s="1"/>
    </row>
    <row r="16" ht="14.25" customHeight="1">
      <c r="B16" s="36" t="s">
        <v>74</v>
      </c>
      <c r="C16" s="36" t="s">
        <v>42</v>
      </c>
      <c r="D16" s="36" t="s">
        <v>75</v>
      </c>
      <c r="E16" s="36" t="s">
        <v>72</v>
      </c>
      <c r="F16" s="36" t="s">
        <v>76</v>
      </c>
      <c r="H16" s="1"/>
    </row>
    <row r="17" ht="14.25" customHeight="1">
      <c r="B17" s="36" t="s">
        <v>77</v>
      </c>
      <c r="C17" s="36" t="s">
        <v>42</v>
      </c>
      <c r="D17" s="36" t="s">
        <v>78</v>
      </c>
      <c r="E17" s="36" t="s">
        <v>72</v>
      </c>
      <c r="F17" s="36" t="s">
        <v>79</v>
      </c>
      <c r="H17" s="1"/>
    </row>
    <row r="18" ht="14.25" customHeight="1">
      <c r="H18" s="1"/>
    </row>
    <row r="19" ht="14.25" customHeight="1">
      <c r="H19" s="1"/>
    </row>
    <row r="20" ht="14.25" customHeight="1">
      <c r="H20" s="1"/>
    </row>
    <row r="21" ht="14.25" customHeight="1">
      <c r="H21" s="1"/>
    </row>
    <row r="22" ht="14.25" customHeight="1">
      <c r="H22" s="1"/>
    </row>
    <row r="23" ht="14.25" customHeight="1">
      <c r="H23" s="1"/>
    </row>
    <row r="24" ht="14.25" customHeight="1">
      <c r="H24" s="1"/>
    </row>
    <row r="25" ht="14.25" customHeight="1">
      <c r="H25" s="1"/>
    </row>
    <row r="26" ht="14.25" customHeight="1">
      <c r="H26" s="1"/>
    </row>
    <row r="27" ht="14.25" customHeight="1">
      <c r="H27" s="1"/>
    </row>
    <row r="28" ht="14.25" customHeight="1">
      <c r="H28" s="1"/>
    </row>
    <row r="29" ht="14.25" customHeight="1">
      <c r="H29" s="1"/>
    </row>
    <row r="30" ht="14.25" customHeight="1">
      <c r="H30" s="1"/>
    </row>
    <row r="31" ht="14.25" customHeight="1">
      <c r="H31" s="1"/>
    </row>
    <row r="32" ht="14.25" customHeight="1">
      <c r="H32" s="1"/>
    </row>
    <row r="33" ht="14.25" customHeight="1">
      <c r="H33" s="1"/>
    </row>
    <row r="34" ht="14.25" customHeight="1">
      <c r="H34" s="1"/>
    </row>
    <row r="35" ht="14.25" customHeight="1">
      <c r="H35" s="1"/>
    </row>
    <row r="36" ht="14.25" customHeight="1">
      <c r="H36" s="1"/>
    </row>
    <row r="37" ht="14.25" customHeight="1">
      <c r="H37" s="1"/>
    </row>
    <row r="38" ht="14.25" customHeight="1">
      <c r="H38" s="1"/>
    </row>
    <row r="39" ht="14.25" customHeight="1">
      <c r="H39" s="1"/>
    </row>
    <row r="40" ht="14.25" customHeight="1">
      <c r="H40" s="1"/>
    </row>
    <row r="41" ht="14.25" customHeight="1">
      <c r="H41" s="1"/>
    </row>
    <row r="42" ht="14.25" customHeight="1">
      <c r="H42" s="1"/>
    </row>
    <row r="43" ht="14.25" customHeight="1">
      <c r="H43" s="1"/>
    </row>
    <row r="44" ht="14.25" customHeight="1">
      <c r="H44" s="1"/>
    </row>
    <row r="45" ht="14.25" customHeight="1">
      <c r="H45" s="1"/>
    </row>
    <row r="46" ht="14.25" customHeight="1">
      <c r="H46" s="1"/>
    </row>
    <row r="47" ht="14.25" customHeight="1">
      <c r="H47" s="1"/>
    </row>
    <row r="48" ht="14.25" customHeight="1">
      <c r="H48" s="1"/>
    </row>
    <row r="49" ht="14.25" customHeight="1">
      <c r="H49" s="1"/>
    </row>
    <row r="50" ht="14.25" customHeight="1">
      <c r="H50" s="1"/>
    </row>
    <row r="51" ht="14.25" customHeight="1">
      <c r="H51" s="1"/>
    </row>
    <row r="52" ht="14.25" customHeight="1">
      <c r="H52" s="1"/>
    </row>
    <row r="53" ht="14.25" customHeight="1">
      <c r="H53" s="1"/>
    </row>
    <row r="54" ht="14.25" customHeight="1">
      <c r="H54" s="1"/>
    </row>
    <row r="55" ht="14.25" customHeight="1">
      <c r="H55" s="1"/>
    </row>
    <row r="56" ht="14.25" customHeight="1">
      <c r="H56" s="1"/>
    </row>
    <row r="57" ht="14.25" customHeight="1">
      <c r="H57" s="1"/>
    </row>
    <row r="58" ht="14.25" customHeight="1">
      <c r="H58" s="1"/>
    </row>
    <row r="59" ht="14.25" customHeight="1">
      <c r="H59" s="1"/>
    </row>
    <row r="60" ht="14.25" customHeight="1">
      <c r="H60" s="1"/>
    </row>
    <row r="61" ht="14.25" customHeight="1">
      <c r="H61" s="1"/>
    </row>
    <row r="62" ht="14.25" customHeight="1">
      <c r="H62" s="1"/>
    </row>
    <row r="63" ht="14.25" customHeight="1">
      <c r="H63" s="1"/>
    </row>
    <row r="64" ht="14.25" customHeight="1">
      <c r="H64" s="1"/>
    </row>
    <row r="65" ht="14.25" customHeight="1">
      <c r="H65" s="1"/>
    </row>
    <row r="66" ht="14.25" customHeight="1">
      <c r="H66" s="1"/>
    </row>
    <row r="67" ht="14.25" customHeight="1">
      <c r="H67" s="1"/>
    </row>
    <row r="68" ht="14.25" customHeight="1">
      <c r="H68" s="1"/>
    </row>
    <row r="69" ht="14.25" customHeight="1">
      <c r="H69" s="1"/>
    </row>
    <row r="70" ht="14.25" customHeight="1">
      <c r="H70" s="1"/>
    </row>
    <row r="71" ht="14.25" customHeight="1">
      <c r="H71" s="1"/>
    </row>
    <row r="72" ht="14.25" customHeight="1">
      <c r="H72" s="1"/>
    </row>
    <row r="73" ht="14.25" customHeight="1">
      <c r="H73" s="1"/>
    </row>
    <row r="74" ht="14.25" customHeight="1">
      <c r="H74" s="1"/>
    </row>
    <row r="75" ht="14.25" customHeight="1">
      <c r="H75" s="1"/>
    </row>
    <row r="76" ht="14.25" customHeight="1">
      <c r="H76" s="1"/>
    </row>
    <row r="77" ht="14.25" customHeight="1">
      <c r="H77" s="1"/>
    </row>
    <row r="78" ht="14.25" customHeight="1">
      <c r="H78" s="1"/>
    </row>
    <row r="79" ht="14.25" customHeight="1">
      <c r="H79" s="1"/>
    </row>
    <row r="80" ht="14.25" customHeight="1">
      <c r="H80" s="1"/>
    </row>
    <row r="81" ht="14.25" customHeight="1">
      <c r="H81" s="1"/>
    </row>
    <row r="82" ht="14.25" customHeight="1">
      <c r="H82" s="1"/>
    </row>
    <row r="83" ht="14.25" customHeight="1">
      <c r="H83" s="1"/>
    </row>
    <row r="84" ht="14.25" customHeight="1">
      <c r="H84" s="1"/>
    </row>
    <row r="85" ht="14.25" customHeight="1">
      <c r="H85" s="1"/>
    </row>
    <row r="86" ht="14.25" customHeight="1">
      <c r="H86" s="1"/>
    </row>
    <row r="87" ht="14.25" customHeight="1">
      <c r="H87" s="1"/>
    </row>
    <row r="88" ht="14.25" customHeight="1">
      <c r="H88" s="1"/>
    </row>
    <row r="89" ht="14.25" customHeight="1">
      <c r="H89" s="1"/>
    </row>
    <row r="90" ht="14.25" customHeight="1">
      <c r="H90" s="1"/>
    </row>
    <row r="91" ht="14.25" customHeight="1">
      <c r="H91" s="1"/>
    </row>
    <row r="92" ht="14.25" customHeight="1">
      <c r="H92" s="1"/>
    </row>
    <row r="93" ht="14.25" customHeight="1">
      <c r="H93" s="1"/>
    </row>
    <row r="94" ht="14.25" customHeight="1">
      <c r="H94" s="1"/>
    </row>
    <row r="95" ht="14.25" customHeight="1">
      <c r="H95" s="1"/>
    </row>
    <row r="96" ht="14.25" customHeight="1">
      <c r="H96" s="1"/>
    </row>
    <row r="97" ht="14.25" customHeight="1">
      <c r="H97" s="1"/>
    </row>
    <row r="98" ht="14.25" customHeight="1">
      <c r="H98" s="1"/>
    </row>
    <row r="99" ht="14.25" customHeight="1">
      <c r="H99" s="1"/>
    </row>
    <row r="100" ht="14.25" customHeight="1">
      <c r="H100" s="1"/>
    </row>
    <row r="101" ht="14.25" customHeight="1">
      <c r="H101" s="1"/>
    </row>
    <row r="102" ht="14.25" customHeight="1">
      <c r="H102" s="1"/>
    </row>
    <row r="103" ht="14.25" customHeight="1">
      <c r="H103" s="1"/>
    </row>
    <row r="104" ht="14.25" customHeight="1">
      <c r="H104" s="1"/>
    </row>
    <row r="105" ht="14.25" customHeight="1">
      <c r="H105" s="1"/>
    </row>
    <row r="106" ht="14.25" customHeight="1">
      <c r="H106" s="1"/>
    </row>
    <row r="107" ht="14.25" customHeight="1">
      <c r="H107" s="1"/>
    </row>
    <row r="108" ht="14.25" customHeight="1">
      <c r="H108" s="1"/>
    </row>
    <row r="109" ht="14.25" customHeight="1">
      <c r="H109" s="1"/>
    </row>
    <row r="110" ht="14.25" customHeight="1">
      <c r="H110" s="1"/>
    </row>
    <row r="111" ht="14.25" customHeight="1">
      <c r="H111" s="1"/>
    </row>
    <row r="112" ht="14.25" customHeight="1">
      <c r="H112" s="1"/>
    </row>
    <row r="113" ht="14.25" customHeight="1">
      <c r="H113" s="1"/>
    </row>
    <row r="114" ht="14.25" customHeight="1">
      <c r="H114" s="1"/>
    </row>
    <row r="115" ht="14.25" customHeight="1">
      <c r="H115" s="1"/>
    </row>
    <row r="116" ht="14.25" customHeight="1">
      <c r="H116" s="1"/>
    </row>
    <row r="117" ht="14.25" customHeight="1">
      <c r="H117" s="1"/>
    </row>
    <row r="118" ht="14.25" customHeight="1">
      <c r="H118" s="1"/>
    </row>
    <row r="119" ht="14.25" customHeight="1">
      <c r="H119" s="1"/>
    </row>
    <row r="120" ht="14.25" customHeight="1">
      <c r="H120" s="1"/>
    </row>
    <row r="121" ht="14.25" customHeight="1">
      <c r="H121" s="1"/>
    </row>
    <row r="122" ht="14.25" customHeight="1">
      <c r="H122" s="1"/>
    </row>
    <row r="123" ht="14.25" customHeight="1">
      <c r="H123" s="1"/>
    </row>
    <row r="124" ht="14.25" customHeight="1">
      <c r="H124" s="1"/>
    </row>
    <row r="125" ht="14.25" customHeight="1">
      <c r="H125" s="1"/>
    </row>
    <row r="126" ht="14.25" customHeight="1">
      <c r="H126" s="1"/>
    </row>
    <row r="127" ht="14.25" customHeight="1">
      <c r="H127" s="1"/>
    </row>
    <row r="128" ht="14.25" customHeight="1">
      <c r="H128" s="1"/>
    </row>
    <row r="129" ht="14.25" customHeight="1">
      <c r="H129" s="1"/>
    </row>
    <row r="130" ht="14.25" customHeight="1">
      <c r="H130" s="1"/>
    </row>
    <row r="131" ht="14.25" customHeight="1">
      <c r="H131" s="1"/>
    </row>
    <row r="132" ht="14.25" customHeight="1">
      <c r="H132" s="1"/>
    </row>
    <row r="133" ht="14.25" customHeight="1">
      <c r="H133" s="1"/>
    </row>
    <row r="134" ht="14.25" customHeight="1">
      <c r="H134" s="1"/>
    </row>
    <row r="135" ht="14.25" customHeight="1">
      <c r="H135" s="1"/>
    </row>
    <row r="136" ht="14.25" customHeight="1">
      <c r="H136" s="1"/>
    </row>
    <row r="137" ht="14.25" customHeight="1">
      <c r="H137" s="1"/>
    </row>
    <row r="138" ht="14.25" customHeight="1">
      <c r="H138" s="1"/>
    </row>
    <row r="139" ht="14.25" customHeight="1">
      <c r="H139" s="1"/>
    </row>
    <row r="140" ht="14.25" customHeight="1">
      <c r="H140" s="1"/>
    </row>
    <row r="141" ht="14.25" customHeight="1">
      <c r="H141" s="1"/>
    </row>
    <row r="142" ht="14.25" customHeight="1">
      <c r="H142" s="1"/>
    </row>
    <row r="143" ht="14.25" customHeight="1">
      <c r="H143" s="1"/>
    </row>
    <row r="144" ht="14.25" customHeight="1">
      <c r="H144" s="1"/>
    </row>
    <row r="145" ht="14.25" customHeight="1">
      <c r="H145" s="1"/>
    </row>
    <row r="146" ht="14.25" customHeight="1">
      <c r="H146" s="1"/>
    </row>
    <row r="147" ht="14.25" customHeight="1">
      <c r="H147" s="1"/>
    </row>
    <row r="148" ht="14.25" customHeight="1">
      <c r="H148" s="1"/>
    </row>
    <row r="149" ht="14.25" customHeight="1">
      <c r="H149" s="1"/>
    </row>
    <row r="150" ht="14.25" customHeight="1">
      <c r="H150" s="1"/>
    </row>
    <row r="151" ht="14.25" customHeight="1">
      <c r="H151" s="1"/>
    </row>
    <row r="152" ht="14.25" customHeight="1">
      <c r="H152" s="1"/>
    </row>
    <row r="153" ht="14.25" customHeight="1">
      <c r="H153" s="1"/>
    </row>
    <row r="154" ht="14.25" customHeight="1">
      <c r="H154" s="1"/>
    </row>
    <row r="155" ht="14.25" customHeight="1">
      <c r="H155" s="1"/>
    </row>
    <row r="156" ht="14.25" customHeight="1">
      <c r="H156" s="1"/>
    </row>
    <row r="157" ht="14.25" customHeight="1">
      <c r="H157" s="1"/>
    </row>
    <row r="158" ht="14.25" customHeight="1">
      <c r="H158" s="1"/>
    </row>
    <row r="159" ht="14.25" customHeight="1">
      <c r="H159" s="1"/>
    </row>
    <row r="160" ht="14.25" customHeight="1">
      <c r="H160" s="1"/>
    </row>
    <row r="161" ht="14.25" customHeight="1">
      <c r="H161" s="1"/>
    </row>
    <row r="162" ht="14.25" customHeight="1">
      <c r="H162" s="1"/>
    </row>
    <row r="163" ht="14.25" customHeight="1">
      <c r="H163" s="1"/>
    </row>
    <row r="164" ht="14.25" customHeight="1">
      <c r="H164" s="1"/>
    </row>
    <row r="165" ht="14.25" customHeight="1">
      <c r="H165" s="1"/>
    </row>
    <row r="166" ht="14.25" customHeight="1">
      <c r="H166" s="1"/>
    </row>
    <row r="167" ht="14.25" customHeight="1">
      <c r="H167" s="1"/>
    </row>
    <row r="168" ht="14.25" customHeight="1">
      <c r="H168" s="1"/>
    </row>
    <row r="169" ht="14.25" customHeight="1">
      <c r="H169" s="1"/>
    </row>
    <row r="170" ht="14.25" customHeight="1">
      <c r="H170" s="1"/>
    </row>
    <row r="171" ht="14.25" customHeight="1">
      <c r="H171" s="1"/>
    </row>
    <row r="172" ht="14.25" customHeight="1">
      <c r="H172" s="1"/>
    </row>
    <row r="173" ht="14.25" customHeight="1">
      <c r="H173" s="1"/>
    </row>
    <row r="174" ht="14.25" customHeight="1">
      <c r="H174" s="1"/>
    </row>
    <row r="175" ht="14.25" customHeight="1">
      <c r="H175" s="1"/>
    </row>
    <row r="176" ht="14.25" customHeight="1">
      <c r="H176" s="1"/>
    </row>
    <row r="177" ht="14.25" customHeight="1">
      <c r="H177" s="1"/>
    </row>
    <row r="178" ht="14.25" customHeight="1">
      <c r="H178" s="1"/>
    </row>
    <row r="179" ht="14.25" customHeight="1">
      <c r="H179" s="1"/>
    </row>
    <row r="180" ht="14.25" customHeight="1">
      <c r="H180" s="1"/>
    </row>
    <row r="181" ht="14.25" customHeight="1">
      <c r="H181" s="1"/>
    </row>
    <row r="182" ht="14.25" customHeight="1">
      <c r="H182" s="1"/>
    </row>
    <row r="183" ht="14.25" customHeight="1">
      <c r="H183" s="1"/>
    </row>
    <row r="184" ht="14.25" customHeight="1">
      <c r="H184" s="1"/>
    </row>
    <row r="185" ht="14.25" customHeight="1">
      <c r="H185" s="1"/>
    </row>
    <row r="186" ht="14.25" customHeight="1">
      <c r="H186" s="1"/>
    </row>
    <row r="187" ht="14.25" customHeight="1">
      <c r="H187" s="1"/>
    </row>
    <row r="188" ht="14.25" customHeight="1">
      <c r="H188" s="1"/>
    </row>
    <row r="189" ht="14.25" customHeight="1">
      <c r="H189" s="1"/>
    </row>
    <row r="190" ht="14.25" customHeight="1">
      <c r="H190" s="1"/>
    </row>
    <row r="191" ht="14.25" customHeight="1">
      <c r="H191" s="1"/>
    </row>
    <row r="192" ht="14.25" customHeight="1">
      <c r="H192" s="1"/>
    </row>
    <row r="193" ht="14.25" customHeight="1">
      <c r="H193" s="1"/>
    </row>
    <row r="194" ht="14.25" customHeight="1">
      <c r="H194" s="1"/>
    </row>
    <row r="195" ht="14.25" customHeight="1">
      <c r="H195" s="1"/>
    </row>
    <row r="196" ht="14.25" customHeight="1">
      <c r="H196" s="1"/>
    </row>
    <row r="197" ht="14.25" customHeight="1">
      <c r="H197" s="1"/>
    </row>
    <row r="198" ht="14.25" customHeight="1">
      <c r="H198" s="1"/>
    </row>
    <row r="199" ht="14.25" customHeight="1">
      <c r="H199" s="1"/>
    </row>
    <row r="200" ht="14.25" customHeight="1">
      <c r="H200" s="1"/>
    </row>
    <row r="201" ht="14.25" customHeight="1">
      <c r="H201" s="1"/>
    </row>
    <row r="202" ht="14.25" customHeight="1">
      <c r="H202" s="1"/>
    </row>
    <row r="203" ht="14.25" customHeight="1">
      <c r="H203" s="1"/>
    </row>
    <row r="204" ht="14.25" customHeight="1">
      <c r="H204" s="1"/>
    </row>
    <row r="205" ht="14.25" customHeight="1">
      <c r="H205" s="1"/>
    </row>
    <row r="206" ht="14.25" customHeight="1">
      <c r="H206" s="1"/>
    </row>
    <row r="207" ht="14.25" customHeight="1">
      <c r="H207" s="1"/>
    </row>
    <row r="208" ht="14.25" customHeight="1">
      <c r="H208" s="1"/>
    </row>
    <row r="209" ht="14.25" customHeight="1">
      <c r="H209" s="1"/>
    </row>
    <row r="210" ht="14.25" customHeight="1">
      <c r="H210" s="1"/>
    </row>
    <row r="211" ht="14.25" customHeight="1">
      <c r="H211" s="1"/>
    </row>
    <row r="212" ht="14.25" customHeight="1">
      <c r="H212" s="1"/>
    </row>
    <row r="213" ht="14.25" customHeight="1">
      <c r="H213" s="1"/>
    </row>
    <row r="214" ht="14.25" customHeight="1">
      <c r="H214" s="1"/>
    </row>
    <row r="215" ht="14.25" customHeight="1">
      <c r="H215" s="1"/>
    </row>
    <row r="216" ht="14.25" customHeight="1">
      <c r="H216" s="1"/>
    </row>
    <row r="217" ht="14.25" customHeight="1">
      <c r="H217" s="1"/>
    </row>
    <row r="218" ht="14.25" customHeight="1">
      <c r="H218" s="1"/>
    </row>
    <row r="219" ht="14.25" customHeight="1">
      <c r="H219" s="1"/>
    </row>
    <row r="220" ht="14.25" customHeight="1">
      <c r="H220" s="1"/>
    </row>
    <row r="221" ht="14.25" customHeight="1">
      <c r="H221" s="1"/>
    </row>
    <row r="222" ht="14.25" customHeight="1">
      <c r="H222" s="1"/>
    </row>
    <row r="223" ht="14.25" customHeight="1">
      <c r="H223" s="1"/>
    </row>
    <row r="224" ht="14.25" customHeight="1">
      <c r="H224" s="1"/>
    </row>
    <row r="225" ht="14.25" customHeight="1">
      <c r="H225" s="1"/>
    </row>
    <row r="226" ht="14.25" customHeight="1">
      <c r="H226" s="1"/>
    </row>
    <row r="227" ht="14.25" customHeight="1">
      <c r="H227" s="1"/>
    </row>
    <row r="228" ht="14.25" customHeight="1">
      <c r="H228" s="1"/>
    </row>
    <row r="229" ht="14.25" customHeight="1">
      <c r="H229" s="1"/>
    </row>
    <row r="230" ht="14.25" customHeight="1">
      <c r="H230" s="1"/>
    </row>
    <row r="231" ht="14.25" customHeight="1">
      <c r="H231" s="1"/>
    </row>
    <row r="232" ht="14.25" customHeight="1">
      <c r="H232" s="1"/>
    </row>
    <row r="233" ht="14.25" customHeight="1">
      <c r="H233" s="1"/>
    </row>
    <row r="234" ht="14.25" customHeight="1">
      <c r="H234" s="1"/>
    </row>
    <row r="235" ht="14.25" customHeight="1">
      <c r="H235" s="1"/>
    </row>
    <row r="236" ht="14.25" customHeight="1">
      <c r="H236" s="1"/>
    </row>
    <row r="237" ht="14.25" customHeight="1">
      <c r="H237" s="1"/>
    </row>
    <row r="238" ht="14.25" customHeight="1">
      <c r="H238" s="1"/>
    </row>
    <row r="239" ht="14.25" customHeight="1">
      <c r="H239" s="1"/>
    </row>
    <row r="240" ht="14.25" customHeight="1">
      <c r="H240" s="1"/>
    </row>
    <row r="241" ht="14.25" customHeight="1">
      <c r="H241" s="1"/>
    </row>
    <row r="242" ht="14.25" customHeight="1">
      <c r="H242" s="1"/>
    </row>
    <row r="243" ht="14.25" customHeight="1">
      <c r="H243" s="1"/>
    </row>
    <row r="244" ht="14.25" customHeight="1">
      <c r="H244" s="1"/>
    </row>
    <row r="245" ht="14.25" customHeight="1">
      <c r="H245" s="1"/>
    </row>
    <row r="246" ht="14.25" customHeight="1">
      <c r="H246" s="1"/>
    </row>
    <row r="247" ht="14.25" customHeight="1">
      <c r="H247" s="1"/>
    </row>
    <row r="248" ht="14.25" customHeight="1">
      <c r="H248" s="1"/>
    </row>
    <row r="249" ht="14.25" customHeight="1">
      <c r="H249" s="1"/>
    </row>
    <row r="250" ht="14.25" customHeight="1">
      <c r="H250" s="1"/>
    </row>
    <row r="251" ht="14.25" customHeight="1">
      <c r="H251" s="1"/>
    </row>
    <row r="252" ht="14.25" customHeight="1">
      <c r="H252" s="1"/>
    </row>
    <row r="253" ht="14.25" customHeight="1">
      <c r="H253" s="1"/>
    </row>
    <row r="254" ht="14.25" customHeight="1">
      <c r="H254" s="1"/>
    </row>
    <row r="255" ht="14.25" customHeight="1">
      <c r="H255" s="1"/>
    </row>
    <row r="256" ht="14.25" customHeight="1">
      <c r="H256" s="1"/>
    </row>
    <row r="257" ht="14.25" customHeight="1">
      <c r="H257" s="1"/>
    </row>
    <row r="258" ht="14.25" customHeight="1">
      <c r="H258" s="1"/>
    </row>
    <row r="259" ht="14.25" customHeight="1">
      <c r="H259" s="1"/>
    </row>
    <row r="260" ht="14.25" customHeight="1">
      <c r="H260" s="1"/>
    </row>
    <row r="261" ht="14.25" customHeight="1">
      <c r="H261" s="1"/>
    </row>
    <row r="262" ht="14.25" customHeight="1">
      <c r="H262" s="1"/>
    </row>
    <row r="263" ht="14.25" customHeight="1">
      <c r="H263" s="1"/>
    </row>
    <row r="264" ht="14.25" customHeight="1">
      <c r="H264" s="1"/>
    </row>
    <row r="265" ht="14.25" customHeight="1">
      <c r="H265" s="1"/>
    </row>
    <row r="266" ht="14.25" customHeight="1">
      <c r="H266" s="1"/>
    </row>
    <row r="267" ht="14.25" customHeight="1">
      <c r="H267" s="1"/>
    </row>
    <row r="268" ht="14.25" customHeight="1">
      <c r="H268" s="1"/>
    </row>
    <row r="269" ht="14.25" customHeight="1">
      <c r="H269" s="1"/>
    </row>
    <row r="270" ht="14.25" customHeight="1">
      <c r="H270" s="1"/>
    </row>
    <row r="271" ht="14.25" customHeight="1">
      <c r="H271" s="1"/>
    </row>
    <row r="272" ht="14.25" customHeight="1">
      <c r="H272" s="1"/>
    </row>
    <row r="273" ht="14.25" customHeight="1">
      <c r="H273" s="1"/>
    </row>
    <row r="274" ht="14.25" customHeight="1">
      <c r="H274" s="1"/>
    </row>
    <row r="275" ht="14.25" customHeight="1">
      <c r="H275" s="1"/>
    </row>
    <row r="276" ht="14.25" customHeight="1">
      <c r="H276" s="1"/>
    </row>
    <row r="277" ht="14.25" customHeight="1">
      <c r="H277" s="1"/>
    </row>
    <row r="278" ht="14.25" customHeight="1">
      <c r="H278" s="1"/>
    </row>
    <row r="279" ht="14.25" customHeight="1">
      <c r="H279" s="1"/>
    </row>
    <row r="280" ht="14.25" customHeight="1">
      <c r="H280" s="1"/>
    </row>
    <row r="281" ht="14.25" customHeight="1">
      <c r="H281" s="1"/>
    </row>
    <row r="282" ht="14.25" customHeight="1">
      <c r="H282" s="1"/>
    </row>
    <row r="283" ht="14.25" customHeight="1">
      <c r="H283" s="1"/>
    </row>
    <row r="284" ht="14.25" customHeight="1">
      <c r="H284" s="1"/>
    </row>
    <row r="285" ht="14.25" customHeight="1">
      <c r="H285" s="1"/>
    </row>
    <row r="286" ht="14.25" customHeight="1">
      <c r="H286" s="1"/>
    </row>
    <row r="287" ht="14.25" customHeight="1">
      <c r="H287" s="1"/>
    </row>
    <row r="288" ht="14.25" customHeight="1">
      <c r="H288" s="1"/>
    </row>
    <row r="289" ht="14.25" customHeight="1">
      <c r="H289" s="1"/>
    </row>
    <row r="290" ht="14.25" customHeight="1">
      <c r="H290" s="1"/>
    </row>
    <row r="291" ht="14.25" customHeight="1">
      <c r="H291" s="1"/>
    </row>
    <row r="292" ht="14.25" customHeight="1">
      <c r="H292" s="1"/>
    </row>
    <row r="293" ht="14.25" customHeight="1">
      <c r="H293" s="1"/>
    </row>
    <row r="294" ht="14.25" customHeight="1">
      <c r="H294" s="1"/>
    </row>
    <row r="295" ht="14.25" customHeight="1">
      <c r="H295" s="1"/>
    </row>
    <row r="296" ht="14.25" customHeight="1">
      <c r="H296" s="1"/>
    </row>
    <row r="297" ht="14.25" customHeight="1">
      <c r="H297" s="1"/>
    </row>
    <row r="298" ht="14.25" customHeight="1">
      <c r="H298" s="1"/>
    </row>
    <row r="299" ht="14.25" customHeight="1">
      <c r="H299" s="1"/>
    </row>
    <row r="300" ht="14.25" customHeight="1">
      <c r="H300" s="1"/>
    </row>
    <row r="301" ht="14.25" customHeight="1">
      <c r="H301" s="1"/>
    </row>
    <row r="302" ht="14.25" customHeight="1">
      <c r="H302" s="1"/>
    </row>
    <row r="303" ht="14.25" customHeight="1">
      <c r="H303" s="1"/>
    </row>
    <row r="304" ht="14.25" customHeight="1">
      <c r="H304" s="1"/>
    </row>
    <row r="305" ht="14.25" customHeight="1">
      <c r="H305" s="1"/>
    </row>
    <row r="306" ht="14.25" customHeight="1">
      <c r="H306" s="1"/>
    </row>
    <row r="307" ht="14.25" customHeight="1">
      <c r="H307" s="1"/>
    </row>
    <row r="308" ht="14.25" customHeight="1">
      <c r="H308" s="1"/>
    </row>
    <row r="309" ht="14.25" customHeight="1">
      <c r="H309" s="1"/>
    </row>
    <row r="310" ht="14.25" customHeight="1">
      <c r="H310" s="1"/>
    </row>
    <row r="311" ht="14.25" customHeight="1">
      <c r="H311" s="1"/>
    </row>
    <row r="312" ht="14.25" customHeight="1">
      <c r="H312" s="1"/>
    </row>
    <row r="313" ht="14.25" customHeight="1">
      <c r="H313" s="1"/>
    </row>
    <row r="314" ht="14.25" customHeight="1">
      <c r="H314" s="1"/>
    </row>
    <row r="315" ht="14.25" customHeight="1">
      <c r="H315" s="1"/>
    </row>
    <row r="316" ht="14.25" customHeight="1">
      <c r="H316" s="1"/>
    </row>
    <row r="317" ht="14.25" customHeight="1">
      <c r="H317" s="1"/>
    </row>
    <row r="318" ht="14.25" customHeight="1">
      <c r="H318" s="1"/>
    </row>
    <row r="319" ht="14.25" customHeight="1">
      <c r="H319" s="1"/>
    </row>
    <row r="320" ht="14.25" customHeight="1">
      <c r="H320" s="1"/>
    </row>
    <row r="321" ht="14.25" customHeight="1">
      <c r="H321" s="1"/>
    </row>
    <row r="322" ht="14.25" customHeight="1">
      <c r="H322" s="1"/>
    </row>
    <row r="323" ht="14.25" customHeight="1">
      <c r="H323" s="1"/>
    </row>
    <row r="324" ht="14.25" customHeight="1">
      <c r="H324" s="1"/>
    </row>
    <row r="325" ht="14.25" customHeight="1">
      <c r="H325" s="1"/>
    </row>
    <row r="326" ht="14.25" customHeight="1">
      <c r="H326" s="1"/>
    </row>
    <row r="327" ht="14.25" customHeight="1">
      <c r="H327" s="1"/>
    </row>
    <row r="328" ht="14.25" customHeight="1">
      <c r="H328" s="1"/>
    </row>
    <row r="329" ht="14.25" customHeight="1">
      <c r="H329" s="1"/>
    </row>
    <row r="330" ht="14.25" customHeight="1">
      <c r="H330" s="1"/>
    </row>
    <row r="331" ht="14.25" customHeight="1">
      <c r="H331" s="1"/>
    </row>
    <row r="332" ht="14.25" customHeight="1">
      <c r="H332" s="1"/>
    </row>
    <row r="333" ht="14.25" customHeight="1">
      <c r="H333" s="1"/>
    </row>
    <row r="334" ht="14.25" customHeight="1">
      <c r="H334" s="1"/>
    </row>
    <row r="335" ht="14.25" customHeight="1">
      <c r="H335" s="1"/>
    </row>
    <row r="336" ht="14.25" customHeight="1">
      <c r="H336" s="1"/>
    </row>
    <row r="337" ht="14.25" customHeight="1">
      <c r="H337" s="1"/>
    </row>
    <row r="338" ht="14.25" customHeight="1">
      <c r="H338" s="1"/>
    </row>
    <row r="339" ht="14.25" customHeight="1">
      <c r="H339" s="1"/>
    </row>
    <row r="340" ht="14.25" customHeight="1">
      <c r="H340" s="1"/>
    </row>
    <row r="341" ht="14.25" customHeight="1">
      <c r="H341" s="1"/>
    </row>
    <row r="342" ht="14.25" customHeight="1">
      <c r="H342" s="1"/>
    </row>
    <row r="343" ht="14.25" customHeight="1">
      <c r="H343" s="1"/>
    </row>
    <row r="344" ht="14.25" customHeight="1">
      <c r="H344" s="1"/>
    </row>
    <row r="345" ht="14.25" customHeight="1">
      <c r="H345" s="1"/>
    </row>
    <row r="346" ht="14.25" customHeight="1">
      <c r="H346" s="1"/>
    </row>
    <row r="347" ht="14.25" customHeight="1">
      <c r="H347" s="1"/>
    </row>
    <row r="348" ht="14.25" customHeight="1">
      <c r="H348" s="1"/>
    </row>
    <row r="349" ht="14.25" customHeight="1">
      <c r="H349" s="1"/>
    </row>
    <row r="350" ht="14.25" customHeight="1">
      <c r="H350" s="1"/>
    </row>
    <row r="351" ht="14.25" customHeight="1">
      <c r="H351" s="1"/>
    </row>
    <row r="352" ht="14.25" customHeight="1">
      <c r="H352" s="1"/>
    </row>
    <row r="353" ht="14.25" customHeight="1">
      <c r="H353" s="1"/>
    </row>
    <row r="354" ht="14.25" customHeight="1">
      <c r="H354" s="1"/>
    </row>
    <row r="355" ht="14.25" customHeight="1">
      <c r="H355" s="1"/>
    </row>
    <row r="356" ht="14.25" customHeight="1">
      <c r="H356" s="1"/>
    </row>
    <row r="357" ht="14.25" customHeight="1">
      <c r="H357" s="1"/>
    </row>
    <row r="358" ht="14.25" customHeight="1">
      <c r="H358" s="1"/>
    </row>
    <row r="359" ht="14.25" customHeight="1">
      <c r="H359" s="1"/>
    </row>
    <row r="360" ht="14.25" customHeight="1">
      <c r="H360" s="1"/>
    </row>
    <row r="361" ht="14.25" customHeight="1">
      <c r="H361" s="1"/>
    </row>
    <row r="362" ht="14.25" customHeight="1">
      <c r="H362" s="1"/>
    </row>
    <row r="363" ht="14.25" customHeight="1">
      <c r="H363" s="1"/>
    </row>
    <row r="364" ht="14.25" customHeight="1">
      <c r="H364" s="1"/>
    </row>
    <row r="365" ht="14.25" customHeight="1">
      <c r="H365" s="1"/>
    </row>
    <row r="366" ht="14.25" customHeight="1">
      <c r="H366" s="1"/>
    </row>
    <row r="367" ht="14.25" customHeight="1">
      <c r="H367" s="1"/>
    </row>
    <row r="368" ht="14.25" customHeight="1">
      <c r="H368" s="1"/>
    </row>
    <row r="369" ht="14.25" customHeight="1">
      <c r="H369" s="1"/>
    </row>
    <row r="370" ht="14.25" customHeight="1">
      <c r="H370" s="1"/>
    </row>
    <row r="371" ht="14.25" customHeight="1">
      <c r="H371" s="1"/>
    </row>
    <row r="372" ht="14.25" customHeight="1">
      <c r="H372" s="1"/>
    </row>
    <row r="373" ht="14.25" customHeight="1">
      <c r="H373" s="1"/>
    </row>
    <row r="374" ht="14.25" customHeight="1">
      <c r="H374" s="1"/>
    </row>
    <row r="375" ht="14.25" customHeight="1">
      <c r="H375" s="1"/>
    </row>
    <row r="376" ht="14.25" customHeight="1">
      <c r="H376" s="1"/>
    </row>
    <row r="377" ht="14.25" customHeight="1">
      <c r="H377" s="1"/>
    </row>
    <row r="378" ht="14.25" customHeight="1">
      <c r="H378" s="1"/>
    </row>
    <row r="379" ht="14.25" customHeight="1">
      <c r="H379" s="1"/>
    </row>
    <row r="380" ht="14.25" customHeight="1">
      <c r="H380" s="1"/>
    </row>
    <row r="381" ht="14.25" customHeight="1">
      <c r="H381" s="1"/>
    </row>
    <row r="382" ht="14.25" customHeight="1">
      <c r="H382" s="1"/>
    </row>
    <row r="383" ht="14.25" customHeight="1">
      <c r="H383" s="1"/>
    </row>
    <row r="384" ht="14.25" customHeight="1">
      <c r="H384" s="1"/>
    </row>
    <row r="385" ht="14.25" customHeight="1">
      <c r="H385" s="1"/>
    </row>
    <row r="386" ht="14.25" customHeight="1">
      <c r="H386" s="1"/>
    </row>
    <row r="387" ht="14.25" customHeight="1">
      <c r="H387" s="1"/>
    </row>
    <row r="388" ht="14.25" customHeight="1">
      <c r="H388" s="1"/>
    </row>
    <row r="389" ht="14.25" customHeight="1">
      <c r="H389" s="1"/>
    </row>
    <row r="390" ht="14.25" customHeight="1">
      <c r="H390" s="1"/>
    </row>
    <row r="391" ht="14.25" customHeight="1">
      <c r="H391" s="1"/>
    </row>
    <row r="392" ht="14.25" customHeight="1">
      <c r="H392" s="1"/>
    </row>
    <row r="393" ht="14.25" customHeight="1">
      <c r="H393" s="1"/>
    </row>
    <row r="394" ht="14.25" customHeight="1">
      <c r="H394" s="1"/>
    </row>
    <row r="395" ht="14.25" customHeight="1">
      <c r="H395" s="1"/>
    </row>
    <row r="396" ht="14.25" customHeight="1">
      <c r="H396" s="1"/>
    </row>
    <row r="397" ht="14.25" customHeight="1">
      <c r="H397" s="1"/>
    </row>
    <row r="398" ht="14.25" customHeight="1">
      <c r="H398" s="1"/>
    </row>
    <row r="399" ht="14.25" customHeight="1">
      <c r="H399" s="1"/>
    </row>
    <row r="400" ht="14.25" customHeight="1">
      <c r="H400" s="1"/>
    </row>
    <row r="401" ht="14.25" customHeight="1">
      <c r="H401" s="1"/>
    </row>
    <row r="402" ht="14.25" customHeight="1">
      <c r="H402" s="1"/>
    </row>
    <row r="403" ht="14.25" customHeight="1">
      <c r="H403" s="1"/>
    </row>
    <row r="404" ht="14.25" customHeight="1">
      <c r="H404" s="1"/>
    </row>
    <row r="405" ht="14.25" customHeight="1">
      <c r="H405" s="1"/>
    </row>
    <row r="406" ht="14.25" customHeight="1">
      <c r="H406" s="1"/>
    </row>
    <row r="407" ht="14.25" customHeight="1">
      <c r="H407" s="1"/>
    </row>
    <row r="408" ht="14.25" customHeight="1">
      <c r="H408" s="1"/>
    </row>
    <row r="409" ht="14.25" customHeight="1">
      <c r="H409" s="1"/>
    </row>
    <row r="410" ht="14.25" customHeight="1">
      <c r="H410" s="1"/>
    </row>
    <row r="411" ht="14.25" customHeight="1">
      <c r="H411" s="1"/>
    </row>
    <row r="412" ht="14.25" customHeight="1">
      <c r="H412" s="1"/>
    </row>
    <row r="413" ht="14.25" customHeight="1">
      <c r="H413" s="1"/>
    </row>
    <row r="414" ht="14.25" customHeight="1">
      <c r="H414" s="1"/>
    </row>
    <row r="415" ht="14.25" customHeight="1">
      <c r="H415" s="1"/>
    </row>
    <row r="416" ht="14.25" customHeight="1">
      <c r="H416" s="1"/>
    </row>
    <row r="417" ht="14.25" customHeight="1">
      <c r="H417" s="1"/>
    </row>
    <row r="418" ht="14.25" customHeight="1">
      <c r="H418" s="1"/>
    </row>
    <row r="419" ht="14.25" customHeight="1">
      <c r="H419" s="1"/>
    </row>
    <row r="420" ht="14.25" customHeight="1">
      <c r="H420" s="1"/>
    </row>
    <row r="421" ht="14.25" customHeight="1">
      <c r="H421" s="1"/>
    </row>
    <row r="422" ht="14.25" customHeight="1">
      <c r="H422" s="1"/>
    </row>
    <row r="423" ht="14.25" customHeight="1">
      <c r="H423" s="1"/>
    </row>
    <row r="424" ht="14.25" customHeight="1">
      <c r="H424" s="1"/>
    </row>
    <row r="425" ht="14.25" customHeight="1">
      <c r="H425" s="1"/>
    </row>
    <row r="426" ht="14.25" customHeight="1">
      <c r="H426" s="1"/>
    </row>
    <row r="427" ht="14.25" customHeight="1">
      <c r="H427" s="1"/>
    </row>
    <row r="428" ht="14.25" customHeight="1">
      <c r="H428" s="1"/>
    </row>
    <row r="429" ht="14.25" customHeight="1">
      <c r="H429" s="1"/>
    </row>
    <row r="430" ht="14.25" customHeight="1">
      <c r="H430" s="1"/>
    </row>
    <row r="431" ht="14.25" customHeight="1">
      <c r="H431" s="1"/>
    </row>
    <row r="432" ht="14.25" customHeight="1">
      <c r="H432" s="1"/>
    </row>
    <row r="433" ht="14.25" customHeight="1">
      <c r="H433" s="1"/>
    </row>
    <row r="434" ht="14.25" customHeight="1">
      <c r="H434" s="1"/>
    </row>
    <row r="435" ht="14.25" customHeight="1">
      <c r="H435" s="1"/>
    </row>
    <row r="436" ht="14.25" customHeight="1">
      <c r="H436" s="1"/>
    </row>
    <row r="437" ht="14.25" customHeight="1">
      <c r="H437" s="1"/>
    </row>
    <row r="438" ht="14.25" customHeight="1">
      <c r="H438" s="1"/>
    </row>
    <row r="439" ht="14.25" customHeight="1">
      <c r="H439" s="1"/>
    </row>
    <row r="440" ht="14.25" customHeight="1">
      <c r="H440" s="1"/>
    </row>
    <row r="441" ht="14.25" customHeight="1">
      <c r="H441" s="1"/>
    </row>
    <row r="442" ht="14.25" customHeight="1">
      <c r="H442" s="1"/>
    </row>
    <row r="443" ht="14.25" customHeight="1">
      <c r="H443" s="1"/>
    </row>
    <row r="444" ht="14.25" customHeight="1">
      <c r="H444" s="1"/>
    </row>
    <row r="445" ht="14.25" customHeight="1">
      <c r="H445" s="1"/>
    </row>
    <row r="446" ht="14.25" customHeight="1">
      <c r="H446" s="1"/>
    </row>
    <row r="447" ht="14.25" customHeight="1">
      <c r="H447" s="1"/>
    </row>
    <row r="448" ht="14.25" customHeight="1">
      <c r="H448" s="1"/>
    </row>
    <row r="449" ht="14.25" customHeight="1">
      <c r="H449" s="1"/>
    </row>
    <row r="450" ht="14.25" customHeight="1">
      <c r="H450" s="1"/>
    </row>
    <row r="451" ht="14.25" customHeight="1">
      <c r="H451" s="1"/>
    </row>
    <row r="452" ht="14.25" customHeight="1">
      <c r="H452" s="1"/>
    </row>
    <row r="453" ht="14.25" customHeight="1">
      <c r="H453" s="1"/>
    </row>
    <row r="454" ht="14.25" customHeight="1">
      <c r="H454" s="1"/>
    </row>
    <row r="455" ht="14.25" customHeight="1">
      <c r="H455" s="1"/>
    </row>
    <row r="456" ht="14.25" customHeight="1">
      <c r="H456" s="1"/>
    </row>
    <row r="457" ht="14.25" customHeight="1">
      <c r="H457" s="1"/>
    </row>
    <row r="458" ht="14.25" customHeight="1">
      <c r="H458" s="1"/>
    </row>
    <row r="459" ht="14.25" customHeight="1">
      <c r="H459" s="1"/>
    </row>
    <row r="460" ht="14.25" customHeight="1">
      <c r="H460" s="1"/>
    </row>
    <row r="461" ht="14.25" customHeight="1">
      <c r="H461" s="1"/>
    </row>
    <row r="462" ht="14.25" customHeight="1">
      <c r="H462" s="1"/>
    </row>
    <row r="463" ht="14.25" customHeight="1">
      <c r="H463" s="1"/>
    </row>
    <row r="464" ht="14.25" customHeight="1">
      <c r="H464" s="1"/>
    </row>
    <row r="465" ht="14.25" customHeight="1">
      <c r="H465" s="1"/>
    </row>
    <row r="466" ht="14.25" customHeight="1">
      <c r="H466" s="1"/>
    </row>
    <row r="467" ht="14.25" customHeight="1">
      <c r="H467" s="1"/>
    </row>
    <row r="468" ht="14.25" customHeight="1">
      <c r="H468" s="1"/>
    </row>
    <row r="469" ht="14.25" customHeight="1">
      <c r="H469" s="1"/>
    </row>
    <row r="470" ht="14.25" customHeight="1">
      <c r="H470" s="1"/>
    </row>
    <row r="471" ht="14.25" customHeight="1">
      <c r="H471" s="1"/>
    </row>
    <row r="472" ht="14.25" customHeight="1">
      <c r="H472" s="1"/>
    </row>
    <row r="473" ht="14.25" customHeight="1">
      <c r="H473" s="1"/>
    </row>
    <row r="474" ht="14.25" customHeight="1">
      <c r="H474" s="1"/>
    </row>
    <row r="475" ht="14.25" customHeight="1">
      <c r="H475" s="1"/>
    </row>
    <row r="476" ht="14.25" customHeight="1">
      <c r="H476" s="1"/>
    </row>
    <row r="477" ht="14.25" customHeight="1">
      <c r="H477" s="1"/>
    </row>
    <row r="478" ht="14.25" customHeight="1">
      <c r="H478" s="1"/>
    </row>
    <row r="479" ht="14.25" customHeight="1">
      <c r="H479" s="1"/>
    </row>
    <row r="480" ht="14.25" customHeight="1">
      <c r="H480" s="1"/>
    </row>
    <row r="481" ht="14.25" customHeight="1">
      <c r="H481" s="1"/>
    </row>
    <row r="482" ht="14.25" customHeight="1">
      <c r="H482" s="1"/>
    </row>
    <row r="483" ht="14.25" customHeight="1">
      <c r="H483" s="1"/>
    </row>
    <row r="484" ht="14.25" customHeight="1">
      <c r="H484" s="1"/>
    </row>
    <row r="485" ht="14.25" customHeight="1">
      <c r="H485" s="1"/>
    </row>
    <row r="486" ht="14.25" customHeight="1">
      <c r="H486" s="1"/>
    </row>
    <row r="487" ht="14.25" customHeight="1">
      <c r="H487" s="1"/>
    </row>
    <row r="488" ht="14.25" customHeight="1">
      <c r="H488" s="1"/>
    </row>
    <row r="489" ht="14.25" customHeight="1">
      <c r="H489" s="1"/>
    </row>
    <row r="490" ht="14.25" customHeight="1">
      <c r="H490" s="1"/>
    </row>
    <row r="491" ht="14.25" customHeight="1">
      <c r="H491" s="1"/>
    </row>
    <row r="492" ht="14.25" customHeight="1">
      <c r="H492" s="1"/>
    </row>
    <row r="493" ht="14.25" customHeight="1">
      <c r="H493" s="1"/>
    </row>
    <row r="494" ht="14.25" customHeight="1">
      <c r="H494" s="1"/>
    </row>
    <row r="495" ht="14.25" customHeight="1">
      <c r="H495" s="1"/>
    </row>
    <row r="496" ht="14.25" customHeight="1">
      <c r="H496" s="1"/>
    </row>
    <row r="497" ht="14.25" customHeight="1">
      <c r="H497" s="1"/>
    </row>
    <row r="498" ht="14.25" customHeight="1">
      <c r="H498" s="1"/>
    </row>
    <row r="499" ht="14.25" customHeight="1">
      <c r="H499" s="1"/>
    </row>
    <row r="500" ht="14.25" customHeight="1">
      <c r="H500" s="1"/>
    </row>
    <row r="501" ht="14.25" customHeight="1">
      <c r="H501" s="1"/>
    </row>
    <row r="502" ht="14.25" customHeight="1">
      <c r="H502" s="1"/>
    </row>
    <row r="503" ht="14.25" customHeight="1">
      <c r="H503" s="1"/>
    </row>
    <row r="504" ht="14.25" customHeight="1">
      <c r="H504" s="1"/>
    </row>
    <row r="505" ht="14.25" customHeight="1">
      <c r="H505" s="1"/>
    </row>
    <row r="506" ht="14.25" customHeight="1">
      <c r="H506" s="1"/>
    </row>
    <row r="507" ht="14.25" customHeight="1">
      <c r="H507" s="1"/>
    </row>
    <row r="508" ht="14.25" customHeight="1">
      <c r="H508" s="1"/>
    </row>
    <row r="509" ht="14.25" customHeight="1">
      <c r="H509" s="1"/>
    </row>
    <row r="510" ht="14.25" customHeight="1">
      <c r="H510" s="1"/>
    </row>
    <row r="511" ht="14.25" customHeight="1">
      <c r="H511" s="1"/>
    </row>
    <row r="512" ht="14.25" customHeight="1">
      <c r="H512" s="1"/>
    </row>
    <row r="513" ht="14.25" customHeight="1">
      <c r="H513" s="1"/>
    </row>
    <row r="514" ht="14.25" customHeight="1">
      <c r="H514" s="1"/>
    </row>
    <row r="515" ht="14.25" customHeight="1">
      <c r="H515" s="1"/>
    </row>
    <row r="516" ht="14.25" customHeight="1">
      <c r="H516" s="1"/>
    </row>
    <row r="517" ht="14.25" customHeight="1">
      <c r="H517" s="1"/>
    </row>
    <row r="518" ht="14.25" customHeight="1">
      <c r="H518" s="1"/>
    </row>
    <row r="519" ht="14.25" customHeight="1">
      <c r="H519" s="1"/>
    </row>
    <row r="520" ht="14.25" customHeight="1">
      <c r="H520" s="1"/>
    </row>
    <row r="521" ht="14.25" customHeight="1">
      <c r="H521" s="1"/>
    </row>
    <row r="522" ht="14.25" customHeight="1">
      <c r="H522" s="1"/>
    </row>
    <row r="523" ht="14.25" customHeight="1">
      <c r="H523" s="1"/>
    </row>
    <row r="524" ht="14.25" customHeight="1">
      <c r="H524" s="1"/>
    </row>
    <row r="525" ht="14.25" customHeight="1">
      <c r="H525" s="1"/>
    </row>
    <row r="526" ht="14.25" customHeight="1">
      <c r="H526" s="1"/>
    </row>
    <row r="527" ht="14.25" customHeight="1">
      <c r="H527" s="1"/>
    </row>
    <row r="528" ht="14.25" customHeight="1">
      <c r="H528" s="1"/>
    </row>
    <row r="529" ht="14.25" customHeight="1">
      <c r="H529" s="1"/>
    </row>
    <row r="530" ht="14.25" customHeight="1">
      <c r="H530" s="1"/>
    </row>
    <row r="531" ht="14.25" customHeight="1">
      <c r="H531" s="1"/>
    </row>
    <row r="532" ht="14.25" customHeight="1">
      <c r="H532" s="1"/>
    </row>
    <row r="533" ht="14.25" customHeight="1">
      <c r="H533" s="1"/>
    </row>
    <row r="534" ht="14.25" customHeight="1">
      <c r="H534" s="1"/>
    </row>
    <row r="535" ht="14.25" customHeight="1">
      <c r="H535" s="1"/>
    </row>
    <row r="536" ht="14.25" customHeight="1">
      <c r="H536" s="1"/>
    </row>
    <row r="537" ht="14.25" customHeight="1">
      <c r="H537" s="1"/>
    </row>
    <row r="538" ht="14.25" customHeight="1">
      <c r="H538" s="1"/>
    </row>
    <row r="539" ht="14.25" customHeight="1">
      <c r="H539" s="1"/>
    </row>
    <row r="540" ht="14.25" customHeight="1">
      <c r="H540" s="1"/>
    </row>
    <row r="541" ht="14.25" customHeight="1">
      <c r="H541" s="1"/>
    </row>
    <row r="542" ht="14.25" customHeight="1">
      <c r="H542" s="1"/>
    </row>
    <row r="543" ht="14.25" customHeight="1">
      <c r="H543" s="1"/>
    </row>
    <row r="544" ht="14.25" customHeight="1">
      <c r="H544" s="1"/>
    </row>
    <row r="545" ht="14.25" customHeight="1">
      <c r="H545" s="1"/>
    </row>
    <row r="546" ht="14.25" customHeight="1">
      <c r="H546" s="1"/>
    </row>
    <row r="547" ht="14.25" customHeight="1">
      <c r="H547" s="1"/>
    </row>
    <row r="548" ht="14.25" customHeight="1">
      <c r="H548" s="1"/>
    </row>
    <row r="549" ht="14.25" customHeight="1">
      <c r="H549" s="1"/>
    </row>
    <row r="550" ht="14.25" customHeight="1">
      <c r="H550" s="1"/>
    </row>
    <row r="551" ht="14.25" customHeight="1">
      <c r="H551" s="1"/>
    </row>
    <row r="552" ht="14.25" customHeight="1">
      <c r="H552" s="1"/>
    </row>
    <row r="553" ht="14.25" customHeight="1">
      <c r="H553" s="1"/>
    </row>
    <row r="554" ht="14.25" customHeight="1">
      <c r="H554" s="1"/>
    </row>
    <row r="555" ht="14.25" customHeight="1">
      <c r="H555" s="1"/>
    </row>
    <row r="556" ht="14.25" customHeight="1">
      <c r="H556" s="1"/>
    </row>
    <row r="557" ht="14.25" customHeight="1">
      <c r="H557" s="1"/>
    </row>
    <row r="558" ht="14.25" customHeight="1">
      <c r="H558" s="1"/>
    </row>
    <row r="559" ht="14.25" customHeight="1">
      <c r="H559" s="1"/>
    </row>
    <row r="560" ht="14.25" customHeight="1">
      <c r="H560" s="1"/>
    </row>
    <row r="561" ht="14.25" customHeight="1">
      <c r="H561" s="1"/>
    </row>
    <row r="562" ht="14.25" customHeight="1">
      <c r="H562" s="1"/>
    </row>
    <row r="563" ht="14.25" customHeight="1">
      <c r="H563" s="1"/>
    </row>
    <row r="564" ht="14.25" customHeight="1">
      <c r="H564" s="1"/>
    </row>
    <row r="565" ht="14.25" customHeight="1">
      <c r="H565" s="1"/>
    </row>
    <row r="566" ht="14.25" customHeight="1">
      <c r="H566" s="1"/>
    </row>
    <row r="567" ht="14.25" customHeight="1">
      <c r="H567" s="1"/>
    </row>
    <row r="568" ht="14.25" customHeight="1">
      <c r="H568" s="1"/>
    </row>
    <row r="569" ht="14.25" customHeight="1">
      <c r="H569" s="1"/>
    </row>
    <row r="570" ht="14.25" customHeight="1">
      <c r="H570" s="1"/>
    </row>
    <row r="571" ht="14.25" customHeight="1">
      <c r="H571" s="1"/>
    </row>
    <row r="572" ht="14.25" customHeight="1">
      <c r="H572" s="1"/>
    </row>
    <row r="573" ht="14.25" customHeight="1">
      <c r="H573" s="1"/>
    </row>
    <row r="574" ht="14.25" customHeight="1">
      <c r="H574" s="1"/>
    </row>
    <row r="575" ht="14.25" customHeight="1">
      <c r="H575" s="1"/>
    </row>
    <row r="576" ht="14.25" customHeight="1">
      <c r="H576" s="1"/>
    </row>
    <row r="577" ht="14.25" customHeight="1">
      <c r="H577" s="1"/>
    </row>
    <row r="578" ht="14.25" customHeight="1">
      <c r="H578" s="1"/>
    </row>
    <row r="579" ht="14.25" customHeight="1">
      <c r="H579" s="1"/>
    </row>
    <row r="580" ht="14.25" customHeight="1">
      <c r="H580" s="1"/>
    </row>
    <row r="581" ht="14.25" customHeight="1">
      <c r="H581" s="1"/>
    </row>
    <row r="582" ht="14.25" customHeight="1">
      <c r="H582" s="1"/>
    </row>
    <row r="583" ht="14.25" customHeight="1">
      <c r="H583" s="1"/>
    </row>
    <row r="584" ht="14.25" customHeight="1">
      <c r="H584" s="1"/>
    </row>
    <row r="585" ht="14.25" customHeight="1">
      <c r="H585" s="1"/>
    </row>
    <row r="586" ht="14.25" customHeight="1">
      <c r="H586" s="1"/>
    </row>
    <row r="587" ht="14.25" customHeight="1">
      <c r="H587" s="1"/>
    </row>
    <row r="588" ht="14.25" customHeight="1">
      <c r="H588" s="1"/>
    </row>
    <row r="589" ht="14.25" customHeight="1">
      <c r="H589" s="1"/>
    </row>
    <row r="590" ht="14.25" customHeight="1">
      <c r="H590" s="1"/>
    </row>
    <row r="591" ht="14.25" customHeight="1">
      <c r="H591" s="1"/>
    </row>
    <row r="592" ht="14.25" customHeight="1">
      <c r="H592" s="1"/>
    </row>
    <row r="593" ht="14.25" customHeight="1">
      <c r="H593" s="1"/>
    </row>
    <row r="594" ht="14.25" customHeight="1">
      <c r="H594" s="1"/>
    </row>
    <row r="595" ht="14.25" customHeight="1">
      <c r="H595" s="1"/>
    </row>
    <row r="596" ht="14.25" customHeight="1">
      <c r="H596" s="1"/>
    </row>
    <row r="597" ht="14.25" customHeight="1">
      <c r="H597" s="1"/>
    </row>
    <row r="598" ht="14.25" customHeight="1">
      <c r="H598" s="1"/>
    </row>
    <row r="599" ht="14.25" customHeight="1">
      <c r="H599" s="1"/>
    </row>
    <row r="600" ht="14.25" customHeight="1">
      <c r="H600" s="1"/>
    </row>
    <row r="601" ht="14.25" customHeight="1">
      <c r="H601" s="1"/>
    </row>
    <row r="602" ht="14.25" customHeight="1">
      <c r="H602" s="1"/>
    </row>
    <row r="603" ht="14.25" customHeight="1">
      <c r="H603" s="1"/>
    </row>
    <row r="604" ht="14.25" customHeight="1">
      <c r="H604" s="1"/>
    </row>
    <row r="605" ht="14.25" customHeight="1">
      <c r="H605" s="1"/>
    </row>
    <row r="606" ht="14.25" customHeight="1">
      <c r="H606" s="1"/>
    </row>
    <row r="607" ht="14.25" customHeight="1">
      <c r="H607" s="1"/>
    </row>
    <row r="608" ht="14.25" customHeight="1">
      <c r="H608" s="1"/>
    </row>
    <row r="609" ht="14.25" customHeight="1">
      <c r="H609" s="1"/>
    </row>
    <row r="610" ht="14.25" customHeight="1">
      <c r="H610" s="1"/>
    </row>
    <row r="611" ht="14.25" customHeight="1">
      <c r="H611" s="1"/>
    </row>
    <row r="612" ht="14.25" customHeight="1">
      <c r="H612" s="1"/>
    </row>
    <row r="613" ht="14.25" customHeight="1">
      <c r="H613" s="1"/>
    </row>
    <row r="614" ht="14.25" customHeight="1">
      <c r="H614" s="1"/>
    </row>
    <row r="615" ht="14.25" customHeight="1">
      <c r="H615" s="1"/>
    </row>
    <row r="616" ht="14.25" customHeight="1">
      <c r="H616" s="1"/>
    </row>
    <row r="617" ht="14.25" customHeight="1">
      <c r="H617" s="1"/>
    </row>
    <row r="618" ht="14.25" customHeight="1">
      <c r="H618" s="1"/>
    </row>
    <row r="619" ht="14.25" customHeight="1">
      <c r="H619" s="1"/>
    </row>
    <row r="620" ht="14.25" customHeight="1">
      <c r="H620" s="1"/>
    </row>
    <row r="621" ht="14.25" customHeight="1">
      <c r="H621" s="1"/>
    </row>
    <row r="622" ht="14.25" customHeight="1">
      <c r="H622" s="1"/>
    </row>
    <row r="623" ht="14.25" customHeight="1">
      <c r="H623" s="1"/>
    </row>
    <row r="624" ht="14.25" customHeight="1">
      <c r="H624" s="1"/>
    </row>
    <row r="625" ht="14.25" customHeight="1">
      <c r="H625" s="1"/>
    </row>
    <row r="626" ht="14.25" customHeight="1">
      <c r="H626" s="1"/>
    </row>
    <row r="627" ht="14.25" customHeight="1">
      <c r="H627" s="1"/>
    </row>
    <row r="628" ht="14.25" customHeight="1">
      <c r="H628" s="1"/>
    </row>
    <row r="629" ht="14.25" customHeight="1">
      <c r="H629" s="1"/>
    </row>
    <row r="630" ht="14.25" customHeight="1">
      <c r="H630" s="1"/>
    </row>
    <row r="631" ht="14.25" customHeight="1">
      <c r="H631" s="1"/>
    </row>
    <row r="632" ht="14.25" customHeight="1">
      <c r="H632" s="1"/>
    </row>
    <row r="633" ht="14.25" customHeight="1">
      <c r="H633" s="1"/>
    </row>
    <row r="634" ht="14.25" customHeight="1">
      <c r="H634" s="1"/>
    </row>
    <row r="635" ht="14.25" customHeight="1">
      <c r="H635" s="1"/>
    </row>
    <row r="636" ht="14.25" customHeight="1">
      <c r="H636" s="1"/>
    </row>
    <row r="637" ht="14.25" customHeight="1">
      <c r="H637" s="1"/>
    </row>
    <row r="638" ht="14.25" customHeight="1">
      <c r="H638" s="1"/>
    </row>
    <row r="639" ht="14.25" customHeight="1">
      <c r="H639" s="1"/>
    </row>
    <row r="640" ht="14.25" customHeight="1">
      <c r="H640" s="1"/>
    </row>
    <row r="641" ht="14.25" customHeight="1">
      <c r="H641" s="1"/>
    </row>
    <row r="642" ht="14.25" customHeight="1">
      <c r="H642" s="1"/>
    </row>
    <row r="643" ht="14.25" customHeight="1">
      <c r="H643" s="1"/>
    </row>
    <row r="644" ht="14.25" customHeight="1">
      <c r="H644" s="1"/>
    </row>
    <row r="645" ht="14.25" customHeight="1">
      <c r="H645" s="1"/>
    </row>
    <row r="646" ht="14.25" customHeight="1">
      <c r="H646" s="1"/>
    </row>
    <row r="647" ht="14.25" customHeight="1">
      <c r="H647" s="1"/>
    </row>
    <row r="648" ht="14.25" customHeight="1">
      <c r="H648" s="1"/>
    </row>
    <row r="649" ht="14.25" customHeight="1">
      <c r="H649" s="1"/>
    </row>
    <row r="650" ht="14.25" customHeight="1">
      <c r="H650" s="1"/>
    </row>
    <row r="651" ht="14.25" customHeight="1">
      <c r="H651" s="1"/>
    </row>
    <row r="652" ht="14.25" customHeight="1">
      <c r="H652" s="1"/>
    </row>
    <row r="653" ht="14.25" customHeight="1">
      <c r="H653" s="1"/>
    </row>
    <row r="654" ht="14.25" customHeight="1">
      <c r="H654" s="1"/>
    </row>
    <row r="655" ht="14.25" customHeight="1">
      <c r="H655" s="1"/>
    </row>
    <row r="656" ht="14.25" customHeight="1">
      <c r="H656" s="1"/>
    </row>
    <row r="657" ht="14.25" customHeight="1">
      <c r="H657" s="1"/>
    </row>
    <row r="658" ht="14.25" customHeight="1">
      <c r="H658" s="1"/>
    </row>
    <row r="659" ht="14.25" customHeight="1">
      <c r="H659" s="1"/>
    </row>
    <row r="660" ht="14.25" customHeight="1">
      <c r="H660" s="1"/>
    </row>
    <row r="661" ht="14.25" customHeight="1">
      <c r="H661" s="1"/>
    </row>
    <row r="662" ht="14.25" customHeight="1">
      <c r="H662" s="1"/>
    </row>
    <row r="663" ht="14.25" customHeight="1">
      <c r="H663" s="1"/>
    </row>
    <row r="664" ht="14.25" customHeight="1">
      <c r="H664" s="1"/>
    </row>
    <row r="665" ht="14.25" customHeight="1">
      <c r="H665" s="1"/>
    </row>
    <row r="666" ht="14.25" customHeight="1">
      <c r="H666" s="1"/>
    </row>
    <row r="667" ht="14.25" customHeight="1">
      <c r="H667" s="1"/>
    </row>
    <row r="668" ht="14.25" customHeight="1">
      <c r="H668" s="1"/>
    </row>
    <row r="669" ht="14.25" customHeight="1">
      <c r="H669" s="1"/>
    </row>
    <row r="670" ht="14.25" customHeight="1">
      <c r="H670" s="1"/>
    </row>
    <row r="671" ht="14.25" customHeight="1">
      <c r="H671" s="1"/>
    </row>
    <row r="672" ht="14.25" customHeight="1">
      <c r="H672" s="1"/>
    </row>
    <row r="673" ht="14.25" customHeight="1">
      <c r="H673" s="1"/>
    </row>
    <row r="674" ht="14.25" customHeight="1">
      <c r="H674" s="1"/>
    </row>
    <row r="675" ht="14.25" customHeight="1">
      <c r="H675" s="1"/>
    </row>
    <row r="676" ht="14.25" customHeight="1">
      <c r="H676" s="1"/>
    </row>
    <row r="677" ht="14.25" customHeight="1">
      <c r="H677" s="1"/>
    </row>
    <row r="678" ht="14.25" customHeight="1">
      <c r="H678" s="1"/>
    </row>
    <row r="679" ht="14.25" customHeight="1">
      <c r="H679" s="1"/>
    </row>
    <row r="680" ht="14.25" customHeight="1">
      <c r="H680" s="1"/>
    </row>
    <row r="681" ht="14.25" customHeight="1">
      <c r="H681" s="1"/>
    </row>
    <row r="682" ht="14.25" customHeight="1">
      <c r="H682" s="1"/>
    </row>
    <row r="683" ht="14.25" customHeight="1">
      <c r="H683" s="1"/>
    </row>
    <row r="684" ht="14.25" customHeight="1">
      <c r="H684" s="1"/>
    </row>
    <row r="685" ht="14.25" customHeight="1">
      <c r="H685" s="1"/>
    </row>
    <row r="686" ht="14.25" customHeight="1">
      <c r="H686" s="1"/>
    </row>
    <row r="687" ht="14.25" customHeight="1">
      <c r="H687" s="1"/>
    </row>
    <row r="688" ht="14.25" customHeight="1">
      <c r="H688" s="1"/>
    </row>
    <row r="689" ht="14.25" customHeight="1">
      <c r="H689" s="1"/>
    </row>
    <row r="690" ht="14.25" customHeight="1">
      <c r="H690" s="1"/>
    </row>
    <row r="691" ht="14.25" customHeight="1">
      <c r="H691" s="1"/>
    </row>
    <row r="692" ht="14.25" customHeight="1">
      <c r="H692" s="1"/>
    </row>
    <row r="693" ht="14.25" customHeight="1">
      <c r="H693" s="1"/>
    </row>
    <row r="694" ht="14.25" customHeight="1">
      <c r="H694" s="1"/>
    </row>
    <row r="695" ht="14.25" customHeight="1">
      <c r="H695" s="1"/>
    </row>
    <row r="696" ht="14.25" customHeight="1">
      <c r="H696" s="1"/>
    </row>
    <row r="697" ht="14.25" customHeight="1">
      <c r="H697" s="1"/>
    </row>
    <row r="698" ht="14.25" customHeight="1">
      <c r="H698" s="1"/>
    </row>
    <row r="699" ht="14.25" customHeight="1">
      <c r="H699" s="1"/>
    </row>
    <row r="700" ht="14.25" customHeight="1">
      <c r="H700" s="1"/>
    </row>
    <row r="701" ht="14.25" customHeight="1">
      <c r="H701" s="1"/>
    </row>
    <row r="702" ht="14.25" customHeight="1">
      <c r="H702" s="1"/>
    </row>
    <row r="703" ht="14.25" customHeight="1">
      <c r="H703" s="1"/>
    </row>
    <row r="704" ht="14.25" customHeight="1">
      <c r="H704" s="1"/>
    </row>
    <row r="705" ht="14.25" customHeight="1">
      <c r="H705" s="1"/>
    </row>
    <row r="706" ht="14.25" customHeight="1">
      <c r="H706" s="1"/>
    </row>
    <row r="707" ht="14.25" customHeight="1">
      <c r="H707" s="1"/>
    </row>
    <row r="708" ht="14.25" customHeight="1">
      <c r="H708" s="1"/>
    </row>
    <row r="709" ht="14.25" customHeight="1">
      <c r="H709" s="1"/>
    </row>
    <row r="710" ht="14.25" customHeight="1">
      <c r="H710" s="1"/>
    </row>
    <row r="711" ht="14.25" customHeight="1">
      <c r="H711" s="1"/>
    </row>
    <row r="712" ht="14.25" customHeight="1">
      <c r="H712" s="1"/>
    </row>
    <row r="713" ht="14.25" customHeight="1">
      <c r="H713" s="1"/>
    </row>
    <row r="714" ht="14.25" customHeight="1">
      <c r="H714" s="1"/>
    </row>
    <row r="715" ht="14.25" customHeight="1">
      <c r="H715" s="1"/>
    </row>
    <row r="716" ht="14.25" customHeight="1">
      <c r="H716" s="1"/>
    </row>
    <row r="717" ht="14.25" customHeight="1">
      <c r="H717" s="1"/>
    </row>
    <row r="718" ht="14.25" customHeight="1">
      <c r="H718" s="1"/>
    </row>
    <row r="719" ht="14.25" customHeight="1">
      <c r="H719" s="1"/>
    </row>
    <row r="720" ht="14.25" customHeight="1">
      <c r="H720" s="1"/>
    </row>
    <row r="721" ht="14.25" customHeight="1">
      <c r="H721" s="1"/>
    </row>
    <row r="722" ht="14.25" customHeight="1">
      <c r="H722" s="1"/>
    </row>
    <row r="723" ht="14.25" customHeight="1">
      <c r="H723" s="1"/>
    </row>
    <row r="724" ht="14.25" customHeight="1">
      <c r="H724" s="1"/>
    </row>
    <row r="725" ht="14.25" customHeight="1">
      <c r="H725" s="1"/>
    </row>
    <row r="726" ht="14.25" customHeight="1">
      <c r="H726" s="1"/>
    </row>
    <row r="727" ht="14.25" customHeight="1">
      <c r="H727" s="1"/>
    </row>
    <row r="728" ht="14.25" customHeight="1">
      <c r="H728" s="1"/>
    </row>
    <row r="729" ht="14.25" customHeight="1">
      <c r="H729" s="1"/>
    </row>
    <row r="730" ht="14.25" customHeight="1">
      <c r="H730" s="1"/>
    </row>
    <row r="731" ht="14.25" customHeight="1">
      <c r="H731" s="1"/>
    </row>
    <row r="732" ht="14.25" customHeight="1">
      <c r="H732" s="1"/>
    </row>
    <row r="733" ht="14.25" customHeight="1">
      <c r="H733" s="1"/>
    </row>
    <row r="734" ht="14.25" customHeight="1">
      <c r="H734" s="1"/>
    </row>
    <row r="735" ht="14.25" customHeight="1">
      <c r="H735" s="1"/>
    </row>
    <row r="736" ht="14.25" customHeight="1">
      <c r="H736" s="1"/>
    </row>
    <row r="737" ht="14.25" customHeight="1">
      <c r="H737" s="1"/>
    </row>
    <row r="738" ht="14.25" customHeight="1">
      <c r="H738" s="1"/>
    </row>
    <row r="739" ht="14.25" customHeight="1">
      <c r="H739" s="1"/>
    </row>
    <row r="740" ht="14.25" customHeight="1">
      <c r="H740" s="1"/>
    </row>
    <row r="741" ht="14.25" customHeight="1">
      <c r="H741" s="1"/>
    </row>
    <row r="742" ht="14.25" customHeight="1">
      <c r="H742" s="1"/>
    </row>
    <row r="743" ht="14.25" customHeight="1">
      <c r="H743" s="1"/>
    </row>
    <row r="744" ht="14.25" customHeight="1">
      <c r="H744" s="1"/>
    </row>
    <row r="745" ht="14.25" customHeight="1">
      <c r="H745" s="1"/>
    </row>
    <row r="746" ht="14.25" customHeight="1">
      <c r="H746" s="1"/>
    </row>
    <row r="747" ht="14.25" customHeight="1">
      <c r="H747" s="1"/>
    </row>
    <row r="748" ht="14.25" customHeight="1">
      <c r="H748" s="1"/>
    </row>
    <row r="749" ht="14.25" customHeight="1">
      <c r="H749" s="1"/>
    </row>
    <row r="750" ht="14.25" customHeight="1">
      <c r="H750" s="1"/>
    </row>
    <row r="751" ht="14.25" customHeight="1">
      <c r="H751" s="1"/>
    </row>
    <row r="752" ht="14.25" customHeight="1">
      <c r="H752" s="1"/>
    </row>
    <row r="753" ht="14.25" customHeight="1">
      <c r="H753" s="1"/>
    </row>
    <row r="754" ht="14.25" customHeight="1">
      <c r="H754" s="1"/>
    </row>
    <row r="755" ht="14.25" customHeight="1">
      <c r="H755" s="1"/>
    </row>
    <row r="756" ht="14.25" customHeight="1">
      <c r="H756" s="1"/>
    </row>
    <row r="757" ht="14.25" customHeight="1">
      <c r="H757" s="1"/>
    </row>
    <row r="758" ht="14.25" customHeight="1">
      <c r="H758" s="1"/>
    </row>
    <row r="759" ht="14.25" customHeight="1">
      <c r="H759" s="1"/>
    </row>
    <row r="760" ht="14.25" customHeight="1">
      <c r="H760" s="1"/>
    </row>
    <row r="761" ht="14.25" customHeight="1">
      <c r="H761" s="1"/>
    </row>
    <row r="762" ht="14.25" customHeight="1">
      <c r="H762" s="1"/>
    </row>
    <row r="763" ht="14.25" customHeight="1">
      <c r="H763" s="1"/>
    </row>
    <row r="764" ht="14.25" customHeight="1">
      <c r="H764" s="1"/>
    </row>
    <row r="765" ht="14.25" customHeight="1">
      <c r="H765" s="1"/>
    </row>
    <row r="766" ht="14.25" customHeight="1">
      <c r="H766" s="1"/>
    </row>
    <row r="767" ht="14.25" customHeight="1">
      <c r="H767" s="1"/>
    </row>
    <row r="768" ht="14.25" customHeight="1">
      <c r="H768" s="1"/>
    </row>
    <row r="769" ht="14.25" customHeight="1">
      <c r="H769" s="1"/>
    </row>
    <row r="770" ht="14.25" customHeight="1">
      <c r="H770" s="1"/>
    </row>
    <row r="771" ht="14.25" customHeight="1">
      <c r="H771" s="1"/>
    </row>
    <row r="772" ht="14.25" customHeight="1">
      <c r="H772" s="1"/>
    </row>
    <row r="773" ht="14.25" customHeight="1">
      <c r="H773" s="1"/>
    </row>
    <row r="774" ht="14.25" customHeight="1">
      <c r="H774" s="1"/>
    </row>
    <row r="775" ht="14.25" customHeight="1">
      <c r="H775" s="1"/>
    </row>
    <row r="776" ht="14.25" customHeight="1">
      <c r="H776" s="1"/>
    </row>
    <row r="777" ht="14.25" customHeight="1">
      <c r="H777" s="1"/>
    </row>
    <row r="778" ht="14.25" customHeight="1">
      <c r="H778" s="1"/>
    </row>
    <row r="779" ht="14.25" customHeight="1">
      <c r="H779" s="1"/>
    </row>
    <row r="780" ht="14.25" customHeight="1">
      <c r="H780" s="1"/>
    </row>
    <row r="781" ht="14.25" customHeight="1">
      <c r="H781" s="1"/>
    </row>
    <row r="782" ht="14.25" customHeight="1">
      <c r="H782" s="1"/>
    </row>
    <row r="783" ht="14.25" customHeight="1">
      <c r="H783" s="1"/>
    </row>
    <row r="784" ht="14.25" customHeight="1">
      <c r="H784" s="1"/>
    </row>
    <row r="785" ht="14.25" customHeight="1">
      <c r="H785" s="1"/>
    </row>
    <row r="786" ht="14.25" customHeight="1">
      <c r="H786" s="1"/>
    </row>
    <row r="787" ht="14.25" customHeight="1">
      <c r="H787" s="1"/>
    </row>
    <row r="788" ht="14.25" customHeight="1">
      <c r="H788" s="1"/>
    </row>
    <row r="789" ht="14.25" customHeight="1">
      <c r="H789" s="1"/>
    </row>
    <row r="790" ht="14.25" customHeight="1">
      <c r="H790" s="1"/>
    </row>
    <row r="791" ht="14.25" customHeight="1">
      <c r="H791" s="1"/>
    </row>
    <row r="792" ht="14.25" customHeight="1">
      <c r="H792" s="1"/>
    </row>
    <row r="793" ht="14.25" customHeight="1">
      <c r="H793" s="1"/>
    </row>
    <row r="794" ht="14.25" customHeight="1">
      <c r="H794" s="1"/>
    </row>
    <row r="795" ht="14.25" customHeight="1">
      <c r="H795" s="1"/>
    </row>
    <row r="796" ht="14.25" customHeight="1">
      <c r="H796" s="1"/>
    </row>
    <row r="797" ht="14.25" customHeight="1">
      <c r="H797" s="1"/>
    </row>
    <row r="798" ht="14.25" customHeight="1">
      <c r="H798" s="1"/>
    </row>
    <row r="799" ht="14.25" customHeight="1">
      <c r="H799" s="1"/>
    </row>
    <row r="800" ht="14.25" customHeight="1">
      <c r="H800" s="1"/>
    </row>
    <row r="801" ht="14.25" customHeight="1">
      <c r="H801" s="1"/>
    </row>
    <row r="802" ht="14.25" customHeight="1">
      <c r="H802" s="1"/>
    </row>
    <row r="803" ht="14.25" customHeight="1">
      <c r="H803" s="1"/>
    </row>
    <row r="804" ht="14.25" customHeight="1">
      <c r="H804" s="1"/>
    </row>
    <row r="805" ht="14.25" customHeight="1">
      <c r="H805" s="1"/>
    </row>
    <row r="806" ht="14.25" customHeight="1">
      <c r="H806" s="1"/>
    </row>
    <row r="807" ht="14.25" customHeight="1">
      <c r="H807" s="1"/>
    </row>
    <row r="808" ht="14.25" customHeight="1">
      <c r="H808" s="1"/>
    </row>
    <row r="809" ht="14.25" customHeight="1">
      <c r="H809" s="1"/>
    </row>
    <row r="810" ht="14.25" customHeight="1">
      <c r="H810" s="1"/>
    </row>
    <row r="811" ht="14.25" customHeight="1">
      <c r="H811" s="1"/>
    </row>
    <row r="812" ht="14.25" customHeight="1">
      <c r="H812" s="1"/>
    </row>
    <row r="813" ht="14.25" customHeight="1">
      <c r="H813" s="1"/>
    </row>
    <row r="814" ht="14.25" customHeight="1">
      <c r="H814" s="1"/>
    </row>
    <row r="815" ht="14.25" customHeight="1">
      <c r="H815" s="1"/>
    </row>
    <row r="816" ht="14.25" customHeight="1">
      <c r="H816" s="1"/>
    </row>
    <row r="817" ht="14.25" customHeight="1">
      <c r="H817" s="1"/>
    </row>
    <row r="818" ht="14.25" customHeight="1">
      <c r="H818" s="1"/>
    </row>
    <row r="819" ht="14.25" customHeight="1">
      <c r="H819" s="1"/>
    </row>
    <row r="820" ht="14.25" customHeight="1">
      <c r="H820" s="1"/>
    </row>
    <row r="821" ht="14.25" customHeight="1">
      <c r="H821" s="1"/>
    </row>
    <row r="822" ht="14.25" customHeight="1">
      <c r="H822" s="1"/>
    </row>
    <row r="823" ht="14.25" customHeight="1">
      <c r="H823" s="1"/>
    </row>
    <row r="824" ht="14.25" customHeight="1">
      <c r="H824" s="1"/>
    </row>
    <row r="825" ht="14.25" customHeight="1">
      <c r="H825" s="1"/>
    </row>
    <row r="826" ht="14.25" customHeight="1">
      <c r="H826" s="1"/>
    </row>
    <row r="827" ht="14.25" customHeight="1">
      <c r="H827" s="1"/>
    </row>
    <row r="828" ht="14.25" customHeight="1">
      <c r="H828" s="1"/>
    </row>
    <row r="829" ht="14.25" customHeight="1">
      <c r="H829" s="1"/>
    </row>
    <row r="830" ht="14.25" customHeight="1">
      <c r="H830" s="1"/>
    </row>
    <row r="831" ht="14.25" customHeight="1">
      <c r="H831" s="1"/>
    </row>
    <row r="832" ht="14.25" customHeight="1">
      <c r="H832" s="1"/>
    </row>
    <row r="833" ht="14.25" customHeight="1">
      <c r="H833" s="1"/>
    </row>
    <row r="834" ht="14.25" customHeight="1">
      <c r="H834" s="1"/>
    </row>
    <row r="835" ht="14.25" customHeight="1">
      <c r="H835" s="1"/>
    </row>
    <row r="836" ht="14.25" customHeight="1">
      <c r="H836" s="1"/>
    </row>
    <row r="837" ht="14.25" customHeight="1">
      <c r="H837" s="1"/>
    </row>
    <row r="838" ht="14.25" customHeight="1">
      <c r="H838" s="1"/>
    </row>
    <row r="839" ht="14.25" customHeight="1">
      <c r="H839" s="1"/>
    </row>
    <row r="840" ht="14.25" customHeight="1">
      <c r="H840" s="1"/>
    </row>
    <row r="841" ht="14.25" customHeight="1">
      <c r="H841" s="1"/>
    </row>
    <row r="842" ht="14.25" customHeight="1">
      <c r="H842" s="1"/>
    </row>
    <row r="843" ht="14.25" customHeight="1">
      <c r="H843" s="1"/>
    </row>
    <row r="844" ht="14.25" customHeight="1">
      <c r="H844" s="1"/>
    </row>
    <row r="845" ht="14.25" customHeight="1">
      <c r="H845" s="1"/>
    </row>
    <row r="846" ht="14.25" customHeight="1">
      <c r="H846" s="1"/>
    </row>
    <row r="847" ht="14.25" customHeight="1">
      <c r="H847" s="1"/>
    </row>
    <row r="848" ht="14.25" customHeight="1">
      <c r="H848" s="1"/>
    </row>
    <row r="849" ht="14.25" customHeight="1">
      <c r="H849" s="1"/>
    </row>
    <row r="850" ht="14.25" customHeight="1">
      <c r="H850" s="1"/>
    </row>
    <row r="851" ht="14.25" customHeight="1">
      <c r="H851" s="1"/>
    </row>
    <row r="852" ht="14.25" customHeight="1">
      <c r="H852" s="1"/>
    </row>
    <row r="853" ht="14.25" customHeight="1">
      <c r="H853" s="1"/>
    </row>
    <row r="854" ht="14.25" customHeight="1">
      <c r="H854" s="1"/>
    </row>
    <row r="855" ht="14.25" customHeight="1">
      <c r="H855" s="1"/>
    </row>
    <row r="856" ht="14.25" customHeight="1">
      <c r="H856" s="1"/>
    </row>
    <row r="857" ht="14.25" customHeight="1">
      <c r="H857" s="1"/>
    </row>
    <row r="858" ht="14.25" customHeight="1">
      <c r="H858" s="1"/>
    </row>
    <row r="859" ht="14.25" customHeight="1">
      <c r="H859" s="1"/>
    </row>
    <row r="860" ht="14.25" customHeight="1">
      <c r="H860" s="1"/>
    </row>
    <row r="861" ht="14.25" customHeight="1">
      <c r="H861" s="1"/>
    </row>
    <row r="862" ht="14.25" customHeight="1">
      <c r="H862" s="1"/>
    </row>
    <row r="863" ht="14.25" customHeight="1">
      <c r="H863" s="1"/>
    </row>
    <row r="864" ht="14.25" customHeight="1">
      <c r="H864" s="1"/>
    </row>
    <row r="865" ht="14.25" customHeight="1">
      <c r="H865" s="1"/>
    </row>
    <row r="866" ht="14.25" customHeight="1">
      <c r="H866" s="1"/>
    </row>
    <row r="867" ht="14.25" customHeight="1">
      <c r="H867" s="1"/>
    </row>
    <row r="868" ht="14.25" customHeight="1">
      <c r="H868" s="1"/>
    </row>
    <row r="869" ht="14.25" customHeight="1">
      <c r="H869" s="1"/>
    </row>
    <row r="870" ht="14.25" customHeight="1">
      <c r="H870" s="1"/>
    </row>
    <row r="871" ht="14.25" customHeight="1">
      <c r="H871" s="1"/>
    </row>
    <row r="872" ht="14.25" customHeight="1">
      <c r="H872" s="1"/>
    </row>
    <row r="873" ht="14.25" customHeight="1">
      <c r="H873" s="1"/>
    </row>
    <row r="874" ht="14.25" customHeight="1">
      <c r="H874" s="1"/>
    </row>
    <row r="875" ht="14.25" customHeight="1">
      <c r="H875" s="1"/>
    </row>
    <row r="876" ht="14.25" customHeight="1">
      <c r="H876" s="1"/>
    </row>
    <row r="877" ht="14.25" customHeight="1">
      <c r="H877" s="1"/>
    </row>
    <row r="878" ht="14.25" customHeight="1">
      <c r="H878" s="1"/>
    </row>
    <row r="879" ht="14.25" customHeight="1">
      <c r="H879" s="1"/>
    </row>
    <row r="880" ht="14.25" customHeight="1">
      <c r="H880" s="1"/>
    </row>
    <row r="881" ht="14.25" customHeight="1">
      <c r="H881" s="1"/>
    </row>
    <row r="882" ht="14.25" customHeight="1">
      <c r="H882" s="1"/>
    </row>
    <row r="883" ht="14.25" customHeight="1">
      <c r="H883" s="1"/>
    </row>
    <row r="884" ht="14.25" customHeight="1">
      <c r="H884" s="1"/>
    </row>
    <row r="885" ht="14.25" customHeight="1">
      <c r="H885" s="1"/>
    </row>
    <row r="886" ht="14.25" customHeight="1">
      <c r="H886" s="1"/>
    </row>
    <row r="887" ht="14.25" customHeight="1">
      <c r="H887" s="1"/>
    </row>
    <row r="888" ht="14.25" customHeight="1">
      <c r="H888" s="1"/>
    </row>
    <row r="889" ht="14.25" customHeight="1">
      <c r="H889" s="1"/>
    </row>
    <row r="890" ht="14.25" customHeight="1">
      <c r="H890" s="1"/>
    </row>
    <row r="891" ht="14.25" customHeight="1">
      <c r="H891" s="1"/>
    </row>
    <row r="892" ht="14.25" customHeight="1">
      <c r="H892" s="1"/>
    </row>
    <row r="893" ht="14.25" customHeight="1">
      <c r="H893" s="1"/>
    </row>
    <row r="894" ht="14.25" customHeight="1">
      <c r="H894" s="1"/>
    </row>
    <row r="895" ht="14.25" customHeight="1">
      <c r="H895" s="1"/>
    </row>
    <row r="896" ht="14.25" customHeight="1">
      <c r="H896" s="1"/>
    </row>
    <row r="897" ht="14.25" customHeight="1">
      <c r="H897" s="1"/>
    </row>
    <row r="898" ht="14.25" customHeight="1">
      <c r="H898" s="1"/>
    </row>
    <row r="899" ht="14.25" customHeight="1">
      <c r="H899" s="1"/>
    </row>
    <row r="900" ht="14.25" customHeight="1">
      <c r="H900" s="1"/>
    </row>
    <row r="901" ht="14.25" customHeight="1">
      <c r="H901" s="1"/>
    </row>
    <row r="902" ht="14.25" customHeight="1">
      <c r="H902" s="1"/>
    </row>
    <row r="903" ht="14.25" customHeight="1">
      <c r="H903" s="1"/>
    </row>
    <row r="904" ht="14.25" customHeight="1">
      <c r="H904" s="1"/>
    </row>
    <row r="905" ht="14.25" customHeight="1">
      <c r="H905" s="1"/>
    </row>
    <row r="906" ht="14.25" customHeight="1">
      <c r="H906" s="1"/>
    </row>
    <row r="907" ht="14.25" customHeight="1">
      <c r="H907" s="1"/>
    </row>
    <row r="908" ht="14.25" customHeight="1">
      <c r="H908" s="1"/>
    </row>
    <row r="909" ht="14.25" customHeight="1">
      <c r="H909" s="1"/>
    </row>
    <row r="910" ht="14.25" customHeight="1">
      <c r="H910" s="1"/>
    </row>
    <row r="911" ht="14.25" customHeight="1">
      <c r="H911" s="1"/>
    </row>
    <row r="912" ht="14.25" customHeight="1">
      <c r="H912" s="1"/>
    </row>
    <row r="913" ht="14.25" customHeight="1">
      <c r="H913" s="1"/>
    </row>
    <row r="914" ht="14.25" customHeight="1">
      <c r="H914" s="1"/>
    </row>
    <row r="915" ht="14.25" customHeight="1">
      <c r="H915" s="1"/>
    </row>
    <row r="916" ht="14.25" customHeight="1">
      <c r="H916" s="1"/>
    </row>
    <row r="917" ht="14.25" customHeight="1">
      <c r="H917" s="1"/>
    </row>
    <row r="918" ht="14.25" customHeight="1">
      <c r="H918" s="1"/>
    </row>
    <row r="919" ht="14.25" customHeight="1">
      <c r="H919" s="1"/>
    </row>
    <row r="920" ht="14.25" customHeight="1">
      <c r="H920" s="1"/>
    </row>
    <row r="921" ht="14.25" customHeight="1">
      <c r="H921" s="1"/>
    </row>
    <row r="922" ht="14.25" customHeight="1">
      <c r="H922" s="1"/>
    </row>
    <row r="923" ht="14.25" customHeight="1">
      <c r="H923" s="1"/>
    </row>
    <row r="924" ht="14.25" customHeight="1">
      <c r="H924" s="1"/>
    </row>
    <row r="925" ht="14.25" customHeight="1">
      <c r="H925" s="1"/>
    </row>
    <row r="926" ht="14.25" customHeight="1">
      <c r="H926" s="1"/>
    </row>
    <row r="927" ht="14.25" customHeight="1">
      <c r="H927" s="1"/>
    </row>
    <row r="928" ht="14.25" customHeight="1">
      <c r="H928" s="1"/>
    </row>
    <row r="929" ht="14.25" customHeight="1">
      <c r="H929" s="1"/>
    </row>
    <row r="930" ht="14.25" customHeight="1">
      <c r="H930" s="1"/>
    </row>
    <row r="931" ht="14.25" customHeight="1">
      <c r="H931" s="1"/>
    </row>
    <row r="932" ht="14.25" customHeight="1">
      <c r="H932" s="1"/>
    </row>
    <row r="933" ht="14.25" customHeight="1">
      <c r="H933" s="1"/>
    </row>
    <row r="934" ht="14.25" customHeight="1">
      <c r="H934" s="1"/>
    </row>
    <row r="935" ht="14.25" customHeight="1">
      <c r="H935" s="1"/>
    </row>
    <row r="936" ht="14.25" customHeight="1">
      <c r="H936" s="1"/>
    </row>
    <row r="937" ht="14.25" customHeight="1">
      <c r="H937" s="1"/>
    </row>
    <row r="938" ht="14.25" customHeight="1">
      <c r="H938" s="1"/>
    </row>
    <row r="939" ht="14.25" customHeight="1">
      <c r="H939" s="1"/>
    </row>
    <row r="940" ht="14.25" customHeight="1">
      <c r="H940" s="1"/>
    </row>
    <row r="941" ht="14.25" customHeight="1">
      <c r="H941" s="1"/>
    </row>
    <row r="942" ht="14.25" customHeight="1">
      <c r="H942" s="1"/>
    </row>
    <row r="943" ht="14.25" customHeight="1">
      <c r="H943" s="1"/>
    </row>
    <row r="944" ht="14.25" customHeight="1">
      <c r="H944" s="1"/>
    </row>
    <row r="945" ht="14.25" customHeight="1">
      <c r="H945" s="1"/>
    </row>
    <row r="946" ht="14.25" customHeight="1">
      <c r="H946" s="1"/>
    </row>
    <row r="947" ht="14.25" customHeight="1">
      <c r="H947" s="1"/>
    </row>
    <row r="948" ht="14.25" customHeight="1">
      <c r="H948" s="1"/>
    </row>
    <row r="949" ht="14.25" customHeight="1">
      <c r="H949" s="1"/>
    </row>
    <row r="950" ht="14.25" customHeight="1">
      <c r="H950" s="1"/>
    </row>
    <row r="951" ht="14.25" customHeight="1">
      <c r="H951" s="1"/>
    </row>
    <row r="952" ht="14.25" customHeight="1">
      <c r="H952" s="1"/>
    </row>
    <row r="953" ht="14.25" customHeight="1">
      <c r="H953" s="1"/>
    </row>
    <row r="954" ht="14.25" customHeight="1">
      <c r="H954" s="1"/>
    </row>
    <row r="955" ht="14.25" customHeight="1">
      <c r="H955" s="1"/>
    </row>
    <row r="956" ht="14.25" customHeight="1">
      <c r="H956" s="1"/>
    </row>
    <row r="957" ht="14.25" customHeight="1">
      <c r="H957" s="1"/>
    </row>
    <row r="958" ht="14.25" customHeight="1">
      <c r="H958" s="1"/>
    </row>
    <row r="959" ht="14.25" customHeight="1">
      <c r="H959" s="1"/>
    </row>
    <row r="960" ht="14.25" customHeight="1">
      <c r="H960" s="1"/>
    </row>
    <row r="961" ht="14.25" customHeight="1">
      <c r="H961" s="1"/>
    </row>
    <row r="962" ht="14.25" customHeight="1">
      <c r="H962" s="1"/>
    </row>
    <row r="963" ht="14.25" customHeight="1">
      <c r="H963" s="1"/>
    </row>
    <row r="964" ht="14.25" customHeight="1">
      <c r="H964" s="1"/>
    </row>
    <row r="965" ht="14.25" customHeight="1">
      <c r="H965" s="1"/>
    </row>
    <row r="966" ht="14.25" customHeight="1">
      <c r="H966" s="1"/>
    </row>
    <row r="967" ht="14.25" customHeight="1">
      <c r="H967" s="1"/>
    </row>
    <row r="968" ht="14.25" customHeight="1">
      <c r="H968" s="1"/>
    </row>
    <row r="969" ht="14.25" customHeight="1">
      <c r="H969" s="1"/>
    </row>
    <row r="970" ht="14.25" customHeight="1">
      <c r="H970" s="1"/>
    </row>
    <row r="971" ht="14.25" customHeight="1">
      <c r="H971" s="1"/>
    </row>
    <row r="972" ht="14.25" customHeight="1">
      <c r="H972" s="1"/>
    </row>
    <row r="973" ht="14.25" customHeight="1">
      <c r="H973" s="1"/>
    </row>
    <row r="974" ht="14.25" customHeight="1">
      <c r="H974" s="1"/>
    </row>
    <row r="975" ht="14.25" customHeight="1">
      <c r="H975" s="1"/>
    </row>
    <row r="976" ht="14.25" customHeight="1">
      <c r="H976" s="1"/>
    </row>
    <row r="977" ht="14.25" customHeight="1">
      <c r="H977" s="1"/>
    </row>
    <row r="978" ht="14.25" customHeight="1">
      <c r="H978" s="1"/>
    </row>
    <row r="979" ht="14.25" customHeight="1">
      <c r="H979" s="1"/>
    </row>
    <row r="980" ht="14.25" customHeight="1">
      <c r="H980" s="1"/>
    </row>
    <row r="981" ht="14.25" customHeight="1">
      <c r="H981" s="1"/>
    </row>
    <row r="982" ht="14.25" customHeight="1">
      <c r="H982" s="1"/>
    </row>
    <row r="983" ht="14.25" customHeight="1">
      <c r="H983" s="1"/>
    </row>
    <row r="984" ht="14.25" customHeight="1">
      <c r="H984" s="1"/>
    </row>
    <row r="985" ht="14.25" customHeight="1">
      <c r="H985" s="1"/>
    </row>
    <row r="986" ht="14.25" customHeight="1">
      <c r="H986" s="1"/>
    </row>
    <row r="987" ht="14.25" customHeight="1">
      <c r="H987" s="1"/>
    </row>
    <row r="988" ht="14.25" customHeight="1">
      <c r="H988" s="1"/>
    </row>
    <row r="989" ht="14.25" customHeight="1">
      <c r="H989" s="1"/>
    </row>
    <row r="990" ht="14.25" customHeight="1">
      <c r="H990" s="1"/>
    </row>
    <row r="991" ht="14.25" customHeight="1">
      <c r="H991" s="1"/>
    </row>
    <row r="992" ht="14.25" customHeight="1">
      <c r="H992" s="1"/>
    </row>
    <row r="993" ht="14.25" customHeight="1">
      <c r="H993" s="1"/>
    </row>
    <row r="994" ht="14.25" customHeight="1">
      <c r="H994" s="1"/>
    </row>
    <row r="995" ht="14.25" customHeight="1">
      <c r="H995" s="1"/>
    </row>
    <row r="996" ht="14.25" customHeight="1">
      <c r="H996" s="1"/>
    </row>
    <row r="997" ht="14.25" customHeight="1">
      <c r="H997" s="1"/>
    </row>
    <row r="998" ht="14.25" customHeight="1">
      <c r="H998" s="1"/>
    </row>
    <row r="999" ht="14.25" customHeight="1">
      <c r="H999" s="1"/>
    </row>
    <row r="1000" ht="14.25" customHeight="1">
      <c r="H1000" s="1"/>
    </row>
  </sheetData>
  <mergeCells count="2">
    <mergeCell ref="G2:G3"/>
    <mergeCell ref="B3:F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9.0" ySplit="10.0" topLeftCell="AN11" activePane="bottomRight" state="frozen"/>
      <selection activeCell="AN1" sqref="AN1" pane="topRight"/>
      <selection activeCell="A11" sqref="A11" pane="bottomLeft"/>
      <selection activeCell="AN11" sqref="AN11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7.63"/>
  </cols>
  <sheetData>
    <row r="1" ht="14.25" customHeight="1"/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5" t="s">
        <v>85</v>
      </c>
      <c r="C3" s="46" t="s">
        <v>86</v>
      </c>
      <c r="D3" s="47" t="str">
        <f t="shared" ref="D3:D10" si="2">DEC2HEX(A3*4, 3)</f>
        <v>000</v>
      </c>
      <c r="E3" s="48" t="s">
        <v>83</v>
      </c>
      <c r="F3" s="49" t="s">
        <v>87</v>
      </c>
      <c r="G3" s="50"/>
      <c r="H3" s="51" t="s">
        <v>88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4"/>
      <c r="C4" s="55"/>
      <c r="D4" s="1" t="str">
        <f t="shared" si="2"/>
        <v>004</v>
      </c>
      <c r="E4" s="55"/>
      <c r="F4" s="56" t="s">
        <v>87</v>
      </c>
      <c r="G4" s="27"/>
      <c r="H4" s="55"/>
      <c r="AM4" s="57"/>
    </row>
    <row r="5" ht="14.25" customHeight="1">
      <c r="A5" s="1">
        <v>2.0</v>
      </c>
      <c r="B5" s="54"/>
      <c r="C5" s="55"/>
      <c r="D5" s="1" t="str">
        <f t="shared" si="2"/>
        <v>008</v>
      </c>
      <c r="E5" s="55"/>
      <c r="F5" s="56" t="s">
        <v>87</v>
      </c>
      <c r="G5" s="27"/>
      <c r="H5" s="55"/>
      <c r="AM5" s="57"/>
    </row>
    <row r="6" ht="14.25" customHeight="1">
      <c r="A6" s="1">
        <v>3.0</v>
      </c>
      <c r="B6" s="54"/>
      <c r="C6" s="55"/>
      <c r="D6" s="1" t="str">
        <f t="shared" si="2"/>
        <v>00C</v>
      </c>
      <c r="E6" s="55"/>
      <c r="F6" s="56" t="s">
        <v>87</v>
      </c>
      <c r="G6" s="2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4"/>
      <c r="C7" s="55"/>
      <c r="D7" s="1" t="str">
        <f t="shared" si="2"/>
        <v>010</v>
      </c>
      <c r="E7" s="61" t="s">
        <v>89</v>
      </c>
      <c r="F7" s="56" t="s">
        <v>87</v>
      </c>
      <c r="G7" s="27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4"/>
      <c r="C8" s="55"/>
      <c r="D8" s="1" t="str">
        <f t="shared" si="2"/>
        <v>014</v>
      </c>
      <c r="E8" s="61" t="s">
        <v>92</v>
      </c>
      <c r="F8" s="56" t="s">
        <v>87</v>
      </c>
      <c r="G8" s="27"/>
      <c r="H8" s="65"/>
      <c r="I8" s="66"/>
      <c r="J8" s="66"/>
      <c r="K8" s="66"/>
      <c r="L8" s="66"/>
      <c r="M8" s="66"/>
      <c r="N8" s="66"/>
      <c r="O8" s="67"/>
      <c r="P8" s="68" t="s">
        <v>93</v>
      </c>
      <c r="Q8" s="69"/>
      <c r="R8" s="69"/>
      <c r="S8" s="69"/>
      <c r="T8" s="69"/>
      <c r="U8" s="69"/>
      <c r="V8" s="69"/>
      <c r="W8" s="70"/>
      <c r="X8" s="68" t="s">
        <v>94</v>
      </c>
      <c r="Y8" s="69"/>
      <c r="Z8" s="69"/>
      <c r="AA8" s="69"/>
      <c r="AB8" s="69"/>
      <c r="AC8" s="69"/>
      <c r="AD8" s="69"/>
      <c r="AE8" s="70"/>
      <c r="AF8" s="68" t="s">
        <v>95</v>
      </c>
      <c r="AG8" s="69"/>
      <c r="AH8" s="69"/>
      <c r="AI8" s="69"/>
      <c r="AJ8" s="69"/>
      <c r="AK8" s="69"/>
      <c r="AL8" s="69"/>
      <c r="AM8" s="71"/>
    </row>
    <row r="9" ht="14.25" customHeight="1">
      <c r="A9" s="1">
        <v>6.0</v>
      </c>
      <c r="B9" s="54"/>
      <c r="C9" s="55"/>
      <c r="D9" s="1" t="str">
        <f t="shared" si="2"/>
        <v>018</v>
      </c>
      <c r="E9" s="72" t="s">
        <v>96</v>
      </c>
      <c r="F9" s="73" t="s">
        <v>84</v>
      </c>
      <c r="G9" s="27"/>
      <c r="H9" s="74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6"/>
    </row>
    <row r="10" ht="14.25" customHeight="1">
      <c r="A10" s="1">
        <v>7.0</v>
      </c>
      <c r="B10" s="77"/>
      <c r="C10" s="78"/>
      <c r="D10" s="79" t="str">
        <f t="shared" si="2"/>
        <v>01C</v>
      </c>
      <c r="E10" s="80" t="s">
        <v>96</v>
      </c>
      <c r="F10" s="81" t="s">
        <v>84</v>
      </c>
      <c r="G10" s="82"/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H8:O8"/>
    <mergeCell ref="P8:W8"/>
    <mergeCell ref="X8:AE8"/>
    <mergeCell ref="AF8:AM8"/>
    <mergeCell ref="H9:AM9"/>
    <mergeCell ref="H10:AM10"/>
    <mergeCell ref="B3:B10"/>
    <mergeCell ref="C3:C10"/>
    <mergeCell ref="E3:E6"/>
    <mergeCell ref="H3:AM6"/>
    <mergeCell ref="H7:W7"/>
    <mergeCell ref="X7:AE7"/>
    <mergeCell ref="AF7:AM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9.0" ySplit="14.0" topLeftCell="AN15" activePane="bottomRight" state="frozen"/>
      <selection activeCell="AN1" sqref="AN1" pane="topRight"/>
      <selection activeCell="A15" sqref="A15" pane="bottomLeft"/>
      <selection activeCell="AN15" sqref="AN15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12.25"/>
  </cols>
  <sheetData>
    <row r="1" ht="14.25" customHeight="1"/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5" t="s">
        <v>97</v>
      </c>
      <c r="C3" s="86" t="s">
        <v>98</v>
      </c>
      <c r="D3" s="47" t="str">
        <f t="shared" ref="D3:D14" si="2">DEC2HEX(A3*4, 3)</f>
        <v>000</v>
      </c>
      <c r="E3" s="48" t="s">
        <v>83</v>
      </c>
      <c r="F3" s="49" t="s">
        <v>87</v>
      </c>
      <c r="G3" s="50"/>
      <c r="H3" s="86" t="s">
        <v>99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4"/>
      <c r="C4" s="55"/>
      <c r="D4" s="1" t="str">
        <f t="shared" si="2"/>
        <v>004</v>
      </c>
      <c r="E4" s="55"/>
      <c r="F4" s="56" t="s">
        <v>87</v>
      </c>
      <c r="G4" s="27"/>
      <c r="H4" s="55"/>
      <c r="AM4" s="57"/>
    </row>
    <row r="5" ht="14.25" customHeight="1">
      <c r="A5" s="1">
        <v>2.0</v>
      </c>
      <c r="B5" s="54"/>
      <c r="C5" s="55"/>
      <c r="D5" s="1" t="str">
        <f t="shared" si="2"/>
        <v>008</v>
      </c>
      <c r="E5" s="55"/>
      <c r="F5" s="56" t="s">
        <v>87</v>
      </c>
      <c r="G5" s="27"/>
      <c r="H5" s="55"/>
      <c r="AM5" s="57"/>
    </row>
    <row r="6" ht="14.25" customHeight="1">
      <c r="A6" s="1">
        <v>3.0</v>
      </c>
      <c r="B6" s="54"/>
      <c r="C6" s="55"/>
      <c r="D6" s="1" t="str">
        <f t="shared" si="2"/>
        <v>00C</v>
      </c>
      <c r="E6" s="55"/>
      <c r="F6" s="56" t="s">
        <v>87</v>
      </c>
      <c r="G6" s="2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4"/>
      <c r="C7" s="55"/>
      <c r="D7" s="1" t="str">
        <f t="shared" si="2"/>
        <v>010</v>
      </c>
      <c r="E7" s="61" t="s">
        <v>89</v>
      </c>
      <c r="F7" s="56" t="s">
        <v>87</v>
      </c>
      <c r="G7" s="27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4"/>
      <c r="C8" s="55"/>
      <c r="D8" s="1" t="str">
        <f t="shared" si="2"/>
        <v>014</v>
      </c>
      <c r="E8" s="61" t="s">
        <v>92</v>
      </c>
      <c r="F8" s="56" t="s">
        <v>87</v>
      </c>
      <c r="G8" s="27"/>
      <c r="H8" s="62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64"/>
    </row>
    <row r="9" ht="14.25" customHeight="1">
      <c r="A9" s="1">
        <v>6.0</v>
      </c>
      <c r="B9" s="54"/>
      <c r="C9" s="55"/>
      <c r="D9" s="1" t="str">
        <f t="shared" si="2"/>
        <v>018</v>
      </c>
      <c r="E9" s="72" t="s">
        <v>96</v>
      </c>
      <c r="F9" s="56" t="s">
        <v>84</v>
      </c>
      <c r="G9" s="27"/>
      <c r="H9" s="6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64"/>
    </row>
    <row r="10" ht="14.25" customHeight="1">
      <c r="A10" s="1">
        <v>7.0</v>
      </c>
      <c r="B10" s="54"/>
      <c r="C10" s="55"/>
      <c r="D10" s="1" t="str">
        <f t="shared" si="2"/>
        <v>01C</v>
      </c>
      <c r="E10" s="72" t="s">
        <v>96</v>
      </c>
      <c r="F10" s="56" t="s">
        <v>84</v>
      </c>
      <c r="G10" s="27"/>
      <c r="H10" s="6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4"/>
    </row>
    <row r="11" ht="14.25" customHeight="1">
      <c r="A11" s="1">
        <v>8.0</v>
      </c>
      <c r="B11" s="54"/>
      <c r="C11" s="55"/>
      <c r="D11" s="1" t="str">
        <f t="shared" si="2"/>
        <v>020</v>
      </c>
      <c r="E11" s="61" t="s">
        <v>100</v>
      </c>
      <c r="F11" s="56" t="s">
        <v>87</v>
      </c>
      <c r="G11" s="27"/>
      <c r="H11" s="6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3"/>
      <c r="AM11" s="87" t="s">
        <v>101</v>
      </c>
      <c r="AN11" s="1"/>
    </row>
    <row r="12" ht="14.25" customHeight="1">
      <c r="A12" s="1">
        <v>9.0</v>
      </c>
      <c r="B12" s="54"/>
      <c r="C12" s="55"/>
      <c r="D12" s="1" t="str">
        <f t="shared" si="2"/>
        <v>024</v>
      </c>
      <c r="E12" s="61" t="s">
        <v>102</v>
      </c>
      <c r="F12" s="56" t="s">
        <v>84</v>
      </c>
      <c r="G12" s="27"/>
      <c r="H12" s="6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3"/>
      <c r="W12" s="88" t="s">
        <v>103</v>
      </c>
      <c r="X12" s="89"/>
      <c r="Y12" s="32"/>
      <c r="Z12" s="32"/>
      <c r="AA12" s="32"/>
      <c r="AB12" s="32"/>
      <c r="AC12" s="32"/>
      <c r="AD12" s="32"/>
      <c r="AE12" s="33"/>
      <c r="AF12" s="63" t="s">
        <v>104</v>
      </c>
      <c r="AG12" s="32"/>
      <c r="AH12" s="32"/>
      <c r="AI12" s="32"/>
      <c r="AJ12" s="32"/>
      <c r="AK12" s="32"/>
      <c r="AL12" s="32"/>
      <c r="AM12" s="64"/>
    </row>
    <row r="13" ht="14.25" customHeight="1">
      <c r="A13" s="1">
        <v>10.0</v>
      </c>
      <c r="B13" s="54"/>
      <c r="C13" s="55"/>
      <c r="D13" s="1" t="str">
        <f t="shared" si="2"/>
        <v>028</v>
      </c>
      <c r="E13" s="61" t="s">
        <v>105</v>
      </c>
      <c r="F13" s="56" t="s">
        <v>84</v>
      </c>
      <c r="G13" s="27"/>
      <c r="H13" s="6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88" t="s">
        <v>103</v>
      </c>
      <c r="X13" s="63" t="s">
        <v>106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64"/>
    </row>
    <row r="14" ht="14.25" customHeight="1">
      <c r="A14" s="1">
        <v>11.0</v>
      </c>
      <c r="B14" s="77"/>
      <c r="C14" s="78"/>
      <c r="D14" s="79" t="str">
        <f t="shared" si="2"/>
        <v>02C</v>
      </c>
      <c r="E14" s="90" t="s">
        <v>107</v>
      </c>
      <c r="F14" s="91" t="s">
        <v>87</v>
      </c>
      <c r="G14" s="82"/>
      <c r="H14" s="92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4"/>
      <c r="AF14" s="95" t="s">
        <v>108</v>
      </c>
      <c r="AG14" s="93"/>
      <c r="AH14" s="93"/>
      <c r="AI14" s="93"/>
      <c r="AJ14" s="93"/>
      <c r="AK14" s="93"/>
      <c r="AL14" s="93"/>
      <c r="AM14" s="96"/>
    </row>
    <row r="15" ht="14.25" customHeight="1"/>
    <row r="16" ht="14.25" customHeight="1">
      <c r="I16" s="97" t="s">
        <v>109</v>
      </c>
      <c r="J16" s="98"/>
      <c r="K16" s="98"/>
      <c r="L16" s="98"/>
      <c r="M16" s="98"/>
      <c r="N16" s="98"/>
      <c r="O16" s="98"/>
      <c r="P16" s="98"/>
      <c r="Q16" s="99"/>
    </row>
    <row r="17" ht="17.25" customHeight="1">
      <c r="I17" s="100" t="s">
        <v>101</v>
      </c>
      <c r="J17" s="101"/>
      <c r="K17" s="102" t="s">
        <v>110</v>
      </c>
      <c r="L17" s="52"/>
      <c r="M17" s="52"/>
      <c r="N17" s="52"/>
      <c r="O17" s="52"/>
      <c r="P17" s="52"/>
      <c r="Q17" s="53"/>
    </row>
    <row r="18" ht="16.5" customHeight="1">
      <c r="I18" s="78"/>
      <c r="J18" s="103"/>
      <c r="K18" s="104"/>
      <c r="L18" s="105"/>
      <c r="M18" s="105"/>
      <c r="N18" s="105"/>
      <c r="O18" s="105"/>
      <c r="P18" s="105"/>
      <c r="Q18" s="106"/>
    </row>
    <row r="19" ht="14.25" customHeight="1"/>
    <row r="20" ht="14.25" customHeight="1">
      <c r="I20" s="107" t="s">
        <v>111</v>
      </c>
      <c r="J20" s="108"/>
      <c r="K20" s="108"/>
      <c r="L20" s="108"/>
      <c r="M20" s="108"/>
      <c r="N20" s="108"/>
      <c r="O20" s="108"/>
      <c r="P20" s="108"/>
      <c r="Q20" s="109"/>
    </row>
    <row r="21" ht="14.25" customHeight="1">
      <c r="I21" s="110" t="s">
        <v>112</v>
      </c>
      <c r="J21" s="101"/>
      <c r="K21" s="111" t="s">
        <v>113</v>
      </c>
      <c r="L21" s="112"/>
      <c r="M21" s="112"/>
      <c r="N21" s="112"/>
      <c r="O21" s="112"/>
      <c r="P21" s="112"/>
      <c r="Q21" s="113"/>
    </row>
    <row r="22" ht="14.25" customHeight="1">
      <c r="I22" s="58"/>
      <c r="J22" s="114"/>
      <c r="K22" s="115" t="s">
        <v>114</v>
      </c>
      <c r="L22" s="32"/>
      <c r="M22" s="32"/>
      <c r="N22" s="32"/>
      <c r="O22" s="32"/>
      <c r="P22" s="32"/>
      <c r="Q22" s="64"/>
    </row>
    <row r="23" ht="14.25" customHeight="1">
      <c r="I23" s="116" t="s">
        <v>102</v>
      </c>
      <c r="J23" s="94"/>
      <c r="K23" s="117" t="s">
        <v>115</v>
      </c>
      <c r="L23" s="93"/>
      <c r="M23" s="93"/>
      <c r="N23" s="93"/>
      <c r="O23" s="93"/>
      <c r="P23" s="93"/>
      <c r="Q23" s="96"/>
    </row>
    <row r="24" ht="14.25" customHeight="1"/>
    <row r="25" ht="14.25" customHeight="1">
      <c r="I25" s="107" t="s">
        <v>116</v>
      </c>
      <c r="J25" s="108"/>
      <c r="K25" s="108"/>
      <c r="L25" s="108"/>
      <c r="M25" s="108"/>
      <c r="N25" s="108"/>
      <c r="O25" s="108"/>
      <c r="P25" s="108"/>
      <c r="Q25" s="109"/>
    </row>
    <row r="26" ht="14.25" customHeight="1">
      <c r="I26" s="110" t="s">
        <v>117</v>
      </c>
      <c r="J26" s="101"/>
      <c r="K26" s="118" t="s">
        <v>118</v>
      </c>
      <c r="L26" s="112"/>
      <c r="M26" s="112"/>
      <c r="N26" s="112"/>
      <c r="O26" s="112"/>
      <c r="P26" s="112"/>
      <c r="Q26" s="113"/>
    </row>
    <row r="27" ht="14.25" customHeight="1">
      <c r="I27" s="58"/>
      <c r="J27" s="114"/>
      <c r="K27" s="119" t="s">
        <v>119</v>
      </c>
      <c r="L27" s="32"/>
      <c r="M27" s="32"/>
      <c r="N27" s="32"/>
      <c r="O27" s="32"/>
      <c r="P27" s="32"/>
      <c r="Q27" s="64"/>
    </row>
    <row r="28" ht="14.25" customHeight="1">
      <c r="I28" s="116" t="s">
        <v>105</v>
      </c>
      <c r="J28" s="94"/>
      <c r="K28" s="117" t="s">
        <v>120</v>
      </c>
      <c r="L28" s="93"/>
      <c r="M28" s="93"/>
      <c r="N28" s="93"/>
      <c r="O28" s="93"/>
      <c r="P28" s="93"/>
      <c r="Q28" s="96"/>
    </row>
    <row r="29" ht="14.25" customHeight="1"/>
    <row r="30" ht="14.25" customHeight="1">
      <c r="I30" s="107" t="s">
        <v>121</v>
      </c>
      <c r="J30" s="108"/>
      <c r="K30" s="108"/>
      <c r="L30" s="108"/>
      <c r="M30" s="108"/>
      <c r="N30" s="108"/>
      <c r="O30" s="108"/>
      <c r="P30" s="108"/>
      <c r="Q30" s="109"/>
    </row>
    <row r="31" ht="14.25" customHeight="1">
      <c r="I31" s="116" t="s">
        <v>107</v>
      </c>
      <c r="J31" s="94"/>
      <c r="K31" s="117" t="s">
        <v>122</v>
      </c>
      <c r="L31" s="93"/>
      <c r="M31" s="93"/>
      <c r="N31" s="93"/>
      <c r="O31" s="93"/>
      <c r="P31" s="93"/>
      <c r="Q31" s="96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9">
    <mergeCell ref="I26:J27"/>
    <mergeCell ref="I28:J28"/>
    <mergeCell ref="I31:J31"/>
    <mergeCell ref="K28:Q28"/>
    <mergeCell ref="I30:Q30"/>
    <mergeCell ref="K31:Q31"/>
    <mergeCell ref="K21:Q21"/>
    <mergeCell ref="K22:Q22"/>
    <mergeCell ref="I23:J23"/>
    <mergeCell ref="K23:Q23"/>
    <mergeCell ref="I25:Q25"/>
    <mergeCell ref="K26:Q26"/>
    <mergeCell ref="K27:Q27"/>
    <mergeCell ref="H8:O8"/>
    <mergeCell ref="P8:W8"/>
    <mergeCell ref="X8:AE8"/>
    <mergeCell ref="AF8:AM8"/>
    <mergeCell ref="H9:AM9"/>
    <mergeCell ref="H10:AM10"/>
    <mergeCell ref="H11:AL11"/>
    <mergeCell ref="H12:V12"/>
    <mergeCell ref="X12:AE12"/>
    <mergeCell ref="AF12:AM12"/>
    <mergeCell ref="H13:V13"/>
    <mergeCell ref="X13:AM13"/>
    <mergeCell ref="B3:B14"/>
    <mergeCell ref="C3:C14"/>
    <mergeCell ref="E3:E6"/>
    <mergeCell ref="H3:AM6"/>
    <mergeCell ref="H7:W7"/>
    <mergeCell ref="X7:AE7"/>
    <mergeCell ref="AF7:AM7"/>
    <mergeCell ref="H14:AE14"/>
    <mergeCell ref="AF14:AM14"/>
    <mergeCell ref="I16:Q16"/>
    <mergeCell ref="I17:J18"/>
    <mergeCell ref="K17:Q18"/>
    <mergeCell ref="I20:Q20"/>
    <mergeCell ref="I21:J2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9.0" ySplit="15.0" topLeftCell="AN16" activePane="bottomRight" state="frozen"/>
      <selection activeCell="AN1" sqref="AN1" pane="topRight"/>
      <selection activeCell="A16" sqref="A16" pane="bottomLeft"/>
      <selection activeCell="AN16" sqref="AN16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5.5"/>
  </cols>
  <sheetData>
    <row r="1" ht="14.25" customHeight="1">
      <c r="B1" s="1"/>
      <c r="F1" s="1"/>
      <c r="H1" s="120">
        <v>3.0</v>
      </c>
      <c r="I1" s="121"/>
      <c r="J1" s="121"/>
      <c r="K1" s="121"/>
      <c r="L1" s="121"/>
      <c r="M1" s="121"/>
      <c r="N1" s="121"/>
      <c r="O1" s="122"/>
      <c r="P1" s="120">
        <v>2.0</v>
      </c>
      <c r="Q1" s="121"/>
      <c r="R1" s="121"/>
      <c r="S1" s="121"/>
      <c r="T1" s="121"/>
      <c r="U1" s="121"/>
      <c r="V1" s="121"/>
      <c r="W1" s="122"/>
      <c r="X1" s="120">
        <v>1.0</v>
      </c>
      <c r="Y1" s="121"/>
      <c r="Z1" s="121"/>
      <c r="AA1" s="121"/>
      <c r="AB1" s="121"/>
      <c r="AC1" s="121"/>
      <c r="AD1" s="121"/>
      <c r="AE1" s="122"/>
      <c r="AF1" s="120">
        <v>0.0</v>
      </c>
      <c r="AG1" s="121"/>
      <c r="AH1" s="121"/>
      <c r="AI1" s="121"/>
      <c r="AJ1" s="121"/>
      <c r="AK1" s="121"/>
      <c r="AL1" s="121"/>
      <c r="AM1" s="122"/>
    </row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8" t="s">
        <v>123</v>
      </c>
      <c r="C3" s="86" t="s">
        <v>124</v>
      </c>
      <c r="D3" s="47" t="str">
        <f t="shared" ref="D3:D15" si="2">DEC2HEX(A3*4, 3)</f>
        <v>000</v>
      </c>
      <c r="E3" s="48" t="s">
        <v>83</v>
      </c>
      <c r="F3" s="49" t="s">
        <v>87</v>
      </c>
      <c r="G3" s="50"/>
      <c r="H3" s="86" t="s">
        <v>125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5"/>
      <c r="C4" s="55"/>
      <c r="D4" s="1" t="str">
        <f t="shared" si="2"/>
        <v>004</v>
      </c>
      <c r="E4" s="55"/>
      <c r="F4" s="56" t="s">
        <v>87</v>
      </c>
      <c r="G4" s="27"/>
      <c r="H4" s="55"/>
      <c r="AM4" s="57"/>
    </row>
    <row r="5" ht="14.25" customHeight="1">
      <c r="A5" s="1">
        <v>2.0</v>
      </c>
      <c r="B5" s="55"/>
      <c r="C5" s="55"/>
      <c r="D5" s="1" t="str">
        <f t="shared" si="2"/>
        <v>008</v>
      </c>
      <c r="E5" s="55"/>
      <c r="F5" s="56" t="s">
        <v>87</v>
      </c>
      <c r="G5" s="27"/>
      <c r="H5" s="55"/>
      <c r="AM5" s="57"/>
    </row>
    <row r="6" ht="14.25" customHeight="1">
      <c r="A6" s="1">
        <v>3.0</v>
      </c>
      <c r="B6" s="55"/>
      <c r="C6" s="55"/>
      <c r="D6" s="1" t="str">
        <f t="shared" si="2"/>
        <v>00C</v>
      </c>
      <c r="E6" s="55"/>
      <c r="F6" s="56" t="s">
        <v>87</v>
      </c>
      <c r="G6" s="2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5"/>
      <c r="C7" s="55"/>
      <c r="D7" s="1" t="str">
        <f t="shared" si="2"/>
        <v>010</v>
      </c>
      <c r="E7" s="61" t="s">
        <v>89</v>
      </c>
      <c r="F7" s="56" t="s">
        <v>87</v>
      </c>
      <c r="G7" s="27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5"/>
      <c r="C8" s="55"/>
      <c r="D8" s="1" t="str">
        <f t="shared" si="2"/>
        <v>014</v>
      </c>
      <c r="E8" s="61" t="s">
        <v>92</v>
      </c>
      <c r="F8" s="56" t="s">
        <v>87</v>
      </c>
      <c r="G8" s="27"/>
      <c r="H8" s="62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64"/>
    </row>
    <row r="9" ht="14.25" customHeight="1">
      <c r="A9" s="1">
        <v>6.0</v>
      </c>
      <c r="B9" s="55"/>
      <c r="C9" s="55"/>
      <c r="D9" s="1" t="str">
        <f t="shared" si="2"/>
        <v>018</v>
      </c>
      <c r="E9" s="72" t="s">
        <v>96</v>
      </c>
      <c r="F9" s="56" t="s">
        <v>84</v>
      </c>
      <c r="G9" s="27"/>
      <c r="H9" s="6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64"/>
    </row>
    <row r="10" ht="14.25" customHeight="1">
      <c r="A10" s="1">
        <v>7.0</v>
      </c>
      <c r="B10" s="55"/>
      <c r="C10" s="55"/>
      <c r="D10" s="1" t="str">
        <f t="shared" si="2"/>
        <v>01C</v>
      </c>
      <c r="E10" s="72" t="s">
        <v>96</v>
      </c>
      <c r="F10" s="56" t="s">
        <v>84</v>
      </c>
      <c r="G10" s="27"/>
      <c r="H10" s="6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4"/>
    </row>
    <row r="11" ht="14.25" customHeight="1">
      <c r="A11" s="1">
        <v>8.0</v>
      </c>
      <c r="B11" s="55"/>
      <c r="C11" s="55"/>
      <c r="D11" s="1" t="str">
        <f t="shared" si="2"/>
        <v>020</v>
      </c>
      <c r="E11" s="61" t="s">
        <v>126</v>
      </c>
      <c r="F11" s="56" t="s">
        <v>84</v>
      </c>
      <c r="G11" s="27"/>
      <c r="H11" s="123" t="s">
        <v>127</v>
      </c>
      <c r="I11" s="89"/>
      <c r="J11" s="32"/>
      <c r="K11" s="32"/>
      <c r="L11" s="32"/>
      <c r="M11" s="33"/>
      <c r="N11" s="88" t="s">
        <v>128</v>
      </c>
      <c r="O11" s="88" t="s">
        <v>129</v>
      </c>
      <c r="P11" s="88" t="s">
        <v>130</v>
      </c>
      <c r="Q11" s="88" t="s">
        <v>131</v>
      </c>
      <c r="R11" s="88" t="s">
        <v>132</v>
      </c>
      <c r="S11" s="88" t="s">
        <v>133</v>
      </c>
      <c r="T11" s="89"/>
      <c r="U11" s="33"/>
      <c r="V11" s="88" t="s">
        <v>134</v>
      </c>
      <c r="W11" s="88" t="s">
        <v>135</v>
      </c>
      <c r="X11" s="63" t="s">
        <v>136</v>
      </c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64"/>
    </row>
    <row r="12" ht="14.25" customHeight="1">
      <c r="A12" s="1">
        <v>9.0</v>
      </c>
      <c r="B12" s="55"/>
      <c r="C12" s="55"/>
      <c r="D12" s="1" t="str">
        <f t="shared" si="2"/>
        <v>024</v>
      </c>
      <c r="E12" s="61"/>
      <c r="F12" s="56"/>
      <c r="G12" s="27"/>
      <c r="H12" s="6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64"/>
    </row>
    <row r="13" ht="16.5" customHeight="1">
      <c r="A13" s="1">
        <v>10.0</v>
      </c>
      <c r="B13" s="55"/>
      <c r="C13" s="55"/>
      <c r="D13" s="1" t="str">
        <f t="shared" si="2"/>
        <v>028</v>
      </c>
      <c r="E13" s="61"/>
      <c r="F13" s="56"/>
      <c r="G13" s="27"/>
      <c r="H13" s="6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64"/>
    </row>
    <row r="14" ht="14.25" customHeight="1">
      <c r="A14" s="1">
        <v>11.0</v>
      </c>
      <c r="B14" s="55"/>
      <c r="C14" s="55"/>
      <c r="D14" s="1" t="str">
        <f t="shared" si="2"/>
        <v>02C</v>
      </c>
      <c r="E14" s="124"/>
      <c r="F14" s="56"/>
      <c r="G14" s="27"/>
      <c r="H14" s="6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64"/>
    </row>
    <row r="15" ht="14.25" customHeight="1">
      <c r="A15" s="1">
        <v>12.0</v>
      </c>
      <c r="B15" s="78"/>
      <c r="C15" s="78"/>
      <c r="D15" s="79" t="str">
        <f t="shared" si="2"/>
        <v>030</v>
      </c>
      <c r="E15" s="90" t="s">
        <v>137</v>
      </c>
      <c r="F15" s="81" t="s">
        <v>87</v>
      </c>
      <c r="G15" s="82"/>
      <c r="H15" s="92"/>
      <c r="I15" s="93"/>
      <c r="J15" s="93"/>
      <c r="K15" s="93"/>
      <c r="L15" s="93"/>
      <c r="M15" s="93"/>
      <c r="N15" s="94"/>
      <c r="O15" s="125" t="s">
        <v>138</v>
      </c>
      <c r="P15" s="125" t="s">
        <v>139</v>
      </c>
      <c r="Q15" s="125" t="s">
        <v>140</v>
      </c>
      <c r="R15" s="125" t="s">
        <v>141</v>
      </c>
      <c r="S15" s="125" t="s">
        <v>142</v>
      </c>
      <c r="T15" s="126"/>
      <c r="U15" s="94"/>
      <c r="V15" s="125" t="s">
        <v>143</v>
      </c>
      <c r="W15" s="125" t="s">
        <v>144</v>
      </c>
      <c r="X15" s="126"/>
      <c r="Y15" s="93"/>
      <c r="Z15" s="93"/>
      <c r="AA15" s="93"/>
      <c r="AB15" s="93"/>
      <c r="AC15" s="93"/>
      <c r="AD15" s="93"/>
      <c r="AE15" s="94"/>
      <c r="AF15" s="125" t="s">
        <v>145</v>
      </c>
      <c r="AG15" s="125" t="s">
        <v>146</v>
      </c>
      <c r="AH15" s="125" t="s">
        <v>147</v>
      </c>
      <c r="AI15" s="125" t="s">
        <v>148</v>
      </c>
      <c r="AJ15" s="125" t="s">
        <v>149</v>
      </c>
      <c r="AK15" s="125"/>
      <c r="AL15" s="125"/>
      <c r="AM15" s="127" t="s">
        <v>150</v>
      </c>
    </row>
    <row r="16" ht="14.25" customHeight="1">
      <c r="A16" s="1"/>
      <c r="B16" s="27"/>
      <c r="C16" s="27"/>
      <c r="D16" s="27"/>
      <c r="E16" s="27"/>
      <c r="F16" s="1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1"/>
    </row>
    <row r="17" ht="14.25" customHeight="1">
      <c r="B17" s="1"/>
      <c r="F17" s="1"/>
      <c r="I17" s="107" t="s">
        <v>151</v>
      </c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9"/>
      <c r="AM17" s="1"/>
    </row>
    <row r="18" ht="16.5" customHeight="1">
      <c r="B18" s="1"/>
      <c r="F18" s="1"/>
      <c r="I18" s="128" t="s">
        <v>152</v>
      </c>
      <c r="J18" s="129"/>
      <c r="K18" s="118" t="s">
        <v>153</v>
      </c>
      <c r="L18" s="112"/>
      <c r="M18" s="112"/>
      <c r="N18" s="112"/>
      <c r="O18" s="112"/>
      <c r="P18" s="112"/>
      <c r="Q18" s="112"/>
      <c r="R18" s="113"/>
      <c r="T18" s="130" t="s">
        <v>154</v>
      </c>
      <c r="U18" s="112"/>
      <c r="V18" s="129"/>
      <c r="W18" s="131" t="s">
        <v>155</v>
      </c>
      <c r="X18" s="112"/>
      <c r="Y18" s="112"/>
      <c r="Z18" s="112"/>
      <c r="AA18" s="113"/>
      <c r="AC18" s="132" t="s">
        <v>156</v>
      </c>
      <c r="AD18" s="101"/>
      <c r="AE18" s="102" t="s">
        <v>157</v>
      </c>
      <c r="AF18" s="52"/>
      <c r="AG18" s="52"/>
      <c r="AH18" s="52"/>
      <c r="AI18" s="52"/>
      <c r="AJ18" s="53"/>
      <c r="AM18" s="1"/>
    </row>
    <row r="19" ht="16.5" customHeight="1">
      <c r="B19" s="1"/>
      <c r="F19" s="1"/>
      <c r="I19" s="133" t="s">
        <v>158</v>
      </c>
      <c r="J19" s="33"/>
      <c r="K19" s="115" t="s">
        <v>159</v>
      </c>
      <c r="L19" s="32"/>
      <c r="M19" s="32"/>
      <c r="N19" s="32"/>
      <c r="O19" s="32"/>
      <c r="P19" s="32"/>
      <c r="Q19" s="32"/>
      <c r="R19" s="64"/>
      <c r="T19" s="116" t="s">
        <v>160</v>
      </c>
      <c r="U19" s="93"/>
      <c r="V19" s="94"/>
      <c r="W19" s="134" t="s">
        <v>161</v>
      </c>
      <c r="X19" s="93"/>
      <c r="Y19" s="93"/>
      <c r="Z19" s="93"/>
      <c r="AA19" s="96"/>
      <c r="AC19" s="78"/>
      <c r="AD19" s="103"/>
      <c r="AE19" s="104"/>
      <c r="AF19" s="105"/>
      <c r="AG19" s="105"/>
      <c r="AH19" s="105"/>
      <c r="AI19" s="105"/>
      <c r="AJ19" s="106"/>
      <c r="AM19" s="1"/>
    </row>
    <row r="20" ht="16.5" customHeight="1">
      <c r="B20" s="1"/>
      <c r="F20" s="1"/>
      <c r="I20" s="135" t="s">
        <v>162</v>
      </c>
      <c r="J20" s="70"/>
      <c r="K20" s="136" t="s">
        <v>163</v>
      </c>
      <c r="L20" s="69"/>
      <c r="M20" s="69"/>
      <c r="N20" s="69"/>
      <c r="O20" s="69"/>
      <c r="P20" s="69"/>
      <c r="Q20" s="69"/>
      <c r="R20" s="71"/>
      <c r="AM20" s="1"/>
    </row>
    <row r="21" ht="14.25" customHeight="1">
      <c r="B21" s="1"/>
      <c r="F21" s="1"/>
      <c r="I21" s="78"/>
      <c r="J21" s="103"/>
      <c r="K21" s="104"/>
      <c r="L21" s="105"/>
      <c r="M21" s="105"/>
      <c r="N21" s="105"/>
      <c r="O21" s="105"/>
      <c r="P21" s="105"/>
      <c r="Q21" s="105"/>
      <c r="R21" s="106"/>
      <c r="AM21" s="1"/>
    </row>
    <row r="22" ht="14.25" customHeight="1">
      <c r="B22" s="1"/>
      <c r="F22" s="1"/>
      <c r="AM22" s="1"/>
    </row>
    <row r="23" ht="14.25" customHeight="1">
      <c r="B23" s="1"/>
      <c r="F23" s="1"/>
      <c r="I23" s="137" t="s">
        <v>164</v>
      </c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9"/>
      <c r="AM23" s="1"/>
    </row>
    <row r="24" ht="14.25" customHeight="1">
      <c r="B24" s="1"/>
      <c r="F24" s="1"/>
      <c r="I24" s="128" t="s">
        <v>165</v>
      </c>
      <c r="J24" s="129"/>
      <c r="K24" s="138" t="s">
        <v>166</v>
      </c>
      <c r="L24" s="112"/>
      <c r="M24" s="112"/>
      <c r="N24" s="112"/>
      <c r="O24" s="112"/>
      <c r="P24" s="113"/>
      <c r="R24" s="128" t="s">
        <v>167</v>
      </c>
      <c r="S24" s="129"/>
      <c r="T24" s="118" t="s">
        <v>168</v>
      </c>
      <c r="U24" s="112"/>
      <c r="V24" s="112"/>
      <c r="W24" s="112"/>
      <c r="X24" s="112"/>
      <c r="Y24" s="113"/>
      <c r="AA24" s="128" t="s">
        <v>169</v>
      </c>
      <c r="AB24" s="129"/>
      <c r="AC24" s="138" t="s">
        <v>170</v>
      </c>
      <c r="AD24" s="112"/>
      <c r="AE24" s="112"/>
      <c r="AF24" s="112"/>
      <c r="AG24" s="112"/>
      <c r="AH24" s="113"/>
      <c r="AM24" s="1"/>
    </row>
    <row r="25" ht="14.25" customHeight="1">
      <c r="B25" s="1"/>
      <c r="F25" s="1"/>
      <c r="I25" s="133" t="s">
        <v>171</v>
      </c>
      <c r="J25" s="33"/>
      <c r="K25" s="139" t="s">
        <v>172</v>
      </c>
      <c r="L25" s="32"/>
      <c r="M25" s="32"/>
      <c r="N25" s="32"/>
      <c r="O25" s="32"/>
      <c r="P25" s="64"/>
      <c r="R25" s="133" t="s">
        <v>173</v>
      </c>
      <c r="S25" s="33"/>
      <c r="T25" s="115" t="s">
        <v>174</v>
      </c>
      <c r="U25" s="32"/>
      <c r="V25" s="32"/>
      <c r="W25" s="32"/>
      <c r="X25" s="32"/>
      <c r="Y25" s="64"/>
      <c r="AA25" s="140" t="s">
        <v>175</v>
      </c>
      <c r="AB25" s="94"/>
      <c r="AC25" s="141" t="s">
        <v>176</v>
      </c>
      <c r="AD25" s="93"/>
      <c r="AE25" s="93"/>
      <c r="AF25" s="93"/>
      <c r="AG25" s="93"/>
      <c r="AH25" s="96"/>
      <c r="AM25" s="1"/>
    </row>
    <row r="26" ht="14.25" customHeight="1">
      <c r="B26" s="1"/>
      <c r="F26" s="1"/>
      <c r="I26" s="140" t="s">
        <v>177</v>
      </c>
      <c r="J26" s="94"/>
      <c r="K26" s="134" t="s">
        <v>178</v>
      </c>
      <c r="L26" s="93"/>
      <c r="M26" s="93"/>
      <c r="N26" s="93"/>
      <c r="O26" s="93"/>
      <c r="P26" s="96"/>
      <c r="R26" s="133" t="s">
        <v>179</v>
      </c>
      <c r="S26" s="33"/>
      <c r="T26" s="115" t="s">
        <v>180</v>
      </c>
      <c r="U26" s="32"/>
      <c r="V26" s="32"/>
      <c r="W26" s="32"/>
      <c r="X26" s="32"/>
      <c r="Y26" s="64"/>
      <c r="AM26" s="1"/>
    </row>
    <row r="27" ht="14.25" customHeight="1">
      <c r="B27" s="1"/>
      <c r="F27" s="1"/>
      <c r="R27" s="140" t="s">
        <v>181</v>
      </c>
      <c r="S27" s="94"/>
      <c r="T27" s="141" t="s">
        <v>182</v>
      </c>
      <c r="U27" s="93"/>
      <c r="V27" s="93"/>
      <c r="W27" s="93"/>
      <c r="X27" s="93"/>
      <c r="Y27" s="96"/>
      <c r="AM27" s="1"/>
    </row>
    <row r="28" ht="14.25" customHeight="1">
      <c r="B28" s="1"/>
      <c r="F28" s="1"/>
      <c r="AM28" s="1"/>
    </row>
    <row r="29" ht="14.25" customHeight="1">
      <c r="B29" s="1"/>
      <c r="F29" s="1"/>
      <c r="AM29" s="1"/>
    </row>
    <row r="30" ht="14.25" customHeight="1">
      <c r="B30" s="1"/>
      <c r="F30" s="1"/>
      <c r="AM30" s="1"/>
    </row>
    <row r="31" ht="14.25" customHeight="1">
      <c r="B31" s="1"/>
      <c r="F31" s="1"/>
      <c r="AM31" s="1"/>
    </row>
    <row r="32" ht="14.25" customHeight="1">
      <c r="B32" s="1"/>
      <c r="F32" s="1"/>
      <c r="AM32" s="1"/>
    </row>
    <row r="33" ht="14.25" customHeight="1">
      <c r="B33" s="1"/>
      <c r="F33" s="1"/>
      <c r="AM33" s="1"/>
    </row>
    <row r="34" ht="14.25" customHeight="1">
      <c r="B34" s="1"/>
      <c r="F34" s="1"/>
      <c r="AM34" s="1"/>
    </row>
    <row r="35" ht="14.25" customHeight="1">
      <c r="B35" s="1"/>
      <c r="F35" s="1"/>
      <c r="AM35" s="1"/>
    </row>
    <row r="36" ht="14.25" customHeight="1">
      <c r="B36" s="1"/>
      <c r="F36" s="1"/>
      <c r="AM36" s="1"/>
    </row>
    <row r="37" ht="14.25" customHeight="1">
      <c r="B37" s="1"/>
      <c r="F37" s="1"/>
      <c r="AM37" s="1"/>
    </row>
    <row r="38" ht="14.25" customHeight="1">
      <c r="B38" s="1"/>
      <c r="F38" s="1"/>
      <c r="AM38" s="1"/>
    </row>
    <row r="39" ht="14.25" customHeight="1">
      <c r="B39" s="1"/>
      <c r="F39" s="1"/>
      <c r="AM39" s="1"/>
    </row>
    <row r="40" ht="14.25" customHeight="1">
      <c r="B40" s="1"/>
      <c r="F40" s="1"/>
      <c r="AM40" s="1"/>
    </row>
    <row r="41" ht="14.25" customHeight="1">
      <c r="B41" s="1"/>
      <c r="F41" s="1"/>
      <c r="AM41" s="1"/>
    </row>
    <row r="42" ht="14.25" customHeight="1">
      <c r="B42" s="1"/>
      <c r="F42" s="1"/>
      <c r="AM42" s="1"/>
    </row>
    <row r="43" ht="14.25" customHeight="1">
      <c r="B43" s="1"/>
      <c r="F43" s="1"/>
      <c r="AM43" s="1"/>
    </row>
    <row r="44" ht="14.25" customHeight="1">
      <c r="B44" s="1"/>
      <c r="F44" s="1"/>
      <c r="AM44" s="1"/>
    </row>
    <row r="45" ht="14.25" customHeight="1">
      <c r="B45" s="1"/>
      <c r="F45" s="1"/>
      <c r="AM45" s="1"/>
    </row>
    <row r="46" ht="14.25" customHeight="1">
      <c r="B46" s="1"/>
      <c r="F46" s="1"/>
      <c r="AM46" s="1"/>
    </row>
    <row r="47" ht="14.25" customHeight="1">
      <c r="B47" s="1"/>
      <c r="F47" s="1"/>
      <c r="AM47" s="1"/>
    </row>
    <row r="48" ht="14.25" customHeight="1">
      <c r="B48" s="1"/>
      <c r="F48" s="1"/>
      <c r="AM48" s="1"/>
    </row>
    <row r="49" ht="14.25" customHeight="1">
      <c r="B49" s="1"/>
      <c r="F49" s="1"/>
      <c r="AM49" s="1"/>
    </row>
    <row r="50" ht="14.25" customHeight="1">
      <c r="B50" s="1"/>
      <c r="F50" s="1"/>
      <c r="AM50" s="1"/>
    </row>
    <row r="51" ht="14.25" customHeight="1">
      <c r="B51" s="1"/>
      <c r="F51" s="1"/>
      <c r="AM51" s="1"/>
    </row>
    <row r="52" ht="14.25" customHeight="1">
      <c r="B52" s="1"/>
      <c r="F52" s="1"/>
      <c r="AM52" s="1"/>
    </row>
    <row r="53" ht="14.25" customHeight="1">
      <c r="B53" s="1"/>
      <c r="F53" s="1"/>
      <c r="AM53" s="1"/>
    </row>
    <row r="54" ht="14.25" customHeight="1">
      <c r="B54" s="1"/>
      <c r="F54" s="1"/>
      <c r="AM54" s="1"/>
    </row>
    <row r="55" ht="14.25" customHeight="1">
      <c r="B55" s="1"/>
      <c r="F55" s="1"/>
      <c r="AM55" s="1"/>
    </row>
    <row r="56" ht="14.25" customHeight="1">
      <c r="B56" s="1"/>
      <c r="F56" s="1"/>
      <c r="AM56" s="1"/>
    </row>
    <row r="57" ht="14.25" customHeight="1">
      <c r="B57" s="1"/>
      <c r="F57" s="1"/>
      <c r="AM57" s="1"/>
    </row>
    <row r="58" ht="14.25" customHeight="1">
      <c r="B58" s="1"/>
      <c r="F58" s="1"/>
      <c r="AM58" s="1"/>
    </row>
    <row r="59" ht="14.25" customHeight="1">
      <c r="B59" s="1"/>
      <c r="F59" s="1"/>
      <c r="AM59" s="1"/>
    </row>
    <row r="60" ht="14.25" customHeight="1">
      <c r="B60" s="1"/>
      <c r="F60" s="1"/>
      <c r="AM60" s="1"/>
    </row>
    <row r="61" ht="14.25" customHeight="1">
      <c r="B61" s="1"/>
      <c r="F61" s="1"/>
      <c r="AM61" s="1"/>
    </row>
    <row r="62" ht="14.25" customHeight="1">
      <c r="B62" s="1"/>
      <c r="F62" s="1"/>
      <c r="AM62" s="1"/>
    </row>
    <row r="63" ht="14.25" customHeight="1">
      <c r="B63" s="1"/>
      <c r="F63" s="1"/>
      <c r="AM63" s="1"/>
    </row>
    <row r="64" ht="14.25" customHeight="1">
      <c r="B64" s="1"/>
      <c r="F64" s="1"/>
      <c r="AM64" s="1"/>
    </row>
    <row r="65" ht="14.25" customHeight="1">
      <c r="B65" s="1"/>
      <c r="F65" s="1"/>
      <c r="AM65" s="1"/>
    </row>
    <row r="66" ht="14.25" customHeight="1">
      <c r="B66" s="1"/>
      <c r="F66" s="1"/>
      <c r="AM66" s="1"/>
    </row>
    <row r="67" ht="14.25" customHeight="1">
      <c r="B67" s="1"/>
      <c r="F67" s="1"/>
      <c r="AM67" s="1"/>
    </row>
    <row r="68" ht="14.25" customHeight="1">
      <c r="B68" s="1"/>
      <c r="F68" s="1"/>
      <c r="AM68" s="1"/>
    </row>
    <row r="69" ht="14.25" customHeight="1">
      <c r="B69" s="1"/>
      <c r="F69" s="1"/>
      <c r="AM69" s="1"/>
    </row>
    <row r="70" ht="14.25" customHeight="1">
      <c r="B70" s="1"/>
      <c r="F70" s="1"/>
      <c r="AM70" s="1"/>
    </row>
    <row r="71" ht="14.25" customHeight="1">
      <c r="B71" s="1"/>
      <c r="F71" s="1"/>
      <c r="AM71" s="1"/>
    </row>
    <row r="72" ht="14.25" customHeight="1">
      <c r="B72" s="1"/>
      <c r="F72" s="1"/>
      <c r="AM72" s="1"/>
    </row>
    <row r="73" ht="14.25" customHeight="1">
      <c r="B73" s="1"/>
      <c r="F73" s="1"/>
      <c r="AM73" s="1"/>
    </row>
    <row r="74" ht="14.25" customHeight="1">
      <c r="B74" s="1"/>
      <c r="F74" s="1"/>
      <c r="AM74" s="1"/>
    </row>
    <row r="75" ht="14.25" customHeight="1">
      <c r="B75" s="1"/>
      <c r="F75" s="1"/>
      <c r="AM75" s="1"/>
    </row>
    <row r="76" ht="14.25" customHeight="1">
      <c r="B76" s="1"/>
      <c r="F76" s="1"/>
      <c r="AM76" s="1"/>
    </row>
    <row r="77" ht="14.25" customHeight="1">
      <c r="B77" s="1"/>
      <c r="F77" s="1"/>
      <c r="AM77" s="1"/>
    </row>
    <row r="78" ht="14.25" customHeight="1">
      <c r="B78" s="1"/>
      <c r="F78" s="1"/>
      <c r="AM78" s="1"/>
    </row>
    <row r="79" ht="14.25" customHeight="1">
      <c r="B79" s="1"/>
      <c r="F79" s="1"/>
      <c r="AM79" s="1"/>
    </row>
    <row r="80" ht="14.25" customHeight="1">
      <c r="B80" s="1"/>
      <c r="F80" s="1"/>
      <c r="AM80" s="1"/>
    </row>
    <row r="81" ht="14.25" customHeight="1">
      <c r="B81" s="1"/>
      <c r="F81" s="1"/>
      <c r="AM81" s="1"/>
    </row>
    <row r="82" ht="14.25" customHeight="1">
      <c r="B82" s="1"/>
      <c r="F82" s="1"/>
      <c r="AM82" s="1"/>
    </row>
    <row r="83" ht="14.25" customHeight="1">
      <c r="B83" s="1"/>
      <c r="F83" s="1"/>
      <c r="AM83" s="1"/>
    </row>
    <row r="84" ht="14.25" customHeight="1">
      <c r="B84" s="1"/>
      <c r="F84" s="1"/>
      <c r="AM84" s="1"/>
    </row>
    <row r="85" ht="14.25" customHeight="1">
      <c r="B85" s="1"/>
      <c r="F85" s="1"/>
      <c r="AM85" s="1"/>
    </row>
    <row r="86" ht="14.25" customHeight="1">
      <c r="B86" s="1"/>
      <c r="F86" s="1"/>
      <c r="AM86" s="1"/>
    </row>
    <row r="87" ht="14.25" customHeight="1">
      <c r="B87" s="1"/>
      <c r="F87" s="1"/>
      <c r="AM87" s="1"/>
    </row>
    <row r="88" ht="14.25" customHeight="1">
      <c r="B88" s="1"/>
      <c r="F88" s="1"/>
      <c r="AM88" s="1"/>
    </row>
    <row r="89" ht="14.25" customHeight="1">
      <c r="B89" s="1"/>
      <c r="F89" s="1"/>
      <c r="AM89" s="1"/>
    </row>
    <row r="90" ht="14.25" customHeight="1">
      <c r="B90" s="1"/>
      <c r="F90" s="1"/>
      <c r="AM90" s="1"/>
    </row>
    <row r="91" ht="14.25" customHeight="1">
      <c r="B91" s="1"/>
      <c r="F91" s="1"/>
      <c r="AM91" s="1"/>
    </row>
    <row r="92" ht="14.25" customHeight="1">
      <c r="B92" s="1"/>
      <c r="F92" s="1"/>
      <c r="AM92" s="1"/>
    </row>
    <row r="93" ht="14.25" customHeight="1">
      <c r="B93" s="1"/>
      <c r="F93" s="1"/>
      <c r="AM93" s="1"/>
    </row>
    <row r="94" ht="14.25" customHeight="1">
      <c r="B94" s="1"/>
      <c r="F94" s="1"/>
      <c r="AM94" s="1"/>
    </row>
    <row r="95" ht="14.25" customHeight="1">
      <c r="B95" s="1"/>
      <c r="F95" s="1"/>
      <c r="AM95" s="1"/>
    </row>
    <row r="96" ht="14.25" customHeight="1">
      <c r="B96" s="1"/>
      <c r="F96" s="1"/>
      <c r="AM96" s="1"/>
    </row>
    <row r="97" ht="14.25" customHeight="1">
      <c r="B97" s="1"/>
      <c r="F97" s="1"/>
      <c r="AM97" s="1"/>
    </row>
    <row r="98" ht="14.25" customHeight="1">
      <c r="B98" s="1"/>
      <c r="F98" s="1"/>
      <c r="AM98" s="1"/>
    </row>
    <row r="99" ht="14.25" customHeight="1">
      <c r="B99" s="1"/>
      <c r="F99" s="1"/>
      <c r="AM99" s="1"/>
    </row>
    <row r="100" ht="14.25" customHeight="1">
      <c r="B100" s="1"/>
      <c r="F100" s="1"/>
      <c r="AM100" s="1"/>
    </row>
    <row r="101" ht="14.25" customHeight="1">
      <c r="B101" s="1"/>
      <c r="F101" s="1"/>
      <c r="AM101" s="1"/>
    </row>
    <row r="102" ht="14.25" customHeight="1">
      <c r="B102" s="1"/>
      <c r="F102" s="1"/>
      <c r="AM102" s="1"/>
    </row>
    <row r="103" ht="14.25" customHeight="1">
      <c r="B103" s="1"/>
      <c r="F103" s="1"/>
      <c r="AM103" s="1"/>
    </row>
    <row r="104" ht="14.25" customHeight="1">
      <c r="B104" s="1"/>
      <c r="F104" s="1"/>
      <c r="AM104" s="1"/>
    </row>
    <row r="105" ht="14.25" customHeight="1">
      <c r="B105" s="1"/>
      <c r="F105" s="1"/>
      <c r="AM105" s="1"/>
    </row>
    <row r="106" ht="14.25" customHeight="1">
      <c r="B106" s="1"/>
      <c r="F106" s="1"/>
      <c r="AM106" s="1"/>
    </row>
    <row r="107" ht="14.25" customHeight="1">
      <c r="B107" s="1"/>
      <c r="F107" s="1"/>
      <c r="AM107" s="1"/>
    </row>
    <row r="108" ht="14.25" customHeight="1">
      <c r="B108" s="1"/>
      <c r="F108" s="1"/>
      <c r="AM108" s="1"/>
    </row>
    <row r="109" ht="14.25" customHeight="1">
      <c r="B109" s="1"/>
      <c r="F109" s="1"/>
      <c r="AM109" s="1"/>
    </row>
    <row r="110" ht="14.25" customHeight="1">
      <c r="B110" s="1"/>
      <c r="F110" s="1"/>
      <c r="AM110" s="1"/>
    </row>
    <row r="111" ht="14.25" customHeight="1">
      <c r="B111" s="1"/>
      <c r="F111" s="1"/>
      <c r="AM111" s="1"/>
    </row>
    <row r="112" ht="14.25" customHeight="1">
      <c r="B112" s="1"/>
      <c r="F112" s="1"/>
      <c r="AM112" s="1"/>
    </row>
    <row r="113" ht="14.25" customHeight="1">
      <c r="B113" s="1"/>
      <c r="F113" s="1"/>
      <c r="AM113" s="1"/>
    </row>
    <row r="114" ht="14.25" customHeight="1">
      <c r="B114" s="1"/>
      <c r="F114" s="1"/>
      <c r="AM114" s="1"/>
    </row>
    <row r="115" ht="14.25" customHeight="1">
      <c r="B115" s="1"/>
      <c r="F115" s="1"/>
      <c r="AM115" s="1"/>
    </row>
    <row r="116" ht="14.25" customHeight="1">
      <c r="B116" s="1"/>
      <c r="F116" s="1"/>
      <c r="AM116" s="1"/>
    </row>
    <row r="117" ht="14.25" customHeight="1">
      <c r="B117" s="1"/>
      <c r="F117" s="1"/>
      <c r="AM117" s="1"/>
    </row>
    <row r="118" ht="14.25" customHeight="1">
      <c r="B118" s="1"/>
      <c r="F118" s="1"/>
      <c r="AM118" s="1"/>
    </row>
    <row r="119" ht="14.25" customHeight="1">
      <c r="B119" s="1"/>
      <c r="F119" s="1"/>
      <c r="AM119" s="1"/>
    </row>
    <row r="120" ht="14.25" customHeight="1">
      <c r="B120" s="1"/>
      <c r="F120" s="1"/>
      <c r="AM120" s="1"/>
    </row>
    <row r="121" ht="14.25" customHeight="1">
      <c r="B121" s="1"/>
      <c r="F121" s="1"/>
      <c r="AM121" s="1"/>
    </row>
    <row r="122" ht="14.25" customHeight="1">
      <c r="B122" s="1"/>
      <c r="F122" s="1"/>
      <c r="AM122" s="1"/>
    </row>
    <row r="123" ht="14.25" customHeight="1">
      <c r="B123" s="1"/>
      <c r="F123" s="1"/>
      <c r="AM123" s="1"/>
    </row>
    <row r="124" ht="14.25" customHeight="1">
      <c r="B124" s="1"/>
      <c r="F124" s="1"/>
      <c r="AM124" s="1"/>
    </row>
    <row r="125" ht="14.25" customHeight="1">
      <c r="B125" s="1"/>
      <c r="F125" s="1"/>
      <c r="AM125" s="1"/>
    </row>
    <row r="126" ht="14.25" customHeight="1">
      <c r="B126" s="1"/>
      <c r="F126" s="1"/>
      <c r="AM126" s="1"/>
    </row>
    <row r="127" ht="14.25" customHeight="1">
      <c r="B127" s="1"/>
      <c r="F127" s="1"/>
      <c r="AM127" s="1"/>
    </row>
    <row r="128" ht="14.25" customHeight="1">
      <c r="B128" s="1"/>
      <c r="F128" s="1"/>
      <c r="AM128" s="1"/>
    </row>
    <row r="129" ht="14.25" customHeight="1">
      <c r="B129" s="1"/>
      <c r="F129" s="1"/>
      <c r="AM129" s="1"/>
    </row>
    <row r="130" ht="14.25" customHeight="1">
      <c r="B130" s="1"/>
      <c r="F130" s="1"/>
      <c r="AM130" s="1"/>
    </row>
    <row r="131" ht="14.25" customHeight="1">
      <c r="B131" s="1"/>
      <c r="F131" s="1"/>
      <c r="AM131" s="1"/>
    </row>
    <row r="132" ht="14.25" customHeight="1">
      <c r="B132" s="1"/>
      <c r="F132" s="1"/>
      <c r="AM132" s="1"/>
    </row>
    <row r="133" ht="14.25" customHeight="1">
      <c r="B133" s="1"/>
      <c r="F133" s="1"/>
      <c r="AM133" s="1"/>
    </row>
    <row r="134" ht="14.25" customHeight="1">
      <c r="B134" s="1"/>
      <c r="F134" s="1"/>
      <c r="AM134" s="1"/>
    </row>
    <row r="135" ht="14.25" customHeight="1">
      <c r="B135" s="1"/>
      <c r="F135" s="1"/>
      <c r="AM135" s="1"/>
    </row>
    <row r="136" ht="14.25" customHeight="1">
      <c r="B136" s="1"/>
      <c r="F136" s="1"/>
      <c r="AM136" s="1"/>
    </row>
    <row r="137" ht="14.25" customHeight="1">
      <c r="B137" s="1"/>
      <c r="F137" s="1"/>
      <c r="AM137" s="1"/>
    </row>
    <row r="138" ht="14.25" customHeight="1">
      <c r="B138" s="1"/>
      <c r="F138" s="1"/>
      <c r="AM138" s="1"/>
    </row>
    <row r="139" ht="14.25" customHeight="1">
      <c r="B139" s="1"/>
      <c r="F139" s="1"/>
      <c r="AM139" s="1"/>
    </row>
    <row r="140" ht="14.25" customHeight="1">
      <c r="B140" s="1"/>
      <c r="F140" s="1"/>
      <c r="AM140" s="1"/>
    </row>
    <row r="141" ht="14.25" customHeight="1">
      <c r="B141" s="1"/>
      <c r="F141" s="1"/>
      <c r="AM141" s="1"/>
    </row>
    <row r="142" ht="14.25" customHeight="1">
      <c r="B142" s="1"/>
      <c r="F142" s="1"/>
      <c r="AM142" s="1"/>
    </row>
    <row r="143" ht="14.25" customHeight="1">
      <c r="B143" s="1"/>
      <c r="F143" s="1"/>
      <c r="AM143" s="1"/>
    </row>
    <row r="144" ht="14.25" customHeight="1">
      <c r="B144" s="1"/>
      <c r="F144" s="1"/>
      <c r="AM144" s="1"/>
    </row>
    <row r="145" ht="14.25" customHeight="1">
      <c r="B145" s="1"/>
      <c r="F145" s="1"/>
      <c r="AM145" s="1"/>
    </row>
    <row r="146" ht="14.25" customHeight="1">
      <c r="B146" s="1"/>
      <c r="F146" s="1"/>
      <c r="AM146" s="1"/>
    </row>
    <row r="147" ht="14.25" customHeight="1">
      <c r="B147" s="1"/>
      <c r="F147" s="1"/>
      <c r="AM147" s="1"/>
    </row>
    <row r="148" ht="14.25" customHeight="1">
      <c r="B148" s="1"/>
      <c r="F148" s="1"/>
      <c r="AM148" s="1"/>
    </row>
    <row r="149" ht="14.25" customHeight="1">
      <c r="B149" s="1"/>
      <c r="F149" s="1"/>
      <c r="AM149" s="1"/>
    </row>
    <row r="150" ht="14.25" customHeight="1">
      <c r="B150" s="1"/>
      <c r="F150" s="1"/>
      <c r="AM150" s="1"/>
    </row>
    <row r="151" ht="14.25" customHeight="1">
      <c r="B151" s="1"/>
      <c r="F151" s="1"/>
      <c r="AM151" s="1"/>
    </row>
    <row r="152" ht="14.25" customHeight="1">
      <c r="B152" s="1"/>
      <c r="F152" s="1"/>
      <c r="AM152" s="1"/>
    </row>
    <row r="153" ht="14.25" customHeight="1">
      <c r="B153" s="1"/>
      <c r="F153" s="1"/>
      <c r="AM153" s="1"/>
    </row>
    <row r="154" ht="14.25" customHeight="1">
      <c r="B154" s="1"/>
      <c r="F154" s="1"/>
      <c r="AM154" s="1"/>
    </row>
    <row r="155" ht="14.25" customHeight="1">
      <c r="B155" s="1"/>
      <c r="F155" s="1"/>
      <c r="AM155" s="1"/>
    </row>
    <row r="156" ht="14.25" customHeight="1">
      <c r="B156" s="1"/>
      <c r="F156" s="1"/>
      <c r="AM156" s="1"/>
    </row>
    <row r="157" ht="14.25" customHeight="1">
      <c r="B157" s="1"/>
      <c r="F157" s="1"/>
      <c r="AM157" s="1"/>
    </row>
    <row r="158" ht="14.25" customHeight="1">
      <c r="B158" s="1"/>
      <c r="F158" s="1"/>
      <c r="AM158" s="1"/>
    </row>
    <row r="159" ht="14.25" customHeight="1">
      <c r="B159" s="1"/>
      <c r="F159" s="1"/>
      <c r="AM159" s="1"/>
    </row>
    <row r="160" ht="14.25" customHeight="1">
      <c r="B160" s="1"/>
      <c r="F160" s="1"/>
      <c r="AM160" s="1"/>
    </row>
    <row r="161" ht="14.25" customHeight="1">
      <c r="B161" s="1"/>
      <c r="F161" s="1"/>
      <c r="AM161" s="1"/>
    </row>
    <row r="162" ht="14.25" customHeight="1">
      <c r="B162" s="1"/>
      <c r="F162" s="1"/>
      <c r="AM162" s="1"/>
    </row>
    <row r="163" ht="14.25" customHeight="1">
      <c r="B163" s="1"/>
      <c r="F163" s="1"/>
      <c r="AM163" s="1"/>
    </row>
    <row r="164" ht="14.25" customHeight="1">
      <c r="B164" s="1"/>
      <c r="F164" s="1"/>
      <c r="AM164" s="1"/>
    </row>
    <row r="165" ht="14.25" customHeight="1">
      <c r="B165" s="1"/>
      <c r="F165" s="1"/>
      <c r="AM165" s="1"/>
    </row>
    <row r="166" ht="14.25" customHeight="1">
      <c r="B166" s="1"/>
      <c r="F166" s="1"/>
      <c r="AM166" s="1"/>
    </row>
    <row r="167" ht="14.25" customHeight="1">
      <c r="B167" s="1"/>
      <c r="F167" s="1"/>
      <c r="AM167" s="1"/>
    </row>
    <row r="168" ht="14.25" customHeight="1">
      <c r="B168" s="1"/>
      <c r="F168" s="1"/>
      <c r="AM168" s="1"/>
    </row>
    <row r="169" ht="14.25" customHeight="1">
      <c r="B169" s="1"/>
      <c r="F169" s="1"/>
      <c r="AM169" s="1"/>
    </row>
    <row r="170" ht="14.25" customHeight="1">
      <c r="B170" s="1"/>
      <c r="F170" s="1"/>
      <c r="AM170" s="1"/>
    </row>
    <row r="171" ht="14.25" customHeight="1">
      <c r="B171" s="1"/>
      <c r="F171" s="1"/>
      <c r="AM171" s="1"/>
    </row>
    <row r="172" ht="14.25" customHeight="1">
      <c r="B172" s="1"/>
      <c r="F172" s="1"/>
      <c r="AM172" s="1"/>
    </row>
    <row r="173" ht="14.25" customHeight="1">
      <c r="B173" s="1"/>
      <c r="F173" s="1"/>
      <c r="AM173" s="1"/>
    </row>
    <row r="174" ht="14.25" customHeight="1">
      <c r="B174" s="1"/>
      <c r="F174" s="1"/>
      <c r="AM174" s="1"/>
    </row>
    <row r="175" ht="14.25" customHeight="1">
      <c r="B175" s="1"/>
      <c r="F175" s="1"/>
      <c r="AM175" s="1"/>
    </row>
    <row r="176" ht="14.25" customHeight="1">
      <c r="B176" s="1"/>
      <c r="F176" s="1"/>
      <c r="AM176" s="1"/>
    </row>
    <row r="177" ht="14.25" customHeight="1">
      <c r="B177" s="1"/>
      <c r="F177" s="1"/>
      <c r="AM177" s="1"/>
    </row>
    <row r="178" ht="14.25" customHeight="1">
      <c r="B178" s="1"/>
      <c r="F178" s="1"/>
      <c r="AM178" s="1"/>
    </row>
    <row r="179" ht="14.25" customHeight="1">
      <c r="B179" s="1"/>
      <c r="F179" s="1"/>
      <c r="AM179" s="1"/>
    </row>
    <row r="180" ht="14.25" customHeight="1">
      <c r="B180" s="1"/>
      <c r="F180" s="1"/>
      <c r="AM180" s="1"/>
    </row>
    <row r="181" ht="14.25" customHeight="1">
      <c r="B181" s="1"/>
      <c r="F181" s="1"/>
      <c r="AM181" s="1"/>
    </row>
    <row r="182" ht="14.25" customHeight="1">
      <c r="B182" s="1"/>
      <c r="F182" s="1"/>
      <c r="AM182" s="1"/>
    </row>
    <row r="183" ht="14.25" customHeight="1">
      <c r="B183" s="1"/>
      <c r="F183" s="1"/>
      <c r="AM183" s="1"/>
    </row>
    <row r="184" ht="14.25" customHeight="1">
      <c r="B184" s="1"/>
      <c r="F184" s="1"/>
      <c r="AM184" s="1"/>
    </row>
    <row r="185" ht="14.25" customHeight="1">
      <c r="B185" s="1"/>
      <c r="F185" s="1"/>
      <c r="AM185" s="1"/>
    </row>
    <row r="186" ht="14.25" customHeight="1">
      <c r="B186" s="1"/>
      <c r="F186" s="1"/>
      <c r="AM186" s="1"/>
    </row>
    <row r="187" ht="14.25" customHeight="1">
      <c r="B187" s="1"/>
      <c r="F187" s="1"/>
      <c r="AM187" s="1"/>
    </row>
    <row r="188" ht="14.25" customHeight="1">
      <c r="B188" s="1"/>
      <c r="F188" s="1"/>
      <c r="AM188" s="1"/>
    </row>
    <row r="189" ht="14.25" customHeight="1">
      <c r="B189" s="1"/>
      <c r="F189" s="1"/>
      <c r="AM189" s="1"/>
    </row>
    <row r="190" ht="14.25" customHeight="1">
      <c r="B190" s="1"/>
      <c r="F190" s="1"/>
      <c r="AM190" s="1"/>
    </row>
    <row r="191" ht="14.25" customHeight="1">
      <c r="B191" s="1"/>
      <c r="F191" s="1"/>
      <c r="AM191" s="1"/>
    </row>
    <row r="192" ht="14.25" customHeight="1">
      <c r="B192" s="1"/>
      <c r="F192" s="1"/>
      <c r="AM192" s="1"/>
    </row>
    <row r="193" ht="14.25" customHeight="1">
      <c r="B193" s="1"/>
      <c r="F193" s="1"/>
      <c r="AM193" s="1"/>
    </row>
    <row r="194" ht="14.25" customHeight="1">
      <c r="B194" s="1"/>
      <c r="F194" s="1"/>
      <c r="AM194" s="1"/>
    </row>
    <row r="195" ht="14.25" customHeight="1">
      <c r="B195" s="1"/>
      <c r="F195" s="1"/>
      <c r="AM195" s="1"/>
    </row>
    <row r="196" ht="14.25" customHeight="1">
      <c r="B196" s="1"/>
      <c r="F196" s="1"/>
      <c r="AM196" s="1"/>
    </row>
    <row r="197" ht="14.25" customHeight="1">
      <c r="B197" s="1"/>
      <c r="F197" s="1"/>
      <c r="AM197" s="1"/>
    </row>
    <row r="198" ht="14.25" customHeight="1">
      <c r="B198" s="1"/>
      <c r="F198" s="1"/>
      <c r="AM198" s="1"/>
    </row>
    <row r="199" ht="14.25" customHeight="1">
      <c r="B199" s="1"/>
      <c r="F199" s="1"/>
      <c r="AM199" s="1"/>
    </row>
    <row r="200" ht="14.25" customHeight="1">
      <c r="B200" s="1"/>
      <c r="F200" s="1"/>
      <c r="AM200" s="1"/>
    </row>
    <row r="201" ht="14.25" customHeight="1">
      <c r="B201" s="1"/>
      <c r="F201" s="1"/>
      <c r="AM201" s="1"/>
    </row>
    <row r="202" ht="14.25" customHeight="1">
      <c r="B202" s="1"/>
      <c r="F202" s="1"/>
      <c r="AM202" s="1"/>
    </row>
    <row r="203" ht="14.25" customHeight="1">
      <c r="B203" s="1"/>
      <c r="F203" s="1"/>
      <c r="AM203" s="1"/>
    </row>
    <row r="204" ht="14.25" customHeight="1">
      <c r="B204" s="1"/>
      <c r="F204" s="1"/>
      <c r="AM204" s="1"/>
    </row>
    <row r="205" ht="14.25" customHeight="1">
      <c r="B205" s="1"/>
      <c r="F205" s="1"/>
      <c r="AM205" s="1"/>
    </row>
    <row r="206" ht="14.25" customHeight="1">
      <c r="B206" s="1"/>
      <c r="F206" s="1"/>
      <c r="AM206" s="1"/>
    </row>
    <row r="207" ht="14.25" customHeight="1">
      <c r="B207" s="1"/>
      <c r="F207" s="1"/>
      <c r="AM207" s="1"/>
    </row>
    <row r="208" ht="14.25" customHeight="1">
      <c r="B208" s="1"/>
      <c r="F208" s="1"/>
      <c r="AM208" s="1"/>
    </row>
    <row r="209" ht="14.25" customHeight="1">
      <c r="B209" s="1"/>
      <c r="F209" s="1"/>
      <c r="AM209" s="1"/>
    </row>
    <row r="210" ht="14.25" customHeight="1">
      <c r="B210" s="1"/>
      <c r="F210" s="1"/>
      <c r="AM210" s="1"/>
    </row>
    <row r="211" ht="14.25" customHeight="1">
      <c r="B211" s="1"/>
      <c r="F211" s="1"/>
      <c r="AM211" s="1"/>
    </row>
    <row r="212" ht="14.25" customHeight="1">
      <c r="B212" s="1"/>
      <c r="F212" s="1"/>
      <c r="AM212" s="1"/>
    </row>
    <row r="213" ht="14.25" customHeight="1">
      <c r="B213" s="1"/>
      <c r="F213" s="1"/>
      <c r="AM213" s="1"/>
    </row>
    <row r="214" ht="14.25" customHeight="1">
      <c r="B214" s="1"/>
      <c r="F214" s="1"/>
      <c r="AM214" s="1"/>
    </row>
    <row r="215" ht="14.25" customHeight="1">
      <c r="B215" s="1"/>
      <c r="F215" s="1"/>
      <c r="AM215" s="1"/>
    </row>
    <row r="216" ht="14.25" customHeight="1">
      <c r="B216" s="1"/>
      <c r="F216" s="1"/>
      <c r="AM216" s="1"/>
    </row>
    <row r="217" ht="14.25" customHeight="1">
      <c r="B217" s="1"/>
      <c r="F217" s="1"/>
      <c r="AM217" s="1"/>
    </row>
    <row r="218" ht="14.25" customHeight="1">
      <c r="B218" s="1"/>
      <c r="F218" s="1"/>
      <c r="AM218" s="1"/>
    </row>
    <row r="219" ht="14.25" customHeight="1">
      <c r="B219" s="1"/>
      <c r="F219" s="1"/>
      <c r="AM219" s="1"/>
    </row>
    <row r="220" ht="14.25" customHeight="1">
      <c r="B220" s="1"/>
      <c r="F220" s="1"/>
      <c r="AM220" s="1"/>
    </row>
    <row r="221" ht="14.25" customHeight="1">
      <c r="B221" s="1"/>
      <c r="F221" s="1"/>
      <c r="AM221" s="1"/>
    </row>
    <row r="222" ht="14.25" customHeight="1">
      <c r="B222" s="1"/>
      <c r="F222" s="1"/>
      <c r="AM222" s="1"/>
    </row>
    <row r="223" ht="14.25" customHeight="1">
      <c r="B223" s="1"/>
      <c r="F223" s="1"/>
      <c r="AM223" s="1"/>
    </row>
    <row r="224" ht="14.25" customHeight="1">
      <c r="B224" s="1"/>
      <c r="F224" s="1"/>
      <c r="AM224" s="1"/>
    </row>
    <row r="225" ht="14.25" customHeight="1">
      <c r="B225" s="1"/>
      <c r="F225" s="1"/>
      <c r="AM225" s="1"/>
    </row>
    <row r="226" ht="14.25" customHeight="1">
      <c r="B226" s="1"/>
      <c r="F226" s="1"/>
      <c r="AM226" s="1"/>
    </row>
    <row r="227" ht="14.25" customHeight="1">
      <c r="B227" s="1"/>
      <c r="F227" s="1"/>
      <c r="AM227" s="1"/>
    </row>
    <row r="228" ht="14.25" customHeight="1">
      <c r="B228" s="1"/>
      <c r="F228" s="1"/>
      <c r="AM228" s="1"/>
    </row>
    <row r="229" ht="14.25" customHeight="1">
      <c r="B229" s="1"/>
      <c r="F229" s="1"/>
      <c r="AM229" s="1"/>
    </row>
    <row r="230" ht="14.25" customHeight="1">
      <c r="B230" s="1"/>
      <c r="F230" s="1"/>
      <c r="AM230" s="1"/>
    </row>
    <row r="231" ht="14.25" customHeight="1">
      <c r="B231" s="1"/>
      <c r="F231" s="1"/>
      <c r="AM231" s="1"/>
    </row>
    <row r="232" ht="14.25" customHeight="1">
      <c r="B232" s="1"/>
      <c r="F232" s="1"/>
      <c r="AM232" s="1"/>
    </row>
    <row r="233" ht="14.25" customHeight="1">
      <c r="B233" s="1"/>
      <c r="F233" s="1"/>
      <c r="AM233" s="1"/>
    </row>
    <row r="234" ht="14.25" customHeight="1">
      <c r="B234" s="1"/>
      <c r="F234" s="1"/>
      <c r="AM234" s="1"/>
    </row>
    <row r="235" ht="14.25" customHeight="1">
      <c r="B235" s="1"/>
      <c r="F235" s="1"/>
      <c r="AM235" s="1"/>
    </row>
    <row r="236" ht="14.25" customHeight="1">
      <c r="B236" s="1"/>
      <c r="F236" s="1"/>
      <c r="AM236" s="1"/>
    </row>
    <row r="237" ht="14.25" customHeight="1">
      <c r="B237" s="1"/>
      <c r="F237" s="1"/>
      <c r="AM237" s="1"/>
    </row>
    <row r="238" ht="14.25" customHeight="1">
      <c r="B238" s="1"/>
      <c r="F238" s="1"/>
      <c r="AM238" s="1"/>
    </row>
    <row r="239" ht="14.25" customHeight="1">
      <c r="B239" s="1"/>
      <c r="F239" s="1"/>
      <c r="AM239" s="1"/>
    </row>
    <row r="240" ht="14.25" customHeight="1">
      <c r="B240" s="1"/>
      <c r="F240" s="1"/>
      <c r="AM240" s="1"/>
    </row>
    <row r="241" ht="14.25" customHeight="1">
      <c r="B241" s="1"/>
      <c r="F241" s="1"/>
      <c r="AM241" s="1"/>
    </row>
    <row r="242" ht="14.25" customHeight="1">
      <c r="B242" s="1"/>
      <c r="F242" s="1"/>
      <c r="AM242" s="1"/>
    </row>
    <row r="243" ht="14.25" customHeight="1">
      <c r="B243" s="1"/>
      <c r="F243" s="1"/>
      <c r="AM243" s="1"/>
    </row>
    <row r="244" ht="14.25" customHeight="1">
      <c r="B244" s="1"/>
      <c r="F244" s="1"/>
      <c r="AM244" s="1"/>
    </row>
    <row r="245" ht="14.25" customHeight="1">
      <c r="B245" s="1"/>
      <c r="F245" s="1"/>
      <c r="AM245" s="1"/>
    </row>
    <row r="246" ht="14.25" customHeight="1">
      <c r="B246" s="1"/>
      <c r="F246" s="1"/>
      <c r="AM246" s="1"/>
    </row>
    <row r="247" ht="14.25" customHeight="1">
      <c r="B247" s="1"/>
      <c r="F247" s="1"/>
      <c r="AM247" s="1"/>
    </row>
    <row r="248" ht="14.25" customHeight="1">
      <c r="B248" s="1"/>
      <c r="F248" s="1"/>
      <c r="AM248" s="1"/>
    </row>
    <row r="249" ht="14.25" customHeight="1">
      <c r="B249" s="1"/>
      <c r="F249" s="1"/>
      <c r="AM249" s="1"/>
    </row>
    <row r="250" ht="14.25" customHeight="1">
      <c r="B250" s="1"/>
      <c r="F250" s="1"/>
      <c r="AM250" s="1"/>
    </row>
    <row r="251" ht="14.25" customHeight="1">
      <c r="B251" s="1"/>
      <c r="F251" s="1"/>
      <c r="AM251" s="1"/>
    </row>
    <row r="252" ht="14.25" customHeight="1">
      <c r="B252" s="1"/>
      <c r="F252" s="1"/>
      <c r="AM252" s="1"/>
    </row>
    <row r="253" ht="14.25" customHeight="1">
      <c r="B253" s="1"/>
      <c r="F253" s="1"/>
      <c r="AM253" s="1"/>
    </row>
    <row r="254" ht="14.25" customHeight="1">
      <c r="B254" s="1"/>
      <c r="F254" s="1"/>
      <c r="AM254" s="1"/>
    </row>
    <row r="255" ht="14.25" customHeight="1">
      <c r="B255" s="1"/>
      <c r="F255" s="1"/>
      <c r="AM255" s="1"/>
    </row>
    <row r="256" ht="14.25" customHeight="1">
      <c r="B256" s="1"/>
      <c r="F256" s="1"/>
      <c r="AM256" s="1"/>
    </row>
    <row r="257" ht="14.25" customHeight="1">
      <c r="B257" s="1"/>
      <c r="F257" s="1"/>
      <c r="AM257" s="1"/>
    </row>
    <row r="258" ht="14.25" customHeight="1">
      <c r="B258" s="1"/>
      <c r="F258" s="1"/>
      <c r="AM258" s="1"/>
    </row>
    <row r="259" ht="14.25" customHeight="1">
      <c r="B259" s="1"/>
      <c r="F259" s="1"/>
      <c r="AM259" s="1"/>
    </row>
    <row r="260" ht="14.25" customHeight="1">
      <c r="B260" s="1"/>
      <c r="F260" s="1"/>
      <c r="AM260" s="1"/>
    </row>
    <row r="261" ht="14.25" customHeight="1">
      <c r="B261" s="1"/>
      <c r="F261" s="1"/>
      <c r="AM261" s="1"/>
    </row>
    <row r="262" ht="14.25" customHeight="1">
      <c r="B262" s="1"/>
      <c r="F262" s="1"/>
      <c r="AM262" s="1"/>
    </row>
    <row r="263" ht="14.25" customHeight="1">
      <c r="B263" s="1"/>
      <c r="F263" s="1"/>
      <c r="AM263" s="1"/>
    </row>
    <row r="264" ht="14.25" customHeight="1">
      <c r="B264" s="1"/>
      <c r="F264" s="1"/>
      <c r="AM264" s="1"/>
    </row>
    <row r="265" ht="14.25" customHeight="1">
      <c r="B265" s="1"/>
      <c r="F265" s="1"/>
      <c r="AM265" s="1"/>
    </row>
    <row r="266" ht="14.25" customHeight="1">
      <c r="B266" s="1"/>
      <c r="F266" s="1"/>
      <c r="AM266" s="1"/>
    </row>
    <row r="267" ht="14.25" customHeight="1">
      <c r="B267" s="1"/>
      <c r="F267" s="1"/>
      <c r="AM267" s="1"/>
    </row>
    <row r="268" ht="14.25" customHeight="1">
      <c r="B268" s="1"/>
      <c r="F268" s="1"/>
      <c r="AM268" s="1"/>
    </row>
    <row r="269" ht="14.25" customHeight="1">
      <c r="B269" s="1"/>
      <c r="F269" s="1"/>
      <c r="AM269" s="1"/>
    </row>
    <row r="270" ht="14.25" customHeight="1">
      <c r="B270" s="1"/>
      <c r="F270" s="1"/>
      <c r="AM270" s="1"/>
    </row>
    <row r="271" ht="14.25" customHeight="1">
      <c r="B271" s="1"/>
      <c r="F271" s="1"/>
      <c r="AM271" s="1"/>
    </row>
    <row r="272" ht="14.25" customHeight="1">
      <c r="B272" s="1"/>
      <c r="F272" s="1"/>
      <c r="AM272" s="1"/>
    </row>
    <row r="273" ht="14.25" customHeight="1">
      <c r="B273" s="1"/>
      <c r="F273" s="1"/>
      <c r="AM273" s="1"/>
    </row>
    <row r="274" ht="14.25" customHeight="1">
      <c r="B274" s="1"/>
      <c r="F274" s="1"/>
      <c r="AM274" s="1"/>
    </row>
    <row r="275" ht="14.25" customHeight="1">
      <c r="B275" s="1"/>
      <c r="F275" s="1"/>
      <c r="AM275" s="1"/>
    </row>
    <row r="276" ht="14.25" customHeight="1">
      <c r="B276" s="1"/>
      <c r="F276" s="1"/>
      <c r="AM276" s="1"/>
    </row>
    <row r="277" ht="14.25" customHeight="1">
      <c r="B277" s="1"/>
      <c r="F277" s="1"/>
      <c r="AM277" s="1"/>
    </row>
    <row r="278" ht="14.25" customHeight="1">
      <c r="B278" s="1"/>
      <c r="F278" s="1"/>
      <c r="AM278" s="1"/>
    </row>
    <row r="279" ht="14.25" customHeight="1">
      <c r="B279" s="1"/>
      <c r="F279" s="1"/>
      <c r="AM279" s="1"/>
    </row>
    <row r="280" ht="14.25" customHeight="1">
      <c r="B280" s="1"/>
      <c r="F280" s="1"/>
      <c r="AM280" s="1"/>
    </row>
    <row r="281" ht="14.25" customHeight="1">
      <c r="B281" s="1"/>
      <c r="F281" s="1"/>
      <c r="AM281" s="1"/>
    </row>
    <row r="282" ht="14.25" customHeight="1">
      <c r="B282" s="1"/>
      <c r="F282" s="1"/>
      <c r="AM282" s="1"/>
    </row>
    <row r="283" ht="14.25" customHeight="1">
      <c r="B283" s="1"/>
      <c r="F283" s="1"/>
      <c r="AM283" s="1"/>
    </row>
    <row r="284" ht="14.25" customHeight="1">
      <c r="B284" s="1"/>
      <c r="F284" s="1"/>
      <c r="AM284" s="1"/>
    </row>
    <row r="285" ht="14.25" customHeight="1">
      <c r="B285" s="1"/>
      <c r="F285" s="1"/>
      <c r="AM285" s="1"/>
    </row>
    <row r="286" ht="14.25" customHeight="1">
      <c r="B286" s="1"/>
      <c r="F286" s="1"/>
      <c r="AM286" s="1"/>
    </row>
    <row r="287" ht="14.25" customHeight="1">
      <c r="B287" s="1"/>
      <c r="F287" s="1"/>
      <c r="AM287" s="1"/>
    </row>
    <row r="288" ht="14.25" customHeight="1">
      <c r="B288" s="1"/>
      <c r="F288" s="1"/>
      <c r="AM288" s="1"/>
    </row>
    <row r="289" ht="14.25" customHeight="1">
      <c r="B289" s="1"/>
      <c r="F289" s="1"/>
      <c r="AM289" s="1"/>
    </row>
    <row r="290" ht="14.25" customHeight="1">
      <c r="B290" s="1"/>
      <c r="F290" s="1"/>
      <c r="AM290" s="1"/>
    </row>
    <row r="291" ht="14.25" customHeight="1">
      <c r="B291" s="1"/>
      <c r="F291" s="1"/>
      <c r="AM291" s="1"/>
    </row>
    <row r="292" ht="14.25" customHeight="1">
      <c r="B292" s="1"/>
      <c r="F292" s="1"/>
      <c r="AM292" s="1"/>
    </row>
    <row r="293" ht="14.25" customHeight="1">
      <c r="B293" s="1"/>
      <c r="F293" s="1"/>
      <c r="AM293" s="1"/>
    </row>
    <row r="294" ht="14.25" customHeight="1">
      <c r="B294" s="1"/>
      <c r="F294" s="1"/>
      <c r="AM294" s="1"/>
    </row>
    <row r="295" ht="14.25" customHeight="1">
      <c r="B295" s="1"/>
      <c r="F295" s="1"/>
      <c r="AM295" s="1"/>
    </row>
    <row r="296" ht="14.25" customHeight="1">
      <c r="B296" s="1"/>
      <c r="F296" s="1"/>
      <c r="AM296" s="1"/>
    </row>
    <row r="297" ht="14.25" customHeight="1">
      <c r="B297" s="1"/>
      <c r="F297" s="1"/>
      <c r="AM297" s="1"/>
    </row>
    <row r="298" ht="14.25" customHeight="1">
      <c r="B298" s="1"/>
      <c r="F298" s="1"/>
      <c r="AM298" s="1"/>
    </row>
    <row r="299" ht="14.25" customHeight="1">
      <c r="B299" s="1"/>
      <c r="F299" s="1"/>
      <c r="AM299" s="1"/>
    </row>
    <row r="300" ht="14.25" customHeight="1">
      <c r="B300" s="1"/>
      <c r="F300" s="1"/>
      <c r="AM300" s="1"/>
    </row>
    <row r="301" ht="14.25" customHeight="1">
      <c r="B301" s="1"/>
      <c r="F301" s="1"/>
      <c r="AM301" s="1"/>
    </row>
    <row r="302" ht="14.25" customHeight="1">
      <c r="B302" s="1"/>
      <c r="F302" s="1"/>
      <c r="AM302" s="1"/>
    </row>
    <row r="303" ht="14.25" customHeight="1">
      <c r="B303" s="1"/>
      <c r="F303" s="1"/>
      <c r="AM303" s="1"/>
    </row>
    <row r="304" ht="14.25" customHeight="1">
      <c r="B304" s="1"/>
      <c r="F304" s="1"/>
      <c r="AM304" s="1"/>
    </row>
    <row r="305" ht="14.25" customHeight="1">
      <c r="B305" s="1"/>
      <c r="F305" s="1"/>
      <c r="AM305" s="1"/>
    </row>
    <row r="306" ht="14.25" customHeight="1">
      <c r="B306" s="1"/>
      <c r="F306" s="1"/>
      <c r="AM306" s="1"/>
    </row>
    <row r="307" ht="14.25" customHeight="1">
      <c r="B307" s="1"/>
      <c r="F307" s="1"/>
      <c r="AM307" s="1"/>
    </row>
    <row r="308" ht="14.25" customHeight="1">
      <c r="B308" s="1"/>
      <c r="F308" s="1"/>
      <c r="AM308" s="1"/>
    </row>
    <row r="309" ht="14.25" customHeight="1">
      <c r="B309" s="1"/>
      <c r="F309" s="1"/>
      <c r="AM309" s="1"/>
    </row>
    <row r="310" ht="14.25" customHeight="1">
      <c r="B310" s="1"/>
      <c r="F310" s="1"/>
      <c r="AM310" s="1"/>
    </row>
    <row r="311" ht="14.25" customHeight="1">
      <c r="B311" s="1"/>
      <c r="F311" s="1"/>
      <c r="AM311" s="1"/>
    </row>
    <row r="312" ht="14.25" customHeight="1">
      <c r="B312" s="1"/>
      <c r="F312" s="1"/>
      <c r="AM312" s="1"/>
    </row>
    <row r="313" ht="14.25" customHeight="1">
      <c r="B313" s="1"/>
      <c r="F313" s="1"/>
      <c r="AM313" s="1"/>
    </row>
    <row r="314" ht="14.25" customHeight="1">
      <c r="B314" s="1"/>
      <c r="F314" s="1"/>
      <c r="AM314" s="1"/>
    </row>
    <row r="315" ht="14.25" customHeight="1">
      <c r="B315" s="1"/>
      <c r="F315" s="1"/>
      <c r="AM315" s="1"/>
    </row>
    <row r="316" ht="14.25" customHeight="1">
      <c r="B316" s="1"/>
      <c r="F316" s="1"/>
      <c r="AM316" s="1"/>
    </row>
    <row r="317" ht="14.25" customHeight="1">
      <c r="B317" s="1"/>
      <c r="F317" s="1"/>
      <c r="AM317" s="1"/>
    </row>
    <row r="318" ht="14.25" customHeight="1">
      <c r="B318" s="1"/>
      <c r="F318" s="1"/>
      <c r="AM318" s="1"/>
    </row>
    <row r="319" ht="14.25" customHeight="1">
      <c r="B319" s="1"/>
      <c r="F319" s="1"/>
      <c r="AM319" s="1"/>
    </row>
    <row r="320" ht="14.25" customHeight="1">
      <c r="B320" s="1"/>
      <c r="F320" s="1"/>
      <c r="AM320" s="1"/>
    </row>
    <row r="321" ht="14.25" customHeight="1">
      <c r="B321" s="1"/>
      <c r="F321" s="1"/>
      <c r="AM321" s="1"/>
    </row>
    <row r="322" ht="14.25" customHeight="1">
      <c r="B322" s="1"/>
      <c r="F322" s="1"/>
      <c r="AM322" s="1"/>
    </row>
    <row r="323" ht="14.25" customHeight="1">
      <c r="B323" s="1"/>
      <c r="F323" s="1"/>
      <c r="AM323" s="1"/>
    </row>
    <row r="324" ht="14.25" customHeight="1">
      <c r="B324" s="1"/>
      <c r="F324" s="1"/>
      <c r="AM324" s="1"/>
    </row>
    <row r="325" ht="14.25" customHeight="1">
      <c r="B325" s="1"/>
      <c r="F325" s="1"/>
      <c r="AM325" s="1"/>
    </row>
    <row r="326" ht="14.25" customHeight="1">
      <c r="B326" s="1"/>
      <c r="F326" s="1"/>
      <c r="AM326" s="1"/>
    </row>
    <row r="327" ht="14.25" customHeight="1">
      <c r="B327" s="1"/>
      <c r="F327" s="1"/>
      <c r="AM327" s="1"/>
    </row>
    <row r="328" ht="14.25" customHeight="1">
      <c r="B328" s="1"/>
      <c r="F328" s="1"/>
      <c r="AM328" s="1"/>
    </row>
    <row r="329" ht="14.25" customHeight="1">
      <c r="B329" s="1"/>
      <c r="F329" s="1"/>
      <c r="AM329" s="1"/>
    </row>
    <row r="330" ht="14.25" customHeight="1">
      <c r="B330" s="1"/>
      <c r="F330" s="1"/>
      <c r="AM330" s="1"/>
    </row>
    <row r="331" ht="14.25" customHeight="1">
      <c r="B331" s="1"/>
      <c r="F331" s="1"/>
      <c r="AM331" s="1"/>
    </row>
    <row r="332" ht="14.25" customHeight="1">
      <c r="B332" s="1"/>
      <c r="F332" s="1"/>
      <c r="AM332" s="1"/>
    </row>
    <row r="333" ht="14.25" customHeight="1">
      <c r="B333" s="1"/>
      <c r="F333" s="1"/>
      <c r="AM333" s="1"/>
    </row>
    <row r="334" ht="14.25" customHeight="1">
      <c r="B334" s="1"/>
      <c r="F334" s="1"/>
      <c r="AM334" s="1"/>
    </row>
    <row r="335" ht="14.25" customHeight="1">
      <c r="B335" s="1"/>
      <c r="F335" s="1"/>
      <c r="AM335" s="1"/>
    </row>
    <row r="336" ht="14.25" customHeight="1">
      <c r="B336" s="1"/>
      <c r="F336" s="1"/>
      <c r="AM336" s="1"/>
    </row>
    <row r="337" ht="14.25" customHeight="1">
      <c r="B337" s="1"/>
      <c r="F337" s="1"/>
      <c r="AM337" s="1"/>
    </row>
    <row r="338" ht="14.25" customHeight="1">
      <c r="B338" s="1"/>
      <c r="F338" s="1"/>
      <c r="AM338" s="1"/>
    </row>
    <row r="339" ht="14.25" customHeight="1">
      <c r="B339" s="1"/>
      <c r="F339" s="1"/>
      <c r="AM339" s="1"/>
    </row>
    <row r="340" ht="14.25" customHeight="1">
      <c r="B340" s="1"/>
      <c r="F340" s="1"/>
      <c r="AM340" s="1"/>
    </row>
    <row r="341" ht="14.25" customHeight="1">
      <c r="B341" s="1"/>
      <c r="F341" s="1"/>
      <c r="AM341" s="1"/>
    </row>
    <row r="342" ht="14.25" customHeight="1">
      <c r="B342" s="1"/>
      <c r="F342" s="1"/>
      <c r="AM342" s="1"/>
    </row>
    <row r="343" ht="14.25" customHeight="1">
      <c r="B343" s="1"/>
      <c r="F343" s="1"/>
      <c r="AM343" s="1"/>
    </row>
    <row r="344" ht="14.25" customHeight="1">
      <c r="B344" s="1"/>
      <c r="F344" s="1"/>
      <c r="AM344" s="1"/>
    </row>
    <row r="345" ht="14.25" customHeight="1">
      <c r="B345" s="1"/>
      <c r="F345" s="1"/>
      <c r="AM345" s="1"/>
    </row>
    <row r="346" ht="14.25" customHeight="1">
      <c r="B346" s="1"/>
      <c r="F346" s="1"/>
      <c r="AM346" s="1"/>
    </row>
    <row r="347" ht="14.25" customHeight="1">
      <c r="B347" s="1"/>
      <c r="F347" s="1"/>
      <c r="AM347" s="1"/>
    </row>
    <row r="348" ht="14.25" customHeight="1">
      <c r="B348" s="1"/>
      <c r="F348" s="1"/>
      <c r="AM348" s="1"/>
    </row>
    <row r="349" ht="14.25" customHeight="1">
      <c r="B349" s="1"/>
      <c r="F349" s="1"/>
      <c r="AM349" s="1"/>
    </row>
    <row r="350" ht="14.25" customHeight="1">
      <c r="B350" s="1"/>
      <c r="F350" s="1"/>
      <c r="AM350" s="1"/>
    </row>
    <row r="351" ht="14.25" customHeight="1">
      <c r="B351" s="1"/>
      <c r="F351" s="1"/>
      <c r="AM351" s="1"/>
    </row>
    <row r="352" ht="14.25" customHeight="1">
      <c r="B352" s="1"/>
      <c r="F352" s="1"/>
      <c r="AM352" s="1"/>
    </row>
    <row r="353" ht="14.25" customHeight="1">
      <c r="B353" s="1"/>
      <c r="F353" s="1"/>
      <c r="AM353" s="1"/>
    </row>
    <row r="354" ht="14.25" customHeight="1">
      <c r="B354" s="1"/>
      <c r="F354" s="1"/>
      <c r="AM354" s="1"/>
    </row>
    <row r="355" ht="14.25" customHeight="1">
      <c r="B355" s="1"/>
      <c r="F355" s="1"/>
      <c r="AM355" s="1"/>
    </row>
    <row r="356" ht="14.25" customHeight="1">
      <c r="B356" s="1"/>
      <c r="F356" s="1"/>
      <c r="AM356" s="1"/>
    </row>
    <row r="357" ht="14.25" customHeight="1">
      <c r="B357" s="1"/>
      <c r="F357" s="1"/>
      <c r="AM357" s="1"/>
    </row>
    <row r="358" ht="14.25" customHeight="1">
      <c r="B358" s="1"/>
      <c r="F358" s="1"/>
      <c r="AM358" s="1"/>
    </row>
    <row r="359" ht="14.25" customHeight="1">
      <c r="B359" s="1"/>
      <c r="F359" s="1"/>
      <c r="AM359" s="1"/>
    </row>
    <row r="360" ht="14.25" customHeight="1">
      <c r="B360" s="1"/>
      <c r="F360" s="1"/>
      <c r="AM360" s="1"/>
    </row>
    <row r="361" ht="14.25" customHeight="1">
      <c r="B361" s="1"/>
      <c r="F361" s="1"/>
      <c r="AM361" s="1"/>
    </row>
    <row r="362" ht="14.25" customHeight="1">
      <c r="B362" s="1"/>
      <c r="F362" s="1"/>
      <c r="AM362" s="1"/>
    </row>
    <row r="363" ht="14.25" customHeight="1">
      <c r="B363" s="1"/>
      <c r="F363" s="1"/>
      <c r="AM363" s="1"/>
    </row>
    <row r="364" ht="14.25" customHeight="1">
      <c r="B364" s="1"/>
      <c r="F364" s="1"/>
      <c r="AM364" s="1"/>
    </row>
    <row r="365" ht="14.25" customHeight="1">
      <c r="B365" s="1"/>
      <c r="F365" s="1"/>
      <c r="AM365" s="1"/>
    </row>
    <row r="366" ht="14.25" customHeight="1">
      <c r="B366" s="1"/>
      <c r="F366" s="1"/>
      <c r="AM366" s="1"/>
    </row>
    <row r="367" ht="14.25" customHeight="1">
      <c r="B367" s="1"/>
      <c r="F367" s="1"/>
      <c r="AM367" s="1"/>
    </row>
    <row r="368" ht="14.25" customHeight="1">
      <c r="B368" s="1"/>
      <c r="F368" s="1"/>
      <c r="AM368" s="1"/>
    </row>
    <row r="369" ht="14.25" customHeight="1">
      <c r="B369" s="1"/>
      <c r="F369" s="1"/>
      <c r="AM369" s="1"/>
    </row>
    <row r="370" ht="14.25" customHeight="1">
      <c r="B370" s="1"/>
      <c r="F370" s="1"/>
      <c r="AM370" s="1"/>
    </row>
    <row r="371" ht="14.25" customHeight="1">
      <c r="B371" s="1"/>
      <c r="F371" s="1"/>
      <c r="AM371" s="1"/>
    </row>
    <row r="372" ht="14.25" customHeight="1">
      <c r="B372" s="1"/>
      <c r="F372" s="1"/>
      <c r="AM372" s="1"/>
    </row>
    <row r="373" ht="14.25" customHeight="1">
      <c r="B373" s="1"/>
      <c r="F373" s="1"/>
      <c r="AM373" s="1"/>
    </row>
    <row r="374" ht="14.25" customHeight="1">
      <c r="B374" s="1"/>
      <c r="F374" s="1"/>
      <c r="AM374" s="1"/>
    </row>
    <row r="375" ht="14.25" customHeight="1">
      <c r="B375" s="1"/>
      <c r="F375" s="1"/>
      <c r="AM375" s="1"/>
    </row>
    <row r="376" ht="14.25" customHeight="1">
      <c r="B376" s="1"/>
      <c r="F376" s="1"/>
      <c r="AM376" s="1"/>
    </row>
    <row r="377" ht="14.25" customHeight="1">
      <c r="B377" s="1"/>
      <c r="F377" s="1"/>
      <c r="AM377" s="1"/>
    </row>
    <row r="378" ht="14.25" customHeight="1">
      <c r="B378" s="1"/>
      <c r="F378" s="1"/>
      <c r="AM378" s="1"/>
    </row>
    <row r="379" ht="14.25" customHeight="1">
      <c r="B379" s="1"/>
      <c r="F379" s="1"/>
      <c r="AM379" s="1"/>
    </row>
    <row r="380" ht="14.25" customHeight="1">
      <c r="B380" s="1"/>
      <c r="F380" s="1"/>
      <c r="AM380" s="1"/>
    </row>
    <row r="381" ht="14.25" customHeight="1">
      <c r="B381" s="1"/>
      <c r="F381" s="1"/>
      <c r="AM381" s="1"/>
    </row>
    <row r="382" ht="14.25" customHeight="1">
      <c r="B382" s="1"/>
      <c r="F382" s="1"/>
      <c r="AM382" s="1"/>
    </row>
    <row r="383" ht="14.25" customHeight="1">
      <c r="B383" s="1"/>
      <c r="F383" s="1"/>
      <c r="AM383" s="1"/>
    </row>
    <row r="384" ht="14.25" customHeight="1">
      <c r="B384" s="1"/>
      <c r="F384" s="1"/>
      <c r="AM384" s="1"/>
    </row>
    <row r="385" ht="14.25" customHeight="1">
      <c r="B385" s="1"/>
      <c r="F385" s="1"/>
      <c r="AM385" s="1"/>
    </row>
    <row r="386" ht="14.25" customHeight="1">
      <c r="B386" s="1"/>
      <c r="F386" s="1"/>
      <c r="AM386" s="1"/>
    </row>
    <row r="387" ht="14.25" customHeight="1">
      <c r="B387" s="1"/>
      <c r="F387" s="1"/>
      <c r="AM387" s="1"/>
    </row>
    <row r="388" ht="14.25" customHeight="1">
      <c r="B388" s="1"/>
      <c r="F388" s="1"/>
      <c r="AM388" s="1"/>
    </row>
    <row r="389" ht="14.25" customHeight="1">
      <c r="B389" s="1"/>
      <c r="F389" s="1"/>
      <c r="AM389" s="1"/>
    </row>
    <row r="390" ht="14.25" customHeight="1">
      <c r="B390" s="1"/>
      <c r="F390" s="1"/>
      <c r="AM390" s="1"/>
    </row>
    <row r="391" ht="14.25" customHeight="1">
      <c r="B391" s="1"/>
      <c r="F391" s="1"/>
      <c r="AM391" s="1"/>
    </row>
    <row r="392" ht="14.25" customHeight="1">
      <c r="B392" s="1"/>
      <c r="F392" s="1"/>
      <c r="AM392" s="1"/>
    </row>
    <row r="393" ht="14.25" customHeight="1">
      <c r="B393" s="1"/>
      <c r="F393" s="1"/>
      <c r="AM393" s="1"/>
    </row>
    <row r="394" ht="14.25" customHeight="1">
      <c r="B394" s="1"/>
      <c r="F394" s="1"/>
      <c r="AM394" s="1"/>
    </row>
    <row r="395" ht="14.25" customHeight="1">
      <c r="B395" s="1"/>
      <c r="F395" s="1"/>
      <c r="AM395" s="1"/>
    </row>
    <row r="396" ht="14.25" customHeight="1">
      <c r="B396" s="1"/>
      <c r="F396" s="1"/>
      <c r="AM396" s="1"/>
    </row>
    <row r="397" ht="14.25" customHeight="1">
      <c r="B397" s="1"/>
      <c r="F397" s="1"/>
      <c r="AM397" s="1"/>
    </row>
    <row r="398" ht="14.25" customHeight="1">
      <c r="B398" s="1"/>
      <c r="F398" s="1"/>
      <c r="AM398" s="1"/>
    </row>
    <row r="399" ht="14.25" customHeight="1">
      <c r="B399" s="1"/>
      <c r="F399" s="1"/>
      <c r="AM399" s="1"/>
    </row>
    <row r="400" ht="14.25" customHeight="1">
      <c r="B400" s="1"/>
      <c r="F400" s="1"/>
      <c r="AM400" s="1"/>
    </row>
    <row r="401" ht="14.25" customHeight="1">
      <c r="B401" s="1"/>
      <c r="F401" s="1"/>
      <c r="AM401" s="1"/>
    </row>
    <row r="402" ht="14.25" customHeight="1">
      <c r="B402" s="1"/>
      <c r="F402" s="1"/>
      <c r="AM402" s="1"/>
    </row>
    <row r="403" ht="14.25" customHeight="1">
      <c r="B403" s="1"/>
      <c r="F403" s="1"/>
      <c r="AM403" s="1"/>
    </row>
    <row r="404" ht="14.25" customHeight="1">
      <c r="B404" s="1"/>
      <c r="F404" s="1"/>
      <c r="AM404" s="1"/>
    </row>
    <row r="405" ht="14.25" customHeight="1">
      <c r="B405" s="1"/>
      <c r="F405" s="1"/>
      <c r="AM405" s="1"/>
    </row>
    <row r="406" ht="14.25" customHeight="1">
      <c r="B406" s="1"/>
      <c r="F406" s="1"/>
      <c r="AM406" s="1"/>
    </row>
    <row r="407" ht="14.25" customHeight="1">
      <c r="B407" s="1"/>
      <c r="F407" s="1"/>
      <c r="AM407" s="1"/>
    </row>
    <row r="408" ht="14.25" customHeight="1">
      <c r="B408" s="1"/>
      <c r="F408" s="1"/>
      <c r="AM408" s="1"/>
    </row>
    <row r="409" ht="14.25" customHeight="1">
      <c r="B409" s="1"/>
      <c r="F409" s="1"/>
      <c r="AM409" s="1"/>
    </row>
    <row r="410" ht="14.25" customHeight="1">
      <c r="B410" s="1"/>
      <c r="F410" s="1"/>
      <c r="AM410" s="1"/>
    </row>
    <row r="411" ht="14.25" customHeight="1">
      <c r="B411" s="1"/>
      <c r="F411" s="1"/>
      <c r="AM411" s="1"/>
    </row>
    <row r="412" ht="14.25" customHeight="1">
      <c r="B412" s="1"/>
      <c r="F412" s="1"/>
      <c r="AM412" s="1"/>
    </row>
    <row r="413" ht="14.25" customHeight="1">
      <c r="B413" s="1"/>
      <c r="F413" s="1"/>
      <c r="AM413" s="1"/>
    </row>
    <row r="414" ht="14.25" customHeight="1">
      <c r="B414" s="1"/>
      <c r="F414" s="1"/>
      <c r="AM414" s="1"/>
    </row>
    <row r="415" ht="14.25" customHeight="1">
      <c r="B415" s="1"/>
      <c r="F415" s="1"/>
      <c r="AM415" s="1"/>
    </row>
    <row r="416" ht="14.25" customHeight="1">
      <c r="B416" s="1"/>
      <c r="F416" s="1"/>
      <c r="AM416" s="1"/>
    </row>
    <row r="417" ht="14.25" customHeight="1">
      <c r="B417" s="1"/>
      <c r="F417" s="1"/>
      <c r="AM417" s="1"/>
    </row>
    <row r="418" ht="14.25" customHeight="1">
      <c r="B418" s="1"/>
      <c r="F418" s="1"/>
      <c r="AM418" s="1"/>
    </row>
    <row r="419" ht="14.25" customHeight="1">
      <c r="B419" s="1"/>
      <c r="F419" s="1"/>
      <c r="AM419" s="1"/>
    </row>
    <row r="420" ht="14.25" customHeight="1">
      <c r="B420" s="1"/>
      <c r="F420" s="1"/>
      <c r="AM420" s="1"/>
    </row>
    <row r="421" ht="14.25" customHeight="1">
      <c r="B421" s="1"/>
      <c r="F421" s="1"/>
      <c r="AM421" s="1"/>
    </row>
    <row r="422" ht="14.25" customHeight="1">
      <c r="B422" s="1"/>
      <c r="F422" s="1"/>
      <c r="AM422" s="1"/>
    </row>
    <row r="423" ht="14.25" customHeight="1">
      <c r="B423" s="1"/>
      <c r="F423" s="1"/>
      <c r="AM423" s="1"/>
    </row>
    <row r="424" ht="14.25" customHeight="1">
      <c r="B424" s="1"/>
      <c r="F424" s="1"/>
      <c r="AM424" s="1"/>
    </row>
    <row r="425" ht="14.25" customHeight="1">
      <c r="B425" s="1"/>
      <c r="F425" s="1"/>
      <c r="AM425" s="1"/>
    </row>
    <row r="426" ht="14.25" customHeight="1">
      <c r="B426" s="1"/>
      <c r="F426" s="1"/>
      <c r="AM426" s="1"/>
    </row>
    <row r="427" ht="14.25" customHeight="1">
      <c r="B427" s="1"/>
      <c r="F427" s="1"/>
      <c r="AM427" s="1"/>
    </row>
    <row r="428" ht="14.25" customHeight="1">
      <c r="B428" s="1"/>
      <c r="F428" s="1"/>
      <c r="AM428" s="1"/>
    </row>
    <row r="429" ht="14.25" customHeight="1">
      <c r="B429" s="1"/>
      <c r="F429" s="1"/>
      <c r="AM429" s="1"/>
    </row>
    <row r="430" ht="14.25" customHeight="1">
      <c r="B430" s="1"/>
      <c r="F430" s="1"/>
      <c r="AM430" s="1"/>
    </row>
    <row r="431" ht="14.25" customHeight="1">
      <c r="B431" s="1"/>
      <c r="F431" s="1"/>
      <c r="AM431" s="1"/>
    </row>
    <row r="432" ht="14.25" customHeight="1">
      <c r="B432" s="1"/>
      <c r="F432" s="1"/>
      <c r="AM432" s="1"/>
    </row>
    <row r="433" ht="14.25" customHeight="1">
      <c r="B433" s="1"/>
      <c r="F433" s="1"/>
      <c r="AM433" s="1"/>
    </row>
    <row r="434" ht="14.25" customHeight="1">
      <c r="B434" s="1"/>
      <c r="F434" s="1"/>
      <c r="AM434" s="1"/>
    </row>
    <row r="435" ht="14.25" customHeight="1">
      <c r="B435" s="1"/>
      <c r="F435" s="1"/>
      <c r="AM435" s="1"/>
    </row>
    <row r="436" ht="14.25" customHeight="1">
      <c r="B436" s="1"/>
      <c r="F436" s="1"/>
      <c r="AM436" s="1"/>
    </row>
    <row r="437" ht="14.25" customHeight="1">
      <c r="B437" s="1"/>
      <c r="F437" s="1"/>
      <c r="AM437" s="1"/>
    </row>
    <row r="438" ht="14.25" customHeight="1">
      <c r="B438" s="1"/>
      <c r="F438" s="1"/>
      <c r="AM438" s="1"/>
    </row>
    <row r="439" ht="14.25" customHeight="1">
      <c r="B439" s="1"/>
      <c r="F439" s="1"/>
      <c r="AM439" s="1"/>
    </row>
    <row r="440" ht="14.25" customHeight="1">
      <c r="B440" s="1"/>
      <c r="F440" s="1"/>
      <c r="AM440" s="1"/>
    </row>
    <row r="441" ht="14.25" customHeight="1">
      <c r="B441" s="1"/>
      <c r="F441" s="1"/>
      <c r="AM441" s="1"/>
    </row>
    <row r="442" ht="14.25" customHeight="1">
      <c r="B442" s="1"/>
      <c r="F442" s="1"/>
      <c r="AM442" s="1"/>
    </row>
    <row r="443" ht="14.25" customHeight="1">
      <c r="B443" s="1"/>
      <c r="F443" s="1"/>
      <c r="AM443" s="1"/>
    </row>
    <row r="444" ht="14.25" customHeight="1">
      <c r="B444" s="1"/>
      <c r="F444" s="1"/>
      <c r="AM444" s="1"/>
    </row>
    <row r="445" ht="14.25" customHeight="1">
      <c r="B445" s="1"/>
      <c r="F445" s="1"/>
      <c r="AM445" s="1"/>
    </row>
    <row r="446" ht="14.25" customHeight="1">
      <c r="B446" s="1"/>
      <c r="F446" s="1"/>
      <c r="AM446" s="1"/>
    </row>
    <row r="447" ht="14.25" customHeight="1">
      <c r="B447" s="1"/>
      <c r="F447" s="1"/>
      <c r="AM447" s="1"/>
    </row>
    <row r="448" ht="14.25" customHeight="1">
      <c r="B448" s="1"/>
      <c r="F448" s="1"/>
      <c r="AM448" s="1"/>
    </row>
    <row r="449" ht="14.25" customHeight="1">
      <c r="B449" s="1"/>
      <c r="F449" s="1"/>
      <c r="AM449" s="1"/>
    </row>
    <row r="450" ht="14.25" customHeight="1">
      <c r="B450" s="1"/>
      <c r="F450" s="1"/>
      <c r="AM450" s="1"/>
    </row>
    <row r="451" ht="14.25" customHeight="1">
      <c r="B451" s="1"/>
      <c r="F451" s="1"/>
      <c r="AM451" s="1"/>
    </row>
    <row r="452" ht="14.25" customHeight="1">
      <c r="B452" s="1"/>
      <c r="F452" s="1"/>
      <c r="AM452" s="1"/>
    </row>
    <row r="453" ht="14.25" customHeight="1">
      <c r="B453" s="1"/>
      <c r="F453" s="1"/>
      <c r="AM453" s="1"/>
    </row>
    <row r="454" ht="14.25" customHeight="1">
      <c r="B454" s="1"/>
      <c r="F454" s="1"/>
      <c r="AM454" s="1"/>
    </row>
    <row r="455" ht="14.25" customHeight="1">
      <c r="B455" s="1"/>
      <c r="F455" s="1"/>
      <c r="AM455" s="1"/>
    </row>
    <row r="456" ht="14.25" customHeight="1">
      <c r="B456" s="1"/>
      <c r="F456" s="1"/>
      <c r="AM456" s="1"/>
    </row>
    <row r="457" ht="14.25" customHeight="1">
      <c r="B457" s="1"/>
      <c r="F457" s="1"/>
      <c r="AM457" s="1"/>
    </row>
    <row r="458" ht="14.25" customHeight="1">
      <c r="B458" s="1"/>
      <c r="F458" s="1"/>
      <c r="AM458" s="1"/>
    </row>
    <row r="459" ht="14.25" customHeight="1">
      <c r="B459" s="1"/>
      <c r="F459" s="1"/>
      <c r="AM459" s="1"/>
    </row>
    <row r="460" ht="14.25" customHeight="1">
      <c r="B460" s="1"/>
      <c r="F460" s="1"/>
      <c r="AM460" s="1"/>
    </row>
    <row r="461" ht="14.25" customHeight="1">
      <c r="B461" s="1"/>
      <c r="F461" s="1"/>
      <c r="AM461" s="1"/>
    </row>
    <row r="462" ht="14.25" customHeight="1">
      <c r="B462" s="1"/>
      <c r="F462" s="1"/>
      <c r="AM462" s="1"/>
    </row>
    <row r="463" ht="14.25" customHeight="1">
      <c r="B463" s="1"/>
      <c r="F463" s="1"/>
      <c r="AM463" s="1"/>
    </row>
    <row r="464" ht="14.25" customHeight="1">
      <c r="B464" s="1"/>
      <c r="F464" s="1"/>
      <c r="AM464" s="1"/>
    </row>
    <row r="465" ht="14.25" customHeight="1">
      <c r="B465" s="1"/>
      <c r="F465" s="1"/>
      <c r="AM465" s="1"/>
    </row>
    <row r="466" ht="14.25" customHeight="1">
      <c r="B466" s="1"/>
      <c r="F466" s="1"/>
      <c r="AM466" s="1"/>
    </row>
    <row r="467" ht="14.25" customHeight="1">
      <c r="B467" s="1"/>
      <c r="F467" s="1"/>
      <c r="AM467" s="1"/>
    </row>
    <row r="468" ht="14.25" customHeight="1">
      <c r="B468" s="1"/>
      <c r="F468" s="1"/>
      <c r="AM468" s="1"/>
    </row>
    <row r="469" ht="14.25" customHeight="1">
      <c r="B469" s="1"/>
      <c r="F469" s="1"/>
      <c r="AM469" s="1"/>
    </row>
    <row r="470" ht="14.25" customHeight="1">
      <c r="B470" s="1"/>
      <c r="F470" s="1"/>
      <c r="AM470" s="1"/>
    </row>
    <row r="471" ht="14.25" customHeight="1">
      <c r="B471" s="1"/>
      <c r="F471" s="1"/>
      <c r="AM471" s="1"/>
    </row>
    <row r="472" ht="14.25" customHeight="1">
      <c r="B472" s="1"/>
      <c r="F472" s="1"/>
      <c r="AM472" s="1"/>
    </row>
    <row r="473" ht="14.25" customHeight="1">
      <c r="B473" s="1"/>
      <c r="F473" s="1"/>
      <c r="AM473" s="1"/>
    </row>
    <row r="474" ht="14.25" customHeight="1">
      <c r="B474" s="1"/>
      <c r="F474" s="1"/>
      <c r="AM474" s="1"/>
    </row>
    <row r="475" ht="14.25" customHeight="1">
      <c r="B475" s="1"/>
      <c r="F475" s="1"/>
      <c r="AM475" s="1"/>
    </row>
    <row r="476" ht="14.25" customHeight="1">
      <c r="B476" s="1"/>
      <c r="F476" s="1"/>
      <c r="AM476" s="1"/>
    </row>
    <row r="477" ht="14.25" customHeight="1">
      <c r="B477" s="1"/>
      <c r="F477" s="1"/>
      <c r="AM477" s="1"/>
    </row>
    <row r="478" ht="14.25" customHeight="1">
      <c r="B478" s="1"/>
      <c r="F478" s="1"/>
      <c r="AM478" s="1"/>
    </row>
    <row r="479" ht="14.25" customHeight="1">
      <c r="B479" s="1"/>
      <c r="F479" s="1"/>
      <c r="AM479" s="1"/>
    </row>
    <row r="480" ht="14.25" customHeight="1">
      <c r="B480" s="1"/>
      <c r="F480" s="1"/>
      <c r="AM480" s="1"/>
    </row>
    <row r="481" ht="14.25" customHeight="1">
      <c r="B481" s="1"/>
      <c r="F481" s="1"/>
      <c r="AM481" s="1"/>
    </row>
    <row r="482" ht="14.25" customHeight="1">
      <c r="B482" s="1"/>
      <c r="F482" s="1"/>
      <c r="AM482" s="1"/>
    </row>
    <row r="483" ht="14.25" customHeight="1">
      <c r="B483" s="1"/>
      <c r="F483" s="1"/>
      <c r="AM483" s="1"/>
    </row>
    <row r="484" ht="14.25" customHeight="1">
      <c r="B484" s="1"/>
      <c r="F484" s="1"/>
      <c r="AM484" s="1"/>
    </row>
    <row r="485" ht="14.25" customHeight="1">
      <c r="B485" s="1"/>
      <c r="F485" s="1"/>
      <c r="AM485" s="1"/>
    </row>
    <row r="486" ht="14.25" customHeight="1">
      <c r="B486" s="1"/>
      <c r="F486" s="1"/>
      <c r="AM486" s="1"/>
    </row>
    <row r="487" ht="14.25" customHeight="1">
      <c r="B487" s="1"/>
      <c r="F487" s="1"/>
      <c r="AM487" s="1"/>
    </row>
    <row r="488" ht="14.25" customHeight="1">
      <c r="B488" s="1"/>
      <c r="F488" s="1"/>
      <c r="AM488" s="1"/>
    </row>
    <row r="489" ht="14.25" customHeight="1">
      <c r="B489" s="1"/>
      <c r="F489" s="1"/>
      <c r="AM489" s="1"/>
    </row>
    <row r="490" ht="14.25" customHeight="1">
      <c r="B490" s="1"/>
      <c r="F490" s="1"/>
      <c r="AM490" s="1"/>
    </row>
    <row r="491" ht="14.25" customHeight="1">
      <c r="B491" s="1"/>
      <c r="F491" s="1"/>
      <c r="AM491" s="1"/>
    </row>
    <row r="492" ht="14.25" customHeight="1">
      <c r="B492" s="1"/>
      <c r="F492" s="1"/>
      <c r="AM492" s="1"/>
    </row>
    <row r="493" ht="14.25" customHeight="1">
      <c r="B493" s="1"/>
      <c r="F493" s="1"/>
      <c r="AM493" s="1"/>
    </row>
    <row r="494" ht="14.25" customHeight="1">
      <c r="B494" s="1"/>
      <c r="F494" s="1"/>
      <c r="AM494" s="1"/>
    </row>
    <row r="495" ht="14.25" customHeight="1">
      <c r="B495" s="1"/>
      <c r="F495" s="1"/>
      <c r="AM495" s="1"/>
    </row>
    <row r="496" ht="14.25" customHeight="1">
      <c r="B496" s="1"/>
      <c r="F496" s="1"/>
      <c r="AM496" s="1"/>
    </row>
    <row r="497" ht="14.25" customHeight="1">
      <c r="B497" s="1"/>
      <c r="F497" s="1"/>
      <c r="AM497" s="1"/>
    </row>
    <row r="498" ht="14.25" customHeight="1">
      <c r="B498" s="1"/>
      <c r="F498" s="1"/>
      <c r="AM498" s="1"/>
    </row>
    <row r="499" ht="14.25" customHeight="1">
      <c r="B499" s="1"/>
      <c r="F499" s="1"/>
      <c r="AM499" s="1"/>
    </row>
    <row r="500" ht="14.25" customHeight="1">
      <c r="B500" s="1"/>
      <c r="F500" s="1"/>
      <c r="AM500" s="1"/>
    </row>
    <row r="501" ht="14.25" customHeight="1">
      <c r="B501" s="1"/>
      <c r="F501" s="1"/>
      <c r="AM501" s="1"/>
    </row>
    <row r="502" ht="14.25" customHeight="1">
      <c r="B502" s="1"/>
      <c r="F502" s="1"/>
      <c r="AM502" s="1"/>
    </row>
    <row r="503" ht="14.25" customHeight="1">
      <c r="B503" s="1"/>
      <c r="F503" s="1"/>
      <c r="AM503" s="1"/>
    </row>
    <row r="504" ht="14.25" customHeight="1">
      <c r="B504" s="1"/>
      <c r="F504" s="1"/>
      <c r="AM504" s="1"/>
    </row>
    <row r="505" ht="14.25" customHeight="1">
      <c r="B505" s="1"/>
      <c r="F505" s="1"/>
      <c r="AM505" s="1"/>
    </row>
    <row r="506" ht="14.25" customHeight="1">
      <c r="B506" s="1"/>
      <c r="F506" s="1"/>
      <c r="AM506" s="1"/>
    </row>
    <row r="507" ht="14.25" customHeight="1">
      <c r="B507" s="1"/>
      <c r="F507" s="1"/>
      <c r="AM507" s="1"/>
    </row>
    <row r="508" ht="14.25" customHeight="1">
      <c r="B508" s="1"/>
      <c r="F508" s="1"/>
      <c r="AM508" s="1"/>
    </row>
    <row r="509" ht="14.25" customHeight="1">
      <c r="B509" s="1"/>
      <c r="F509" s="1"/>
      <c r="AM509" s="1"/>
    </row>
    <row r="510" ht="14.25" customHeight="1">
      <c r="B510" s="1"/>
      <c r="F510" s="1"/>
      <c r="AM510" s="1"/>
    </row>
    <row r="511" ht="14.25" customHeight="1">
      <c r="B511" s="1"/>
      <c r="F511" s="1"/>
      <c r="AM511" s="1"/>
    </row>
    <row r="512" ht="14.25" customHeight="1">
      <c r="B512" s="1"/>
      <c r="F512" s="1"/>
      <c r="AM512" s="1"/>
    </row>
    <row r="513" ht="14.25" customHeight="1">
      <c r="B513" s="1"/>
      <c r="F513" s="1"/>
      <c r="AM513" s="1"/>
    </row>
    <row r="514" ht="14.25" customHeight="1">
      <c r="B514" s="1"/>
      <c r="F514" s="1"/>
      <c r="AM514" s="1"/>
    </row>
    <row r="515" ht="14.25" customHeight="1">
      <c r="B515" s="1"/>
      <c r="F515" s="1"/>
      <c r="AM515" s="1"/>
    </row>
    <row r="516" ht="14.25" customHeight="1">
      <c r="B516" s="1"/>
      <c r="F516" s="1"/>
      <c r="AM516" s="1"/>
    </row>
    <row r="517" ht="14.25" customHeight="1">
      <c r="B517" s="1"/>
      <c r="F517" s="1"/>
      <c r="AM517" s="1"/>
    </row>
    <row r="518" ht="14.25" customHeight="1">
      <c r="B518" s="1"/>
      <c r="F518" s="1"/>
      <c r="AM518" s="1"/>
    </row>
    <row r="519" ht="14.25" customHeight="1">
      <c r="B519" s="1"/>
      <c r="F519" s="1"/>
      <c r="AM519" s="1"/>
    </row>
    <row r="520" ht="14.25" customHeight="1">
      <c r="B520" s="1"/>
      <c r="F520" s="1"/>
      <c r="AM520" s="1"/>
    </row>
    <row r="521" ht="14.25" customHeight="1">
      <c r="B521" s="1"/>
      <c r="F521" s="1"/>
      <c r="AM521" s="1"/>
    </row>
    <row r="522" ht="14.25" customHeight="1">
      <c r="B522" s="1"/>
      <c r="F522" s="1"/>
      <c r="AM522" s="1"/>
    </row>
    <row r="523" ht="14.25" customHeight="1">
      <c r="B523" s="1"/>
      <c r="F523" s="1"/>
      <c r="AM523" s="1"/>
    </row>
    <row r="524" ht="14.25" customHeight="1">
      <c r="B524" s="1"/>
      <c r="F524" s="1"/>
      <c r="AM524" s="1"/>
    </row>
    <row r="525" ht="14.25" customHeight="1">
      <c r="B525" s="1"/>
      <c r="F525" s="1"/>
      <c r="AM525" s="1"/>
    </row>
    <row r="526" ht="14.25" customHeight="1">
      <c r="B526" s="1"/>
      <c r="F526" s="1"/>
      <c r="AM526" s="1"/>
    </row>
    <row r="527" ht="14.25" customHeight="1">
      <c r="B527" s="1"/>
      <c r="F527" s="1"/>
      <c r="AM527" s="1"/>
    </row>
    <row r="528" ht="14.25" customHeight="1">
      <c r="B528" s="1"/>
      <c r="F528" s="1"/>
      <c r="AM528" s="1"/>
    </row>
    <row r="529" ht="14.25" customHeight="1">
      <c r="B529" s="1"/>
      <c r="F529" s="1"/>
      <c r="AM529" s="1"/>
    </row>
    <row r="530" ht="14.25" customHeight="1">
      <c r="B530" s="1"/>
      <c r="F530" s="1"/>
      <c r="AM530" s="1"/>
    </row>
    <row r="531" ht="14.25" customHeight="1">
      <c r="B531" s="1"/>
      <c r="F531" s="1"/>
      <c r="AM531" s="1"/>
    </row>
    <row r="532" ht="14.25" customHeight="1">
      <c r="B532" s="1"/>
      <c r="F532" s="1"/>
      <c r="AM532" s="1"/>
    </row>
    <row r="533" ht="14.25" customHeight="1">
      <c r="B533" s="1"/>
      <c r="F533" s="1"/>
      <c r="AM533" s="1"/>
    </row>
    <row r="534" ht="14.25" customHeight="1">
      <c r="B534" s="1"/>
      <c r="F534" s="1"/>
      <c r="AM534" s="1"/>
    </row>
    <row r="535" ht="14.25" customHeight="1">
      <c r="B535" s="1"/>
      <c r="F535" s="1"/>
      <c r="AM535" s="1"/>
    </row>
    <row r="536" ht="14.25" customHeight="1">
      <c r="B536" s="1"/>
      <c r="F536" s="1"/>
      <c r="AM536" s="1"/>
    </row>
    <row r="537" ht="14.25" customHeight="1">
      <c r="B537" s="1"/>
      <c r="F537" s="1"/>
      <c r="AM537" s="1"/>
    </row>
    <row r="538" ht="14.25" customHeight="1">
      <c r="B538" s="1"/>
      <c r="F538" s="1"/>
      <c r="AM538" s="1"/>
    </row>
    <row r="539" ht="14.25" customHeight="1">
      <c r="B539" s="1"/>
      <c r="F539" s="1"/>
      <c r="AM539" s="1"/>
    </row>
    <row r="540" ht="14.25" customHeight="1">
      <c r="B540" s="1"/>
      <c r="F540" s="1"/>
      <c r="AM540" s="1"/>
    </row>
    <row r="541" ht="14.25" customHeight="1">
      <c r="B541" s="1"/>
      <c r="F541" s="1"/>
      <c r="AM541" s="1"/>
    </row>
    <row r="542" ht="14.25" customHeight="1">
      <c r="B542" s="1"/>
      <c r="F542" s="1"/>
      <c r="AM542" s="1"/>
    </row>
    <row r="543" ht="14.25" customHeight="1">
      <c r="B543" s="1"/>
      <c r="F543" s="1"/>
      <c r="AM543" s="1"/>
    </row>
    <row r="544" ht="14.25" customHeight="1">
      <c r="B544" s="1"/>
      <c r="F544" s="1"/>
      <c r="AM544" s="1"/>
    </row>
    <row r="545" ht="14.25" customHeight="1">
      <c r="B545" s="1"/>
      <c r="F545" s="1"/>
      <c r="AM545" s="1"/>
    </row>
    <row r="546" ht="14.25" customHeight="1">
      <c r="B546" s="1"/>
      <c r="F546" s="1"/>
      <c r="AM546" s="1"/>
    </row>
    <row r="547" ht="14.25" customHeight="1">
      <c r="B547" s="1"/>
      <c r="F547" s="1"/>
      <c r="AM547" s="1"/>
    </row>
    <row r="548" ht="14.25" customHeight="1">
      <c r="B548" s="1"/>
      <c r="F548" s="1"/>
      <c r="AM548" s="1"/>
    </row>
    <row r="549" ht="14.25" customHeight="1">
      <c r="B549" s="1"/>
      <c r="F549" s="1"/>
      <c r="AM549" s="1"/>
    </row>
    <row r="550" ht="14.25" customHeight="1">
      <c r="B550" s="1"/>
      <c r="F550" s="1"/>
      <c r="AM550" s="1"/>
    </row>
    <row r="551" ht="14.25" customHeight="1">
      <c r="B551" s="1"/>
      <c r="F551" s="1"/>
      <c r="AM551" s="1"/>
    </row>
    <row r="552" ht="14.25" customHeight="1">
      <c r="B552" s="1"/>
      <c r="F552" s="1"/>
      <c r="AM552" s="1"/>
    </row>
    <row r="553" ht="14.25" customHeight="1">
      <c r="B553" s="1"/>
      <c r="F553" s="1"/>
      <c r="AM553" s="1"/>
    </row>
    <row r="554" ht="14.25" customHeight="1">
      <c r="B554" s="1"/>
      <c r="F554" s="1"/>
      <c r="AM554" s="1"/>
    </row>
    <row r="555" ht="14.25" customHeight="1">
      <c r="B555" s="1"/>
      <c r="F555" s="1"/>
      <c r="AM555" s="1"/>
    </row>
    <row r="556" ht="14.25" customHeight="1">
      <c r="B556" s="1"/>
      <c r="F556" s="1"/>
      <c r="AM556" s="1"/>
    </row>
    <row r="557" ht="14.25" customHeight="1">
      <c r="B557" s="1"/>
      <c r="F557" s="1"/>
      <c r="AM557" s="1"/>
    </row>
    <row r="558" ht="14.25" customHeight="1">
      <c r="B558" s="1"/>
      <c r="F558" s="1"/>
      <c r="AM558" s="1"/>
    </row>
    <row r="559" ht="14.25" customHeight="1">
      <c r="B559" s="1"/>
      <c r="F559" s="1"/>
      <c r="AM559" s="1"/>
    </row>
    <row r="560" ht="14.25" customHeight="1">
      <c r="B560" s="1"/>
      <c r="F560" s="1"/>
      <c r="AM560" s="1"/>
    </row>
    <row r="561" ht="14.25" customHeight="1">
      <c r="B561" s="1"/>
      <c r="F561" s="1"/>
      <c r="AM561" s="1"/>
    </row>
    <row r="562" ht="14.25" customHeight="1">
      <c r="B562" s="1"/>
      <c r="F562" s="1"/>
      <c r="AM562" s="1"/>
    </row>
    <row r="563" ht="14.25" customHeight="1">
      <c r="B563" s="1"/>
      <c r="F563" s="1"/>
      <c r="AM563" s="1"/>
    </row>
    <row r="564" ht="14.25" customHeight="1">
      <c r="B564" s="1"/>
      <c r="F564" s="1"/>
      <c r="AM564" s="1"/>
    </row>
    <row r="565" ht="14.25" customHeight="1">
      <c r="B565" s="1"/>
      <c r="F565" s="1"/>
      <c r="AM565" s="1"/>
    </row>
    <row r="566" ht="14.25" customHeight="1">
      <c r="B566" s="1"/>
      <c r="F566" s="1"/>
      <c r="AM566" s="1"/>
    </row>
    <row r="567" ht="14.25" customHeight="1">
      <c r="B567" s="1"/>
      <c r="F567" s="1"/>
      <c r="AM567" s="1"/>
    </row>
    <row r="568" ht="14.25" customHeight="1">
      <c r="B568" s="1"/>
      <c r="F568" s="1"/>
      <c r="AM568" s="1"/>
    </row>
    <row r="569" ht="14.25" customHeight="1">
      <c r="B569" s="1"/>
      <c r="F569" s="1"/>
      <c r="AM569" s="1"/>
    </row>
    <row r="570" ht="14.25" customHeight="1">
      <c r="B570" s="1"/>
      <c r="F570" s="1"/>
      <c r="AM570" s="1"/>
    </row>
    <row r="571" ht="14.25" customHeight="1">
      <c r="B571" s="1"/>
      <c r="F571" s="1"/>
      <c r="AM571" s="1"/>
    </row>
    <row r="572" ht="14.25" customHeight="1">
      <c r="B572" s="1"/>
      <c r="F572" s="1"/>
      <c r="AM572" s="1"/>
    </row>
    <row r="573" ht="14.25" customHeight="1">
      <c r="B573" s="1"/>
      <c r="F573" s="1"/>
      <c r="AM573" s="1"/>
    </row>
    <row r="574" ht="14.25" customHeight="1">
      <c r="B574" s="1"/>
      <c r="F574" s="1"/>
      <c r="AM574" s="1"/>
    </row>
    <row r="575" ht="14.25" customHeight="1">
      <c r="B575" s="1"/>
      <c r="F575" s="1"/>
      <c r="AM575" s="1"/>
    </row>
    <row r="576" ht="14.25" customHeight="1">
      <c r="B576" s="1"/>
      <c r="F576" s="1"/>
      <c r="AM576" s="1"/>
    </row>
    <row r="577" ht="14.25" customHeight="1">
      <c r="B577" s="1"/>
      <c r="F577" s="1"/>
      <c r="AM577" s="1"/>
    </row>
    <row r="578" ht="14.25" customHeight="1">
      <c r="B578" s="1"/>
      <c r="F578" s="1"/>
      <c r="AM578" s="1"/>
    </row>
    <row r="579" ht="14.25" customHeight="1">
      <c r="B579" s="1"/>
      <c r="F579" s="1"/>
      <c r="AM579" s="1"/>
    </row>
    <row r="580" ht="14.25" customHeight="1">
      <c r="B580" s="1"/>
      <c r="F580" s="1"/>
      <c r="AM580" s="1"/>
    </row>
    <row r="581" ht="14.25" customHeight="1">
      <c r="B581" s="1"/>
      <c r="F581" s="1"/>
      <c r="AM581" s="1"/>
    </row>
    <row r="582" ht="14.25" customHeight="1">
      <c r="B582" s="1"/>
      <c r="F582" s="1"/>
      <c r="AM582" s="1"/>
    </row>
    <row r="583" ht="14.25" customHeight="1">
      <c r="B583" s="1"/>
      <c r="F583" s="1"/>
      <c r="AM583" s="1"/>
    </row>
    <row r="584" ht="14.25" customHeight="1">
      <c r="B584" s="1"/>
      <c r="F584" s="1"/>
      <c r="AM584" s="1"/>
    </row>
    <row r="585" ht="14.25" customHeight="1">
      <c r="B585" s="1"/>
      <c r="F585" s="1"/>
      <c r="AM585" s="1"/>
    </row>
    <row r="586" ht="14.25" customHeight="1">
      <c r="B586" s="1"/>
      <c r="F586" s="1"/>
      <c r="AM586" s="1"/>
    </row>
    <row r="587" ht="14.25" customHeight="1">
      <c r="B587" s="1"/>
      <c r="F587" s="1"/>
      <c r="AM587" s="1"/>
    </row>
    <row r="588" ht="14.25" customHeight="1">
      <c r="B588" s="1"/>
      <c r="F588" s="1"/>
      <c r="AM588" s="1"/>
    </row>
    <row r="589" ht="14.25" customHeight="1">
      <c r="B589" s="1"/>
      <c r="F589" s="1"/>
      <c r="AM589" s="1"/>
    </row>
    <row r="590" ht="14.25" customHeight="1">
      <c r="B590" s="1"/>
      <c r="F590" s="1"/>
      <c r="AM590" s="1"/>
    </row>
    <row r="591" ht="14.25" customHeight="1">
      <c r="B591" s="1"/>
      <c r="F591" s="1"/>
      <c r="AM591" s="1"/>
    </row>
    <row r="592" ht="14.25" customHeight="1">
      <c r="B592" s="1"/>
      <c r="F592" s="1"/>
      <c r="AM592" s="1"/>
    </row>
    <row r="593" ht="14.25" customHeight="1">
      <c r="B593" s="1"/>
      <c r="F593" s="1"/>
      <c r="AM593" s="1"/>
    </row>
    <row r="594" ht="14.25" customHeight="1">
      <c r="B594" s="1"/>
      <c r="F594" s="1"/>
      <c r="AM594" s="1"/>
    </row>
    <row r="595" ht="14.25" customHeight="1">
      <c r="B595" s="1"/>
      <c r="F595" s="1"/>
      <c r="AM595" s="1"/>
    </row>
    <row r="596" ht="14.25" customHeight="1">
      <c r="B596" s="1"/>
      <c r="F596" s="1"/>
      <c r="AM596" s="1"/>
    </row>
    <row r="597" ht="14.25" customHeight="1">
      <c r="B597" s="1"/>
      <c r="F597" s="1"/>
      <c r="AM597" s="1"/>
    </row>
    <row r="598" ht="14.25" customHeight="1">
      <c r="B598" s="1"/>
      <c r="F598" s="1"/>
      <c r="AM598" s="1"/>
    </row>
    <row r="599" ht="14.25" customHeight="1">
      <c r="B599" s="1"/>
      <c r="F599" s="1"/>
      <c r="AM599" s="1"/>
    </row>
    <row r="600" ht="14.25" customHeight="1">
      <c r="B600" s="1"/>
      <c r="F600" s="1"/>
      <c r="AM600" s="1"/>
    </row>
    <row r="601" ht="14.25" customHeight="1">
      <c r="B601" s="1"/>
      <c r="F601" s="1"/>
      <c r="AM601" s="1"/>
    </row>
    <row r="602" ht="14.25" customHeight="1">
      <c r="B602" s="1"/>
      <c r="F602" s="1"/>
      <c r="AM602" s="1"/>
    </row>
    <row r="603" ht="14.25" customHeight="1">
      <c r="B603" s="1"/>
      <c r="F603" s="1"/>
      <c r="AM603" s="1"/>
    </row>
    <row r="604" ht="14.25" customHeight="1">
      <c r="B604" s="1"/>
      <c r="F604" s="1"/>
      <c r="AM604" s="1"/>
    </row>
    <row r="605" ht="14.25" customHeight="1">
      <c r="B605" s="1"/>
      <c r="F605" s="1"/>
      <c r="AM605" s="1"/>
    </row>
    <row r="606" ht="14.25" customHeight="1">
      <c r="B606" s="1"/>
      <c r="F606" s="1"/>
      <c r="AM606" s="1"/>
    </row>
    <row r="607" ht="14.25" customHeight="1">
      <c r="B607" s="1"/>
      <c r="F607" s="1"/>
      <c r="AM607" s="1"/>
    </row>
    <row r="608" ht="14.25" customHeight="1">
      <c r="B608" s="1"/>
      <c r="F608" s="1"/>
      <c r="AM608" s="1"/>
    </row>
    <row r="609" ht="14.25" customHeight="1">
      <c r="B609" s="1"/>
      <c r="F609" s="1"/>
      <c r="AM609" s="1"/>
    </row>
    <row r="610" ht="14.25" customHeight="1">
      <c r="B610" s="1"/>
      <c r="F610" s="1"/>
      <c r="AM610" s="1"/>
    </row>
    <row r="611" ht="14.25" customHeight="1">
      <c r="B611" s="1"/>
      <c r="F611" s="1"/>
      <c r="AM611" s="1"/>
    </row>
    <row r="612" ht="14.25" customHeight="1">
      <c r="B612" s="1"/>
      <c r="F612" s="1"/>
      <c r="AM612" s="1"/>
    </row>
    <row r="613" ht="14.25" customHeight="1">
      <c r="B613" s="1"/>
      <c r="F613" s="1"/>
      <c r="AM613" s="1"/>
    </row>
    <row r="614" ht="14.25" customHeight="1">
      <c r="B614" s="1"/>
      <c r="F614" s="1"/>
      <c r="AM614" s="1"/>
    </row>
    <row r="615" ht="14.25" customHeight="1">
      <c r="B615" s="1"/>
      <c r="F615" s="1"/>
      <c r="AM615" s="1"/>
    </row>
    <row r="616" ht="14.25" customHeight="1">
      <c r="B616" s="1"/>
      <c r="F616" s="1"/>
      <c r="AM616" s="1"/>
    </row>
    <row r="617" ht="14.25" customHeight="1">
      <c r="B617" s="1"/>
      <c r="F617" s="1"/>
      <c r="AM617" s="1"/>
    </row>
    <row r="618" ht="14.25" customHeight="1">
      <c r="B618" s="1"/>
      <c r="F618" s="1"/>
      <c r="AM618" s="1"/>
    </row>
    <row r="619" ht="14.25" customHeight="1">
      <c r="B619" s="1"/>
      <c r="F619" s="1"/>
      <c r="AM619" s="1"/>
    </row>
    <row r="620" ht="14.25" customHeight="1">
      <c r="B620" s="1"/>
      <c r="F620" s="1"/>
      <c r="AM620" s="1"/>
    </row>
    <row r="621" ht="14.25" customHeight="1">
      <c r="B621" s="1"/>
      <c r="F621" s="1"/>
      <c r="AM621" s="1"/>
    </row>
    <row r="622" ht="14.25" customHeight="1">
      <c r="B622" s="1"/>
      <c r="F622" s="1"/>
      <c r="AM622" s="1"/>
    </row>
    <row r="623" ht="14.25" customHeight="1">
      <c r="B623" s="1"/>
      <c r="F623" s="1"/>
      <c r="AM623" s="1"/>
    </row>
    <row r="624" ht="14.25" customHeight="1">
      <c r="B624" s="1"/>
      <c r="F624" s="1"/>
      <c r="AM624" s="1"/>
    </row>
    <row r="625" ht="14.25" customHeight="1">
      <c r="B625" s="1"/>
      <c r="F625" s="1"/>
      <c r="AM625" s="1"/>
    </row>
    <row r="626" ht="14.25" customHeight="1">
      <c r="B626" s="1"/>
      <c r="F626" s="1"/>
      <c r="AM626" s="1"/>
    </row>
    <row r="627" ht="14.25" customHeight="1">
      <c r="B627" s="1"/>
      <c r="F627" s="1"/>
      <c r="AM627" s="1"/>
    </row>
    <row r="628" ht="14.25" customHeight="1">
      <c r="B628" s="1"/>
      <c r="F628" s="1"/>
      <c r="AM628" s="1"/>
    </row>
    <row r="629" ht="14.25" customHeight="1">
      <c r="B629" s="1"/>
      <c r="F629" s="1"/>
      <c r="AM629" s="1"/>
    </row>
    <row r="630" ht="14.25" customHeight="1">
      <c r="B630" s="1"/>
      <c r="F630" s="1"/>
      <c r="AM630" s="1"/>
    </row>
    <row r="631" ht="14.25" customHeight="1">
      <c r="B631" s="1"/>
      <c r="F631" s="1"/>
      <c r="AM631" s="1"/>
    </row>
    <row r="632" ht="14.25" customHeight="1">
      <c r="B632" s="1"/>
      <c r="F632" s="1"/>
      <c r="AM632" s="1"/>
    </row>
    <row r="633" ht="14.25" customHeight="1">
      <c r="B633" s="1"/>
      <c r="F633" s="1"/>
      <c r="AM633" s="1"/>
    </row>
    <row r="634" ht="14.25" customHeight="1">
      <c r="B634" s="1"/>
      <c r="F634" s="1"/>
      <c r="AM634" s="1"/>
    </row>
    <row r="635" ht="14.25" customHeight="1">
      <c r="B635" s="1"/>
      <c r="F635" s="1"/>
      <c r="AM635" s="1"/>
    </row>
    <row r="636" ht="14.25" customHeight="1">
      <c r="B636" s="1"/>
      <c r="F636" s="1"/>
      <c r="AM636" s="1"/>
    </row>
    <row r="637" ht="14.25" customHeight="1">
      <c r="B637" s="1"/>
      <c r="F637" s="1"/>
      <c r="AM637" s="1"/>
    </row>
    <row r="638" ht="14.25" customHeight="1">
      <c r="B638" s="1"/>
      <c r="F638" s="1"/>
      <c r="AM638" s="1"/>
    </row>
    <row r="639" ht="14.25" customHeight="1">
      <c r="B639" s="1"/>
      <c r="F639" s="1"/>
      <c r="AM639" s="1"/>
    </row>
    <row r="640" ht="14.25" customHeight="1">
      <c r="B640" s="1"/>
      <c r="F640" s="1"/>
      <c r="AM640" s="1"/>
    </row>
    <row r="641" ht="14.25" customHeight="1">
      <c r="B641" s="1"/>
      <c r="F641" s="1"/>
      <c r="AM641" s="1"/>
    </row>
    <row r="642" ht="14.25" customHeight="1">
      <c r="B642" s="1"/>
      <c r="F642" s="1"/>
      <c r="AM642" s="1"/>
    </row>
    <row r="643" ht="14.25" customHeight="1">
      <c r="B643" s="1"/>
      <c r="F643" s="1"/>
      <c r="AM643" s="1"/>
    </row>
    <row r="644" ht="14.25" customHeight="1">
      <c r="B644" s="1"/>
      <c r="F644" s="1"/>
      <c r="AM644" s="1"/>
    </row>
    <row r="645" ht="14.25" customHeight="1">
      <c r="B645" s="1"/>
      <c r="F645" s="1"/>
      <c r="AM645" s="1"/>
    </row>
    <row r="646" ht="14.25" customHeight="1">
      <c r="B646" s="1"/>
      <c r="F646" s="1"/>
      <c r="AM646" s="1"/>
    </row>
    <row r="647" ht="14.25" customHeight="1">
      <c r="B647" s="1"/>
      <c r="F647" s="1"/>
      <c r="AM647" s="1"/>
    </row>
    <row r="648" ht="14.25" customHeight="1">
      <c r="B648" s="1"/>
      <c r="F648" s="1"/>
      <c r="AM648" s="1"/>
    </row>
    <row r="649" ht="14.25" customHeight="1">
      <c r="B649" s="1"/>
      <c r="F649" s="1"/>
      <c r="AM649" s="1"/>
    </row>
    <row r="650" ht="14.25" customHeight="1">
      <c r="B650" s="1"/>
      <c r="F650" s="1"/>
      <c r="AM650" s="1"/>
    </row>
    <row r="651" ht="14.25" customHeight="1">
      <c r="B651" s="1"/>
      <c r="F651" s="1"/>
      <c r="AM651" s="1"/>
    </row>
    <row r="652" ht="14.25" customHeight="1">
      <c r="B652" s="1"/>
      <c r="F652" s="1"/>
      <c r="AM652" s="1"/>
    </row>
    <row r="653" ht="14.25" customHeight="1">
      <c r="B653" s="1"/>
      <c r="F653" s="1"/>
      <c r="AM653" s="1"/>
    </row>
    <row r="654" ht="14.25" customHeight="1">
      <c r="B654" s="1"/>
      <c r="F654" s="1"/>
      <c r="AM654" s="1"/>
    </row>
    <row r="655" ht="14.25" customHeight="1">
      <c r="B655" s="1"/>
      <c r="F655" s="1"/>
      <c r="AM655" s="1"/>
    </row>
    <row r="656" ht="14.25" customHeight="1">
      <c r="B656" s="1"/>
      <c r="F656" s="1"/>
      <c r="AM656" s="1"/>
    </row>
    <row r="657" ht="14.25" customHeight="1">
      <c r="B657" s="1"/>
      <c r="F657" s="1"/>
      <c r="AM657" s="1"/>
    </row>
    <row r="658" ht="14.25" customHeight="1">
      <c r="B658" s="1"/>
      <c r="F658" s="1"/>
      <c r="AM658" s="1"/>
    </row>
    <row r="659" ht="14.25" customHeight="1">
      <c r="B659" s="1"/>
      <c r="F659" s="1"/>
      <c r="AM659" s="1"/>
    </row>
    <row r="660" ht="14.25" customHeight="1">
      <c r="B660" s="1"/>
      <c r="F660" s="1"/>
      <c r="AM660" s="1"/>
    </row>
    <row r="661" ht="14.25" customHeight="1">
      <c r="B661" s="1"/>
      <c r="F661" s="1"/>
      <c r="AM661" s="1"/>
    </row>
    <row r="662" ht="14.25" customHeight="1">
      <c r="B662" s="1"/>
      <c r="F662" s="1"/>
      <c r="AM662" s="1"/>
    </row>
    <row r="663" ht="14.25" customHeight="1">
      <c r="B663" s="1"/>
      <c r="F663" s="1"/>
      <c r="AM663" s="1"/>
    </row>
    <row r="664" ht="14.25" customHeight="1">
      <c r="B664" s="1"/>
      <c r="F664" s="1"/>
      <c r="AM664" s="1"/>
    </row>
    <row r="665" ht="14.25" customHeight="1">
      <c r="B665" s="1"/>
      <c r="F665" s="1"/>
      <c r="AM665" s="1"/>
    </row>
    <row r="666" ht="14.25" customHeight="1">
      <c r="B666" s="1"/>
      <c r="F666" s="1"/>
      <c r="AM666" s="1"/>
    </row>
    <row r="667" ht="14.25" customHeight="1">
      <c r="B667" s="1"/>
      <c r="F667" s="1"/>
      <c r="AM667" s="1"/>
    </row>
    <row r="668" ht="14.25" customHeight="1">
      <c r="B668" s="1"/>
      <c r="F668" s="1"/>
      <c r="AM668" s="1"/>
    </row>
    <row r="669" ht="14.25" customHeight="1">
      <c r="B669" s="1"/>
      <c r="F669" s="1"/>
      <c r="AM669" s="1"/>
    </row>
    <row r="670" ht="14.25" customHeight="1">
      <c r="B670" s="1"/>
      <c r="F670" s="1"/>
      <c r="AM670" s="1"/>
    </row>
    <row r="671" ht="14.25" customHeight="1">
      <c r="B671" s="1"/>
      <c r="F671" s="1"/>
      <c r="AM671" s="1"/>
    </row>
    <row r="672" ht="14.25" customHeight="1">
      <c r="B672" s="1"/>
      <c r="F672" s="1"/>
      <c r="AM672" s="1"/>
    </row>
    <row r="673" ht="14.25" customHeight="1">
      <c r="B673" s="1"/>
      <c r="F673" s="1"/>
      <c r="AM673" s="1"/>
    </row>
    <row r="674" ht="14.25" customHeight="1">
      <c r="B674" s="1"/>
      <c r="F674" s="1"/>
      <c r="AM674" s="1"/>
    </row>
    <row r="675" ht="14.25" customHeight="1">
      <c r="B675" s="1"/>
      <c r="F675" s="1"/>
      <c r="AM675" s="1"/>
    </row>
    <row r="676" ht="14.25" customHeight="1">
      <c r="B676" s="1"/>
      <c r="F676" s="1"/>
      <c r="AM676" s="1"/>
    </row>
    <row r="677" ht="14.25" customHeight="1">
      <c r="B677" s="1"/>
      <c r="F677" s="1"/>
      <c r="AM677" s="1"/>
    </row>
    <row r="678" ht="14.25" customHeight="1">
      <c r="B678" s="1"/>
      <c r="F678" s="1"/>
      <c r="AM678" s="1"/>
    </row>
    <row r="679" ht="14.25" customHeight="1">
      <c r="B679" s="1"/>
      <c r="F679" s="1"/>
      <c r="AM679" s="1"/>
    </row>
    <row r="680" ht="14.25" customHeight="1">
      <c r="B680" s="1"/>
      <c r="F680" s="1"/>
      <c r="AM680" s="1"/>
    </row>
    <row r="681" ht="14.25" customHeight="1">
      <c r="B681" s="1"/>
      <c r="F681" s="1"/>
      <c r="AM681" s="1"/>
    </row>
    <row r="682" ht="14.25" customHeight="1">
      <c r="B682" s="1"/>
      <c r="F682" s="1"/>
      <c r="AM682" s="1"/>
    </row>
    <row r="683" ht="14.25" customHeight="1">
      <c r="B683" s="1"/>
      <c r="F683" s="1"/>
      <c r="AM683" s="1"/>
    </row>
    <row r="684" ht="14.25" customHeight="1">
      <c r="B684" s="1"/>
      <c r="F684" s="1"/>
      <c r="AM684" s="1"/>
    </row>
    <row r="685" ht="14.25" customHeight="1">
      <c r="B685" s="1"/>
      <c r="F685" s="1"/>
      <c r="AM685" s="1"/>
    </row>
    <row r="686" ht="14.25" customHeight="1">
      <c r="B686" s="1"/>
      <c r="F686" s="1"/>
      <c r="AM686" s="1"/>
    </row>
    <row r="687" ht="14.25" customHeight="1">
      <c r="B687" s="1"/>
      <c r="F687" s="1"/>
      <c r="AM687" s="1"/>
    </row>
    <row r="688" ht="14.25" customHeight="1">
      <c r="B688" s="1"/>
      <c r="F688" s="1"/>
      <c r="AM688" s="1"/>
    </row>
    <row r="689" ht="14.25" customHeight="1">
      <c r="B689" s="1"/>
      <c r="F689" s="1"/>
      <c r="AM689" s="1"/>
    </row>
    <row r="690" ht="14.25" customHeight="1">
      <c r="B690" s="1"/>
      <c r="F690" s="1"/>
      <c r="AM690" s="1"/>
    </row>
    <row r="691" ht="14.25" customHeight="1">
      <c r="B691" s="1"/>
      <c r="F691" s="1"/>
      <c r="AM691" s="1"/>
    </row>
    <row r="692" ht="14.25" customHeight="1">
      <c r="B692" s="1"/>
      <c r="F692" s="1"/>
      <c r="AM692" s="1"/>
    </row>
    <row r="693" ht="14.25" customHeight="1">
      <c r="B693" s="1"/>
      <c r="F693" s="1"/>
      <c r="AM693" s="1"/>
    </row>
    <row r="694" ht="14.25" customHeight="1">
      <c r="B694" s="1"/>
      <c r="F694" s="1"/>
      <c r="AM694" s="1"/>
    </row>
    <row r="695" ht="14.25" customHeight="1">
      <c r="B695" s="1"/>
      <c r="F695" s="1"/>
      <c r="AM695" s="1"/>
    </row>
    <row r="696" ht="14.25" customHeight="1">
      <c r="B696" s="1"/>
      <c r="F696" s="1"/>
      <c r="AM696" s="1"/>
    </row>
    <row r="697" ht="14.25" customHeight="1">
      <c r="B697" s="1"/>
      <c r="F697" s="1"/>
      <c r="AM697" s="1"/>
    </row>
    <row r="698" ht="14.25" customHeight="1">
      <c r="B698" s="1"/>
      <c r="F698" s="1"/>
      <c r="AM698" s="1"/>
    </row>
    <row r="699" ht="14.25" customHeight="1">
      <c r="B699" s="1"/>
      <c r="F699" s="1"/>
      <c r="AM699" s="1"/>
    </row>
    <row r="700" ht="14.25" customHeight="1">
      <c r="B700" s="1"/>
      <c r="F700" s="1"/>
      <c r="AM700" s="1"/>
    </row>
    <row r="701" ht="14.25" customHeight="1">
      <c r="B701" s="1"/>
      <c r="F701" s="1"/>
      <c r="AM701" s="1"/>
    </row>
    <row r="702" ht="14.25" customHeight="1">
      <c r="B702" s="1"/>
      <c r="F702" s="1"/>
      <c r="AM702" s="1"/>
    </row>
    <row r="703" ht="14.25" customHeight="1">
      <c r="B703" s="1"/>
      <c r="F703" s="1"/>
      <c r="AM703" s="1"/>
    </row>
    <row r="704" ht="14.25" customHeight="1">
      <c r="B704" s="1"/>
      <c r="F704" s="1"/>
      <c r="AM704" s="1"/>
    </row>
    <row r="705" ht="14.25" customHeight="1">
      <c r="B705" s="1"/>
      <c r="F705" s="1"/>
      <c r="AM705" s="1"/>
    </row>
    <row r="706" ht="14.25" customHeight="1">
      <c r="B706" s="1"/>
      <c r="F706" s="1"/>
      <c r="AM706" s="1"/>
    </row>
    <row r="707" ht="14.25" customHeight="1">
      <c r="B707" s="1"/>
      <c r="F707" s="1"/>
      <c r="AM707" s="1"/>
    </row>
    <row r="708" ht="14.25" customHeight="1">
      <c r="B708" s="1"/>
      <c r="F708" s="1"/>
      <c r="AM708" s="1"/>
    </row>
    <row r="709" ht="14.25" customHeight="1">
      <c r="B709" s="1"/>
      <c r="F709" s="1"/>
      <c r="AM709" s="1"/>
    </row>
    <row r="710" ht="14.25" customHeight="1">
      <c r="B710" s="1"/>
      <c r="F710" s="1"/>
      <c r="AM710" s="1"/>
    </row>
    <row r="711" ht="14.25" customHeight="1">
      <c r="B711" s="1"/>
      <c r="F711" s="1"/>
      <c r="AM711" s="1"/>
    </row>
    <row r="712" ht="14.25" customHeight="1">
      <c r="B712" s="1"/>
      <c r="F712" s="1"/>
      <c r="AM712" s="1"/>
    </row>
    <row r="713" ht="14.25" customHeight="1">
      <c r="B713" s="1"/>
      <c r="F713" s="1"/>
      <c r="AM713" s="1"/>
    </row>
    <row r="714" ht="14.25" customHeight="1">
      <c r="B714" s="1"/>
      <c r="F714" s="1"/>
      <c r="AM714" s="1"/>
    </row>
    <row r="715" ht="14.25" customHeight="1">
      <c r="B715" s="1"/>
      <c r="F715" s="1"/>
      <c r="AM715" s="1"/>
    </row>
    <row r="716" ht="14.25" customHeight="1">
      <c r="B716" s="1"/>
      <c r="F716" s="1"/>
      <c r="AM716" s="1"/>
    </row>
    <row r="717" ht="14.25" customHeight="1">
      <c r="B717" s="1"/>
      <c r="F717" s="1"/>
      <c r="AM717" s="1"/>
    </row>
    <row r="718" ht="14.25" customHeight="1">
      <c r="B718" s="1"/>
      <c r="F718" s="1"/>
      <c r="AM718" s="1"/>
    </row>
    <row r="719" ht="14.25" customHeight="1">
      <c r="B719" s="1"/>
      <c r="F719" s="1"/>
      <c r="AM719" s="1"/>
    </row>
    <row r="720" ht="14.25" customHeight="1">
      <c r="B720" s="1"/>
      <c r="F720" s="1"/>
      <c r="AM720" s="1"/>
    </row>
    <row r="721" ht="14.25" customHeight="1">
      <c r="B721" s="1"/>
      <c r="F721" s="1"/>
      <c r="AM721" s="1"/>
    </row>
    <row r="722" ht="14.25" customHeight="1">
      <c r="B722" s="1"/>
      <c r="F722" s="1"/>
      <c r="AM722" s="1"/>
    </row>
    <row r="723" ht="14.25" customHeight="1">
      <c r="B723" s="1"/>
      <c r="F723" s="1"/>
      <c r="AM723" s="1"/>
    </row>
    <row r="724" ht="14.25" customHeight="1">
      <c r="B724" s="1"/>
      <c r="F724" s="1"/>
      <c r="AM724" s="1"/>
    </row>
    <row r="725" ht="14.25" customHeight="1">
      <c r="B725" s="1"/>
      <c r="F725" s="1"/>
      <c r="AM725" s="1"/>
    </row>
    <row r="726" ht="14.25" customHeight="1">
      <c r="B726" s="1"/>
      <c r="F726" s="1"/>
      <c r="AM726" s="1"/>
    </row>
    <row r="727" ht="14.25" customHeight="1">
      <c r="B727" s="1"/>
      <c r="F727" s="1"/>
      <c r="AM727" s="1"/>
    </row>
    <row r="728" ht="14.25" customHeight="1">
      <c r="B728" s="1"/>
      <c r="F728" s="1"/>
      <c r="AM728" s="1"/>
    </row>
    <row r="729" ht="14.25" customHeight="1">
      <c r="B729" s="1"/>
      <c r="F729" s="1"/>
      <c r="AM729" s="1"/>
    </row>
    <row r="730" ht="14.25" customHeight="1">
      <c r="B730" s="1"/>
      <c r="F730" s="1"/>
      <c r="AM730" s="1"/>
    </row>
    <row r="731" ht="14.25" customHeight="1">
      <c r="B731" s="1"/>
      <c r="F731" s="1"/>
      <c r="AM731" s="1"/>
    </row>
    <row r="732" ht="14.25" customHeight="1">
      <c r="B732" s="1"/>
      <c r="F732" s="1"/>
      <c r="AM732" s="1"/>
    </row>
    <row r="733" ht="14.25" customHeight="1">
      <c r="B733" s="1"/>
      <c r="F733" s="1"/>
      <c r="AM733" s="1"/>
    </row>
    <row r="734" ht="14.25" customHeight="1">
      <c r="B734" s="1"/>
      <c r="F734" s="1"/>
      <c r="AM734" s="1"/>
    </row>
    <row r="735" ht="14.25" customHeight="1">
      <c r="B735" s="1"/>
      <c r="F735" s="1"/>
      <c r="AM735" s="1"/>
    </row>
    <row r="736" ht="14.25" customHeight="1">
      <c r="B736" s="1"/>
      <c r="F736" s="1"/>
      <c r="AM736" s="1"/>
    </row>
    <row r="737" ht="14.25" customHeight="1">
      <c r="B737" s="1"/>
      <c r="F737" s="1"/>
      <c r="AM737" s="1"/>
    </row>
    <row r="738" ht="14.25" customHeight="1">
      <c r="B738" s="1"/>
      <c r="F738" s="1"/>
      <c r="AM738" s="1"/>
    </row>
    <row r="739" ht="14.25" customHeight="1">
      <c r="B739" s="1"/>
      <c r="F739" s="1"/>
      <c r="AM739" s="1"/>
    </row>
    <row r="740" ht="14.25" customHeight="1">
      <c r="B740" s="1"/>
      <c r="F740" s="1"/>
      <c r="AM740" s="1"/>
    </row>
    <row r="741" ht="14.25" customHeight="1">
      <c r="B741" s="1"/>
      <c r="F741" s="1"/>
      <c r="AM741" s="1"/>
    </row>
    <row r="742" ht="14.25" customHeight="1">
      <c r="B742" s="1"/>
      <c r="F742" s="1"/>
      <c r="AM742" s="1"/>
    </row>
    <row r="743" ht="14.25" customHeight="1">
      <c r="B743" s="1"/>
      <c r="F743" s="1"/>
      <c r="AM743" s="1"/>
    </row>
    <row r="744" ht="14.25" customHeight="1">
      <c r="B744" s="1"/>
      <c r="F744" s="1"/>
      <c r="AM744" s="1"/>
    </row>
    <row r="745" ht="14.25" customHeight="1">
      <c r="B745" s="1"/>
      <c r="F745" s="1"/>
      <c r="AM745" s="1"/>
    </row>
    <row r="746" ht="14.25" customHeight="1">
      <c r="B746" s="1"/>
      <c r="F746" s="1"/>
      <c r="AM746" s="1"/>
    </row>
    <row r="747" ht="14.25" customHeight="1">
      <c r="B747" s="1"/>
      <c r="F747" s="1"/>
      <c r="AM747" s="1"/>
    </row>
    <row r="748" ht="14.25" customHeight="1">
      <c r="B748" s="1"/>
      <c r="F748" s="1"/>
      <c r="AM748" s="1"/>
    </row>
    <row r="749" ht="14.25" customHeight="1">
      <c r="B749" s="1"/>
      <c r="F749" s="1"/>
      <c r="AM749" s="1"/>
    </row>
    <row r="750" ht="14.25" customHeight="1">
      <c r="B750" s="1"/>
      <c r="F750" s="1"/>
      <c r="AM750" s="1"/>
    </row>
    <row r="751" ht="14.25" customHeight="1">
      <c r="B751" s="1"/>
      <c r="F751" s="1"/>
      <c r="AM751" s="1"/>
    </row>
    <row r="752" ht="14.25" customHeight="1">
      <c r="B752" s="1"/>
      <c r="F752" s="1"/>
      <c r="AM752" s="1"/>
    </row>
    <row r="753" ht="14.25" customHeight="1">
      <c r="B753" s="1"/>
      <c r="F753" s="1"/>
      <c r="AM753" s="1"/>
    </row>
    <row r="754" ht="14.25" customHeight="1">
      <c r="B754" s="1"/>
      <c r="F754" s="1"/>
      <c r="AM754" s="1"/>
    </row>
    <row r="755" ht="14.25" customHeight="1">
      <c r="B755" s="1"/>
      <c r="F755" s="1"/>
      <c r="AM755" s="1"/>
    </row>
    <row r="756" ht="14.25" customHeight="1">
      <c r="B756" s="1"/>
      <c r="F756" s="1"/>
      <c r="AM756" s="1"/>
    </row>
    <row r="757" ht="14.25" customHeight="1">
      <c r="B757" s="1"/>
      <c r="F757" s="1"/>
      <c r="AM757" s="1"/>
    </row>
    <row r="758" ht="14.25" customHeight="1">
      <c r="B758" s="1"/>
      <c r="F758" s="1"/>
      <c r="AM758" s="1"/>
    </row>
    <row r="759" ht="14.25" customHeight="1">
      <c r="B759" s="1"/>
      <c r="F759" s="1"/>
      <c r="AM759" s="1"/>
    </row>
    <row r="760" ht="14.25" customHeight="1">
      <c r="B760" s="1"/>
      <c r="F760" s="1"/>
      <c r="AM760" s="1"/>
    </row>
    <row r="761" ht="14.25" customHeight="1">
      <c r="B761" s="1"/>
      <c r="F761" s="1"/>
      <c r="AM761" s="1"/>
    </row>
    <row r="762" ht="14.25" customHeight="1">
      <c r="B762" s="1"/>
      <c r="F762" s="1"/>
      <c r="AM762" s="1"/>
    </row>
    <row r="763" ht="14.25" customHeight="1">
      <c r="B763" s="1"/>
      <c r="F763" s="1"/>
      <c r="AM763" s="1"/>
    </row>
    <row r="764" ht="14.25" customHeight="1">
      <c r="B764" s="1"/>
      <c r="F764" s="1"/>
      <c r="AM764" s="1"/>
    </row>
    <row r="765" ht="14.25" customHeight="1">
      <c r="B765" s="1"/>
      <c r="F765" s="1"/>
      <c r="AM765" s="1"/>
    </row>
    <row r="766" ht="14.25" customHeight="1">
      <c r="B766" s="1"/>
      <c r="F766" s="1"/>
      <c r="AM766" s="1"/>
    </row>
    <row r="767" ht="14.25" customHeight="1">
      <c r="B767" s="1"/>
      <c r="F767" s="1"/>
      <c r="AM767" s="1"/>
    </row>
    <row r="768" ht="14.25" customHeight="1">
      <c r="B768" s="1"/>
      <c r="F768" s="1"/>
      <c r="AM768" s="1"/>
    </row>
    <row r="769" ht="14.25" customHeight="1">
      <c r="B769" s="1"/>
      <c r="F769" s="1"/>
      <c r="AM769" s="1"/>
    </row>
    <row r="770" ht="14.25" customHeight="1">
      <c r="B770" s="1"/>
      <c r="F770" s="1"/>
      <c r="AM770" s="1"/>
    </row>
    <row r="771" ht="14.25" customHeight="1">
      <c r="B771" s="1"/>
      <c r="F771" s="1"/>
      <c r="AM771" s="1"/>
    </row>
    <row r="772" ht="14.25" customHeight="1">
      <c r="B772" s="1"/>
      <c r="F772" s="1"/>
      <c r="AM772" s="1"/>
    </row>
    <row r="773" ht="14.25" customHeight="1">
      <c r="B773" s="1"/>
      <c r="F773" s="1"/>
      <c r="AM773" s="1"/>
    </row>
    <row r="774" ht="14.25" customHeight="1">
      <c r="B774" s="1"/>
      <c r="F774" s="1"/>
      <c r="AM774" s="1"/>
    </row>
    <row r="775" ht="14.25" customHeight="1">
      <c r="B775" s="1"/>
      <c r="F775" s="1"/>
      <c r="AM775" s="1"/>
    </row>
    <row r="776" ht="14.25" customHeight="1">
      <c r="B776" s="1"/>
      <c r="F776" s="1"/>
      <c r="AM776" s="1"/>
    </row>
    <row r="777" ht="14.25" customHeight="1">
      <c r="B777" s="1"/>
      <c r="F777" s="1"/>
      <c r="AM777" s="1"/>
    </row>
    <row r="778" ht="14.25" customHeight="1">
      <c r="B778" s="1"/>
      <c r="F778" s="1"/>
      <c r="AM778" s="1"/>
    </row>
    <row r="779" ht="14.25" customHeight="1">
      <c r="B779" s="1"/>
      <c r="F779" s="1"/>
      <c r="AM779" s="1"/>
    </row>
    <row r="780" ht="14.25" customHeight="1">
      <c r="B780" s="1"/>
      <c r="F780" s="1"/>
      <c r="AM780" s="1"/>
    </row>
    <row r="781" ht="14.25" customHeight="1">
      <c r="B781" s="1"/>
      <c r="F781" s="1"/>
      <c r="AM781" s="1"/>
    </row>
    <row r="782" ht="14.25" customHeight="1">
      <c r="B782" s="1"/>
      <c r="F782" s="1"/>
      <c r="AM782" s="1"/>
    </row>
    <row r="783" ht="14.25" customHeight="1">
      <c r="B783" s="1"/>
      <c r="F783" s="1"/>
      <c r="AM783" s="1"/>
    </row>
    <row r="784" ht="14.25" customHeight="1">
      <c r="B784" s="1"/>
      <c r="F784" s="1"/>
      <c r="AM784" s="1"/>
    </row>
    <row r="785" ht="14.25" customHeight="1">
      <c r="B785" s="1"/>
      <c r="F785" s="1"/>
      <c r="AM785" s="1"/>
    </row>
    <row r="786" ht="14.25" customHeight="1">
      <c r="B786" s="1"/>
      <c r="F786" s="1"/>
      <c r="AM786" s="1"/>
    </row>
    <row r="787" ht="14.25" customHeight="1">
      <c r="B787" s="1"/>
      <c r="F787" s="1"/>
      <c r="AM787" s="1"/>
    </row>
    <row r="788" ht="14.25" customHeight="1">
      <c r="B788" s="1"/>
      <c r="F788" s="1"/>
      <c r="AM788" s="1"/>
    </row>
    <row r="789" ht="14.25" customHeight="1">
      <c r="B789" s="1"/>
      <c r="F789" s="1"/>
      <c r="AM789" s="1"/>
    </row>
    <row r="790" ht="14.25" customHeight="1">
      <c r="B790" s="1"/>
      <c r="F790" s="1"/>
      <c r="AM790" s="1"/>
    </row>
    <row r="791" ht="14.25" customHeight="1">
      <c r="B791" s="1"/>
      <c r="F791" s="1"/>
      <c r="AM791" s="1"/>
    </row>
    <row r="792" ht="14.25" customHeight="1">
      <c r="B792" s="1"/>
      <c r="F792" s="1"/>
      <c r="AM792" s="1"/>
    </row>
    <row r="793" ht="14.25" customHeight="1">
      <c r="B793" s="1"/>
      <c r="F793" s="1"/>
      <c r="AM793" s="1"/>
    </row>
    <row r="794" ht="14.25" customHeight="1">
      <c r="B794" s="1"/>
      <c r="F794" s="1"/>
      <c r="AM794" s="1"/>
    </row>
    <row r="795" ht="14.25" customHeight="1">
      <c r="B795" s="1"/>
      <c r="F795" s="1"/>
      <c r="AM795" s="1"/>
    </row>
    <row r="796" ht="14.25" customHeight="1">
      <c r="B796" s="1"/>
      <c r="F796" s="1"/>
      <c r="AM796" s="1"/>
    </row>
    <row r="797" ht="14.25" customHeight="1">
      <c r="B797" s="1"/>
      <c r="F797" s="1"/>
      <c r="AM797" s="1"/>
    </row>
    <row r="798" ht="14.25" customHeight="1">
      <c r="B798" s="1"/>
      <c r="F798" s="1"/>
      <c r="AM798" s="1"/>
    </row>
    <row r="799" ht="14.25" customHeight="1">
      <c r="B799" s="1"/>
      <c r="F799" s="1"/>
      <c r="AM799" s="1"/>
    </row>
    <row r="800" ht="14.25" customHeight="1">
      <c r="B800" s="1"/>
      <c r="F800" s="1"/>
      <c r="AM800" s="1"/>
    </row>
    <row r="801" ht="14.25" customHeight="1">
      <c r="B801" s="1"/>
      <c r="F801" s="1"/>
      <c r="AM801" s="1"/>
    </row>
    <row r="802" ht="14.25" customHeight="1">
      <c r="B802" s="1"/>
      <c r="F802" s="1"/>
      <c r="AM802" s="1"/>
    </row>
    <row r="803" ht="14.25" customHeight="1">
      <c r="B803" s="1"/>
      <c r="F803" s="1"/>
      <c r="AM803" s="1"/>
    </row>
    <row r="804" ht="14.25" customHeight="1">
      <c r="B804" s="1"/>
      <c r="F804" s="1"/>
      <c r="AM804" s="1"/>
    </row>
    <row r="805" ht="14.25" customHeight="1">
      <c r="B805" s="1"/>
      <c r="F805" s="1"/>
      <c r="AM805" s="1"/>
    </row>
    <row r="806" ht="14.25" customHeight="1">
      <c r="B806" s="1"/>
      <c r="F806" s="1"/>
      <c r="AM806" s="1"/>
    </row>
    <row r="807" ht="14.25" customHeight="1">
      <c r="B807" s="1"/>
      <c r="F807" s="1"/>
      <c r="AM807" s="1"/>
    </row>
    <row r="808" ht="14.25" customHeight="1">
      <c r="B808" s="1"/>
      <c r="F808" s="1"/>
      <c r="AM808" s="1"/>
    </row>
    <row r="809" ht="14.25" customHeight="1">
      <c r="B809" s="1"/>
      <c r="F809" s="1"/>
      <c r="AM809" s="1"/>
    </row>
    <row r="810" ht="14.25" customHeight="1">
      <c r="B810" s="1"/>
      <c r="F810" s="1"/>
      <c r="AM810" s="1"/>
    </row>
    <row r="811" ht="14.25" customHeight="1">
      <c r="B811" s="1"/>
      <c r="F811" s="1"/>
      <c r="AM811" s="1"/>
    </row>
    <row r="812" ht="14.25" customHeight="1">
      <c r="B812" s="1"/>
      <c r="F812" s="1"/>
      <c r="AM812" s="1"/>
    </row>
    <row r="813" ht="14.25" customHeight="1">
      <c r="B813" s="1"/>
      <c r="F813" s="1"/>
      <c r="AM813" s="1"/>
    </row>
    <row r="814" ht="14.25" customHeight="1">
      <c r="B814" s="1"/>
      <c r="F814" s="1"/>
      <c r="AM814" s="1"/>
    </row>
    <row r="815" ht="14.25" customHeight="1">
      <c r="B815" s="1"/>
      <c r="F815" s="1"/>
      <c r="AM815" s="1"/>
    </row>
    <row r="816" ht="14.25" customHeight="1">
      <c r="B816" s="1"/>
      <c r="F816" s="1"/>
      <c r="AM816" s="1"/>
    </row>
    <row r="817" ht="14.25" customHeight="1">
      <c r="B817" s="1"/>
      <c r="F817" s="1"/>
      <c r="AM817" s="1"/>
    </row>
    <row r="818" ht="14.25" customHeight="1">
      <c r="B818" s="1"/>
      <c r="F818" s="1"/>
      <c r="AM818" s="1"/>
    </row>
    <row r="819" ht="14.25" customHeight="1">
      <c r="B819" s="1"/>
      <c r="F819" s="1"/>
      <c r="AM819" s="1"/>
    </row>
    <row r="820" ht="14.25" customHeight="1">
      <c r="B820" s="1"/>
      <c r="F820" s="1"/>
      <c r="AM820" s="1"/>
    </row>
    <row r="821" ht="14.25" customHeight="1">
      <c r="B821" s="1"/>
      <c r="F821" s="1"/>
      <c r="AM821" s="1"/>
    </row>
    <row r="822" ht="14.25" customHeight="1">
      <c r="B822" s="1"/>
      <c r="F822" s="1"/>
      <c r="AM822" s="1"/>
    </row>
    <row r="823" ht="14.25" customHeight="1">
      <c r="B823" s="1"/>
      <c r="F823" s="1"/>
      <c r="AM823" s="1"/>
    </row>
    <row r="824" ht="14.25" customHeight="1">
      <c r="B824" s="1"/>
      <c r="F824" s="1"/>
      <c r="AM824" s="1"/>
    </row>
    <row r="825" ht="14.25" customHeight="1">
      <c r="B825" s="1"/>
      <c r="F825" s="1"/>
      <c r="AM825" s="1"/>
    </row>
    <row r="826" ht="14.25" customHeight="1">
      <c r="B826" s="1"/>
      <c r="F826" s="1"/>
      <c r="AM826" s="1"/>
    </row>
    <row r="827" ht="14.25" customHeight="1">
      <c r="B827" s="1"/>
      <c r="F827" s="1"/>
      <c r="AM827" s="1"/>
    </row>
    <row r="828" ht="14.25" customHeight="1">
      <c r="B828" s="1"/>
      <c r="F828" s="1"/>
      <c r="AM828" s="1"/>
    </row>
    <row r="829" ht="14.25" customHeight="1">
      <c r="B829" s="1"/>
      <c r="F829" s="1"/>
      <c r="AM829" s="1"/>
    </row>
    <row r="830" ht="14.25" customHeight="1">
      <c r="B830" s="1"/>
      <c r="F830" s="1"/>
      <c r="AM830" s="1"/>
    </row>
    <row r="831" ht="14.25" customHeight="1">
      <c r="B831" s="1"/>
      <c r="F831" s="1"/>
      <c r="AM831" s="1"/>
    </row>
    <row r="832" ht="14.25" customHeight="1">
      <c r="B832" s="1"/>
      <c r="F832" s="1"/>
      <c r="AM832" s="1"/>
    </row>
    <row r="833" ht="14.25" customHeight="1">
      <c r="B833" s="1"/>
      <c r="F833" s="1"/>
      <c r="AM833" s="1"/>
    </row>
    <row r="834" ht="14.25" customHeight="1">
      <c r="B834" s="1"/>
      <c r="F834" s="1"/>
      <c r="AM834" s="1"/>
    </row>
    <row r="835" ht="14.25" customHeight="1">
      <c r="B835" s="1"/>
      <c r="F835" s="1"/>
      <c r="AM835" s="1"/>
    </row>
    <row r="836" ht="14.25" customHeight="1">
      <c r="B836" s="1"/>
      <c r="F836" s="1"/>
      <c r="AM836" s="1"/>
    </row>
    <row r="837" ht="14.25" customHeight="1">
      <c r="B837" s="1"/>
      <c r="F837" s="1"/>
      <c r="AM837" s="1"/>
    </row>
    <row r="838" ht="14.25" customHeight="1">
      <c r="B838" s="1"/>
      <c r="F838" s="1"/>
      <c r="AM838" s="1"/>
    </row>
    <row r="839" ht="14.25" customHeight="1">
      <c r="B839" s="1"/>
      <c r="F839" s="1"/>
      <c r="AM839" s="1"/>
    </row>
    <row r="840" ht="14.25" customHeight="1">
      <c r="B840" s="1"/>
      <c r="F840" s="1"/>
      <c r="AM840" s="1"/>
    </row>
    <row r="841" ht="14.25" customHeight="1">
      <c r="B841" s="1"/>
      <c r="F841" s="1"/>
      <c r="AM841" s="1"/>
    </row>
    <row r="842" ht="14.25" customHeight="1">
      <c r="B842" s="1"/>
      <c r="F842" s="1"/>
      <c r="AM842" s="1"/>
    </row>
    <row r="843" ht="14.25" customHeight="1">
      <c r="B843" s="1"/>
      <c r="F843" s="1"/>
      <c r="AM843" s="1"/>
    </row>
    <row r="844" ht="14.25" customHeight="1">
      <c r="B844" s="1"/>
      <c r="F844" s="1"/>
      <c r="AM844" s="1"/>
    </row>
    <row r="845" ht="14.25" customHeight="1">
      <c r="B845" s="1"/>
      <c r="F845" s="1"/>
      <c r="AM845" s="1"/>
    </row>
    <row r="846" ht="14.25" customHeight="1">
      <c r="B846" s="1"/>
      <c r="F846" s="1"/>
      <c r="AM846" s="1"/>
    </row>
    <row r="847" ht="14.25" customHeight="1">
      <c r="B847" s="1"/>
      <c r="F847" s="1"/>
      <c r="AM847" s="1"/>
    </row>
    <row r="848" ht="14.25" customHeight="1">
      <c r="B848" s="1"/>
      <c r="F848" s="1"/>
      <c r="AM848" s="1"/>
    </row>
    <row r="849" ht="14.25" customHeight="1">
      <c r="B849" s="1"/>
      <c r="F849" s="1"/>
      <c r="AM849" s="1"/>
    </row>
    <row r="850" ht="14.25" customHeight="1">
      <c r="B850" s="1"/>
      <c r="F850" s="1"/>
      <c r="AM850" s="1"/>
    </row>
    <row r="851" ht="14.25" customHeight="1">
      <c r="B851" s="1"/>
      <c r="F851" s="1"/>
      <c r="AM851" s="1"/>
    </row>
    <row r="852" ht="14.25" customHeight="1">
      <c r="B852" s="1"/>
      <c r="F852" s="1"/>
      <c r="AM852" s="1"/>
    </row>
    <row r="853" ht="14.25" customHeight="1">
      <c r="B853" s="1"/>
      <c r="F853" s="1"/>
      <c r="AM853" s="1"/>
    </row>
    <row r="854" ht="14.25" customHeight="1">
      <c r="B854" s="1"/>
      <c r="F854" s="1"/>
      <c r="AM854" s="1"/>
    </row>
    <row r="855" ht="14.25" customHeight="1">
      <c r="B855" s="1"/>
      <c r="F855" s="1"/>
      <c r="AM855" s="1"/>
    </row>
    <row r="856" ht="14.25" customHeight="1">
      <c r="B856" s="1"/>
      <c r="F856" s="1"/>
      <c r="AM856" s="1"/>
    </row>
    <row r="857" ht="14.25" customHeight="1">
      <c r="B857" s="1"/>
      <c r="F857" s="1"/>
      <c r="AM857" s="1"/>
    </row>
    <row r="858" ht="14.25" customHeight="1">
      <c r="B858" s="1"/>
      <c r="F858" s="1"/>
      <c r="AM858" s="1"/>
    </row>
    <row r="859" ht="14.25" customHeight="1">
      <c r="B859" s="1"/>
      <c r="F859" s="1"/>
      <c r="AM859" s="1"/>
    </row>
    <row r="860" ht="14.25" customHeight="1">
      <c r="B860" s="1"/>
      <c r="F860" s="1"/>
      <c r="AM860" s="1"/>
    </row>
    <row r="861" ht="14.25" customHeight="1">
      <c r="B861" s="1"/>
      <c r="F861" s="1"/>
      <c r="AM861" s="1"/>
    </row>
    <row r="862" ht="14.25" customHeight="1">
      <c r="B862" s="1"/>
      <c r="F862" s="1"/>
      <c r="AM862" s="1"/>
    </row>
    <row r="863" ht="14.25" customHeight="1">
      <c r="B863" s="1"/>
      <c r="F863" s="1"/>
      <c r="AM863" s="1"/>
    </row>
    <row r="864" ht="14.25" customHeight="1">
      <c r="B864" s="1"/>
      <c r="F864" s="1"/>
      <c r="AM864" s="1"/>
    </row>
    <row r="865" ht="14.25" customHeight="1">
      <c r="B865" s="1"/>
      <c r="F865" s="1"/>
      <c r="AM865" s="1"/>
    </row>
    <row r="866" ht="14.25" customHeight="1">
      <c r="B866" s="1"/>
      <c r="F866" s="1"/>
      <c r="AM866" s="1"/>
    </row>
    <row r="867" ht="14.25" customHeight="1">
      <c r="B867" s="1"/>
      <c r="F867" s="1"/>
      <c r="AM867" s="1"/>
    </row>
    <row r="868" ht="14.25" customHeight="1">
      <c r="B868" s="1"/>
      <c r="F868" s="1"/>
      <c r="AM868" s="1"/>
    </row>
    <row r="869" ht="14.25" customHeight="1">
      <c r="B869" s="1"/>
      <c r="F869" s="1"/>
      <c r="AM869" s="1"/>
    </row>
    <row r="870" ht="14.25" customHeight="1">
      <c r="B870" s="1"/>
      <c r="F870" s="1"/>
      <c r="AM870" s="1"/>
    </row>
    <row r="871" ht="14.25" customHeight="1">
      <c r="B871" s="1"/>
      <c r="F871" s="1"/>
      <c r="AM871" s="1"/>
    </row>
    <row r="872" ht="14.25" customHeight="1">
      <c r="B872" s="1"/>
      <c r="F872" s="1"/>
      <c r="AM872" s="1"/>
    </row>
    <row r="873" ht="14.25" customHeight="1">
      <c r="B873" s="1"/>
      <c r="F873" s="1"/>
      <c r="AM873" s="1"/>
    </row>
    <row r="874" ht="14.25" customHeight="1">
      <c r="B874" s="1"/>
      <c r="F874" s="1"/>
      <c r="AM874" s="1"/>
    </row>
    <row r="875" ht="14.25" customHeight="1">
      <c r="B875" s="1"/>
      <c r="F875" s="1"/>
      <c r="AM875" s="1"/>
    </row>
    <row r="876" ht="14.25" customHeight="1">
      <c r="B876" s="1"/>
      <c r="F876" s="1"/>
      <c r="AM876" s="1"/>
    </row>
    <row r="877" ht="14.25" customHeight="1">
      <c r="B877" s="1"/>
      <c r="F877" s="1"/>
      <c r="AM877" s="1"/>
    </row>
    <row r="878" ht="14.25" customHeight="1">
      <c r="B878" s="1"/>
      <c r="F878" s="1"/>
      <c r="AM878" s="1"/>
    </row>
    <row r="879" ht="14.25" customHeight="1">
      <c r="B879" s="1"/>
      <c r="F879" s="1"/>
      <c r="AM879" s="1"/>
    </row>
    <row r="880" ht="14.25" customHeight="1">
      <c r="B880" s="1"/>
      <c r="F880" s="1"/>
      <c r="AM880" s="1"/>
    </row>
    <row r="881" ht="14.25" customHeight="1">
      <c r="B881" s="1"/>
      <c r="F881" s="1"/>
      <c r="AM881" s="1"/>
    </row>
    <row r="882" ht="14.25" customHeight="1">
      <c r="B882" s="1"/>
      <c r="F882" s="1"/>
      <c r="AM882" s="1"/>
    </row>
    <row r="883" ht="14.25" customHeight="1">
      <c r="B883" s="1"/>
      <c r="F883" s="1"/>
      <c r="AM883" s="1"/>
    </row>
    <row r="884" ht="14.25" customHeight="1">
      <c r="B884" s="1"/>
      <c r="F884" s="1"/>
      <c r="AM884" s="1"/>
    </row>
    <row r="885" ht="14.25" customHeight="1">
      <c r="B885" s="1"/>
      <c r="F885" s="1"/>
      <c r="AM885" s="1"/>
    </row>
    <row r="886" ht="14.25" customHeight="1">
      <c r="B886" s="1"/>
      <c r="F886" s="1"/>
      <c r="AM886" s="1"/>
    </row>
    <row r="887" ht="14.25" customHeight="1">
      <c r="B887" s="1"/>
      <c r="F887" s="1"/>
      <c r="AM887" s="1"/>
    </row>
    <row r="888" ht="14.25" customHeight="1">
      <c r="B888" s="1"/>
      <c r="F888" s="1"/>
      <c r="AM888" s="1"/>
    </row>
    <row r="889" ht="14.25" customHeight="1">
      <c r="B889" s="1"/>
      <c r="F889" s="1"/>
      <c r="AM889" s="1"/>
    </row>
    <row r="890" ht="14.25" customHeight="1">
      <c r="B890" s="1"/>
      <c r="F890" s="1"/>
      <c r="AM890" s="1"/>
    </row>
    <row r="891" ht="14.25" customHeight="1">
      <c r="B891" s="1"/>
      <c r="F891" s="1"/>
      <c r="AM891" s="1"/>
    </row>
    <row r="892" ht="14.25" customHeight="1">
      <c r="B892" s="1"/>
      <c r="F892" s="1"/>
      <c r="AM892" s="1"/>
    </row>
    <row r="893" ht="14.25" customHeight="1">
      <c r="B893" s="1"/>
      <c r="F893" s="1"/>
      <c r="AM893" s="1"/>
    </row>
    <row r="894" ht="14.25" customHeight="1">
      <c r="B894" s="1"/>
      <c r="F894" s="1"/>
      <c r="AM894" s="1"/>
    </row>
    <row r="895" ht="14.25" customHeight="1">
      <c r="B895" s="1"/>
      <c r="F895" s="1"/>
      <c r="AM895" s="1"/>
    </row>
    <row r="896" ht="14.25" customHeight="1">
      <c r="B896" s="1"/>
      <c r="F896" s="1"/>
      <c r="AM896" s="1"/>
    </row>
    <row r="897" ht="14.25" customHeight="1">
      <c r="B897" s="1"/>
      <c r="F897" s="1"/>
      <c r="AM897" s="1"/>
    </row>
    <row r="898" ht="14.25" customHeight="1">
      <c r="B898" s="1"/>
      <c r="F898" s="1"/>
      <c r="AM898" s="1"/>
    </row>
    <row r="899" ht="14.25" customHeight="1">
      <c r="B899" s="1"/>
      <c r="F899" s="1"/>
      <c r="AM899" s="1"/>
    </row>
    <row r="900" ht="14.25" customHeight="1">
      <c r="B900" s="1"/>
      <c r="F900" s="1"/>
      <c r="AM900" s="1"/>
    </row>
    <row r="901" ht="14.25" customHeight="1">
      <c r="B901" s="1"/>
      <c r="F901" s="1"/>
      <c r="AM901" s="1"/>
    </row>
    <row r="902" ht="14.25" customHeight="1">
      <c r="B902" s="1"/>
      <c r="F902" s="1"/>
      <c r="AM902" s="1"/>
    </row>
    <row r="903" ht="14.25" customHeight="1">
      <c r="B903" s="1"/>
      <c r="F903" s="1"/>
      <c r="AM903" s="1"/>
    </row>
    <row r="904" ht="14.25" customHeight="1">
      <c r="B904" s="1"/>
      <c r="F904" s="1"/>
      <c r="AM904" s="1"/>
    </row>
    <row r="905" ht="14.25" customHeight="1">
      <c r="B905" s="1"/>
      <c r="F905" s="1"/>
      <c r="AM905" s="1"/>
    </row>
    <row r="906" ht="14.25" customHeight="1">
      <c r="B906" s="1"/>
      <c r="F906" s="1"/>
      <c r="AM906" s="1"/>
    </row>
    <row r="907" ht="14.25" customHeight="1">
      <c r="B907" s="1"/>
      <c r="F907" s="1"/>
      <c r="AM907" s="1"/>
    </row>
    <row r="908" ht="14.25" customHeight="1">
      <c r="B908" s="1"/>
      <c r="F908" s="1"/>
      <c r="AM908" s="1"/>
    </row>
    <row r="909" ht="14.25" customHeight="1">
      <c r="B909" s="1"/>
      <c r="F909" s="1"/>
      <c r="AM909" s="1"/>
    </row>
    <row r="910" ht="14.25" customHeight="1">
      <c r="B910" s="1"/>
      <c r="F910" s="1"/>
      <c r="AM910" s="1"/>
    </row>
    <row r="911" ht="14.25" customHeight="1">
      <c r="B911" s="1"/>
      <c r="F911" s="1"/>
      <c r="AM911" s="1"/>
    </row>
    <row r="912" ht="14.25" customHeight="1">
      <c r="B912" s="1"/>
      <c r="F912" s="1"/>
      <c r="AM912" s="1"/>
    </row>
    <row r="913" ht="14.25" customHeight="1">
      <c r="B913" s="1"/>
      <c r="F913" s="1"/>
      <c r="AM913" s="1"/>
    </row>
    <row r="914" ht="14.25" customHeight="1">
      <c r="B914" s="1"/>
      <c r="F914" s="1"/>
      <c r="AM914" s="1"/>
    </row>
    <row r="915" ht="14.25" customHeight="1">
      <c r="B915" s="1"/>
      <c r="F915" s="1"/>
      <c r="AM915" s="1"/>
    </row>
    <row r="916" ht="14.25" customHeight="1">
      <c r="B916" s="1"/>
      <c r="F916" s="1"/>
      <c r="AM916" s="1"/>
    </row>
    <row r="917" ht="14.25" customHeight="1">
      <c r="B917" s="1"/>
      <c r="F917" s="1"/>
      <c r="AM917" s="1"/>
    </row>
    <row r="918" ht="14.25" customHeight="1">
      <c r="B918" s="1"/>
      <c r="F918" s="1"/>
      <c r="AM918" s="1"/>
    </row>
    <row r="919" ht="14.25" customHeight="1">
      <c r="B919" s="1"/>
      <c r="F919" s="1"/>
      <c r="AM919" s="1"/>
    </row>
    <row r="920" ht="14.25" customHeight="1">
      <c r="B920" s="1"/>
      <c r="F920" s="1"/>
      <c r="AM920" s="1"/>
    </row>
    <row r="921" ht="14.25" customHeight="1">
      <c r="B921" s="1"/>
      <c r="F921" s="1"/>
      <c r="AM921" s="1"/>
    </row>
    <row r="922" ht="14.25" customHeight="1">
      <c r="B922" s="1"/>
      <c r="F922" s="1"/>
      <c r="AM922" s="1"/>
    </row>
    <row r="923" ht="14.25" customHeight="1">
      <c r="B923" s="1"/>
      <c r="F923" s="1"/>
      <c r="AM923" s="1"/>
    </row>
    <row r="924" ht="14.25" customHeight="1">
      <c r="B924" s="1"/>
      <c r="F924" s="1"/>
      <c r="AM924" s="1"/>
    </row>
    <row r="925" ht="14.25" customHeight="1">
      <c r="B925" s="1"/>
      <c r="F925" s="1"/>
      <c r="AM925" s="1"/>
    </row>
    <row r="926" ht="14.25" customHeight="1">
      <c r="B926" s="1"/>
      <c r="F926" s="1"/>
      <c r="AM926" s="1"/>
    </row>
    <row r="927" ht="14.25" customHeight="1">
      <c r="B927" s="1"/>
      <c r="F927" s="1"/>
      <c r="AM927" s="1"/>
    </row>
    <row r="928" ht="14.25" customHeight="1">
      <c r="B928" s="1"/>
      <c r="F928" s="1"/>
      <c r="AM928" s="1"/>
    </row>
    <row r="929" ht="14.25" customHeight="1">
      <c r="B929" s="1"/>
      <c r="F929" s="1"/>
      <c r="AM929" s="1"/>
    </row>
    <row r="930" ht="14.25" customHeight="1">
      <c r="B930" s="1"/>
      <c r="F930" s="1"/>
      <c r="AM930" s="1"/>
    </row>
    <row r="931" ht="14.25" customHeight="1">
      <c r="B931" s="1"/>
      <c r="F931" s="1"/>
      <c r="AM931" s="1"/>
    </row>
    <row r="932" ht="14.25" customHeight="1">
      <c r="B932" s="1"/>
      <c r="F932" s="1"/>
      <c r="AM932" s="1"/>
    </row>
    <row r="933" ht="14.25" customHeight="1">
      <c r="B933" s="1"/>
      <c r="F933" s="1"/>
      <c r="AM933" s="1"/>
    </row>
    <row r="934" ht="14.25" customHeight="1">
      <c r="B934" s="1"/>
      <c r="F934" s="1"/>
      <c r="AM934" s="1"/>
    </row>
    <row r="935" ht="14.25" customHeight="1">
      <c r="B935" s="1"/>
      <c r="F935" s="1"/>
      <c r="AM935" s="1"/>
    </row>
    <row r="936" ht="14.25" customHeight="1">
      <c r="B936" s="1"/>
      <c r="F936" s="1"/>
      <c r="AM936" s="1"/>
    </row>
    <row r="937" ht="14.25" customHeight="1">
      <c r="B937" s="1"/>
      <c r="F937" s="1"/>
      <c r="AM937" s="1"/>
    </row>
    <row r="938" ht="14.25" customHeight="1">
      <c r="B938" s="1"/>
      <c r="F938" s="1"/>
      <c r="AM938" s="1"/>
    </row>
    <row r="939" ht="14.25" customHeight="1">
      <c r="B939" s="1"/>
      <c r="F939" s="1"/>
      <c r="AM939" s="1"/>
    </row>
    <row r="940" ht="14.25" customHeight="1">
      <c r="B940" s="1"/>
      <c r="F940" s="1"/>
      <c r="AM940" s="1"/>
    </row>
    <row r="941" ht="14.25" customHeight="1">
      <c r="B941" s="1"/>
      <c r="F941" s="1"/>
      <c r="AM941" s="1"/>
    </row>
    <row r="942" ht="14.25" customHeight="1">
      <c r="B942" s="1"/>
      <c r="F942" s="1"/>
      <c r="AM942" s="1"/>
    </row>
    <row r="943" ht="14.25" customHeight="1">
      <c r="B943" s="1"/>
      <c r="F943" s="1"/>
      <c r="AM943" s="1"/>
    </row>
    <row r="944" ht="14.25" customHeight="1">
      <c r="B944" s="1"/>
      <c r="F944" s="1"/>
      <c r="AM944" s="1"/>
    </row>
    <row r="945" ht="14.25" customHeight="1">
      <c r="B945" s="1"/>
      <c r="F945" s="1"/>
      <c r="AM945" s="1"/>
    </row>
    <row r="946" ht="14.25" customHeight="1">
      <c r="B946" s="1"/>
      <c r="F946" s="1"/>
      <c r="AM946" s="1"/>
    </row>
    <row r="947" ht="14.25" customHeight="1">
      <c r="B947" s="1"/>
      <c r="F947" s="1"/>
      <c r="AM947" s="1"/>
    </row>
    <row r="948" ht="14.25" customHeight="1">
      <c r="B948" s="1"/>
      <c r="F948" s="1"/>
      <c r="AM948" s="1"/>
    </row>
    <row r="949" ht="14.25" customHeight="1">
      <c r="B949" s="1"/>
      <c r="F949" s="1"/>
      <c r="AM949" s="1"/>
    </row>
    <row r="950" ht="14.25" customHeight="1">
      <c r="B950" s="1"/>
      <c r="F950" s="1"/>
      <c r="AM950" s="1"/>
    </row>
    <row r="951" ht="14.25" customHeight="1">
      <c r="B951" s="1"/>
      <c r="F951" s="1"/>
      <c r="AM951" s="1"/>
    </row>
    <row r="952" ht="14.25" customHeight="1">
      <c r="B952" s="1"/>
      <c r="F952" s="1"/>
      <c r="AM952" s="1"/>
    </row>
    <row r="953" ht="14.25" customHeight="1">
      <c r="B953" s="1"/>
      <c r="F953" s="1"/>
      <c r="AM953" s="1"/>
    </row>
    <row r="954" ht="14.25" customHeight="1">
      <c r="B954" s="1"/>
      <c r="F954" s="1"/>
      <c r="AM954" s="1"/>
    </row>
    <row r="955" ht="14.25" customHeight="1">
      <c r="B955" s="1"/>
      <c r="F955" s="1"/>
      <c r="AM955" s="1"/>
    </row>
    <row r="956" ht="14.25" customHeight="1">
      <c r="B956" s="1"/>
      <c r="F956" s="1"/>
      <c r="AM956" s="1"/>
    </row>
    <row r="957" ht="14.25" customHeight="1">
      <c r="B957" s="1"/>
      <c r="F957" s="1"/>
      <c r="AM957" s="1"/>
    </row>
    <row r="958" ht="14.25" customHeight="1">
      <c r="B958" s="1"/>
      <c r="F958" s="1"/>
      <c r="AM958" s="1"/>
    </row>
    <row r="959" ht="14.25" customHeight="1">
      <c r="B959" s="1"/>
      <c r="F959" s="1"/>
      <c r="AM959" s="1"/>
    </row>
    <row r="960" ht="14.25" customHeight="1">
      <c r="B960" s="1"/>
      <c r="F960" s="1"/>
      <c r="AM960" s="1"/>
    </row>
    <row r="961" ht="14.25" customHeight="1">
      <c r="B961" s="1"/>
      <c r="F961" s="1"/>
      <c r="AM961" s="1"/>
    </row>
    <row r="962" ht="14.25" customHeight="1">
      <c r="B962" s="1"/>
      <c r="F962" s="1"/>
      <c r="AM962" s="1"/>
    </row>
    <row r="963" ht="14.25" customHeight="1">
      <c r="B963" s="1"/>
      <c r="F963" s="1"/>
      <c r="AM963" s="1"/>
    </row>
    <row r="964" ht="14.25" customHeight="1">
      <c r="B964" s="1"/>
      <c r="F964" s="1"/>
      <c r="AM964" s="1"/>
    </row>
    <row r="965" ht="14.25" customHeight="1">
      <c r="B965" s="1"/>
      <c r="F965" s="1"/>
      <c r="AM965" s="1"/>
    </row>
    <row r="966" ht="14.25" customHeight="1">
      <c r="B966" s="1"/>
      <c r="F966" s="1"/>
      <c r="AM966" s="1"/>
    </row>
    <row r="967" ht="14.25" customHeight="1">
      <c r="B967" s="1"/>
      <c r="F967" s="1"/>
      <c r="AM967" s="1"/>
    </row>
    <row r="968" ht="14.25" customHeight="1">
      <c r="B968" s="1"/>
      <c r="F968" s="1"/>
      <c r="AM968" s="1"/>
    </row>
    <row r="969" ht="14.25" customHeight="1">
      <c r="B969" s="1"/>
      <c r="F969" s="1"/>
      <c r="AM969" s="1"/>
    </row>
    <row r="970" ht="14.25" customHeight="1">
      <c r="B970" s="1"/>
      <c r="F970" s="1"/>
      <c r="AM970" s="1"/>
    </row>
    <row r="971" ht="14.25" customHeight="1">
      <c r="B971" s="1"/>
      <c r="F971" s="1"/>
      <c r="AM971" s="1"/>
    </row>
    <row r="972" ht="14.25" customHeight="1">
      <c r="B972" s="1"/>
      <c r="F972" s="1"/>
      <c r="AM972" s="1"/>
    </row>
    <row r="973" ht="14.25" customHeight="1">
      <c r="B973" s="1"/>
      <c r="F973" s="1"/>
      <c r="AM973" s="1"/>
    </row>
    <row r="974" ht="14.25" customHeight="1">
      <c r="B974" s="1"/>
      <c r="F974" s="1"/>
      <c r="AM974" s="1"/>
    </row>
    <row r="975" ht="14.25" customHeight="1">
      <c r="B975" s="1"/>
      <c r="F975" s="1"/>
      <c r="AM975" s="1"/>
    </row>
    <row r="976" ht="14.25" customHeight="1">
      <c r="B976" s="1"/>
      <c r="F976" s="1"/>
      <c r="AM976" s="1"/>
    </row>
    <row r="977" ht="14.25" customHeight="1">
      <c r="B977" s="1"/>
      <c r="F977" s="1"/>
      <c r="AM977" s="1"/>
    </row>
    <row r="978" ht="14.25" customHeight="1">
      <c r="B978" s="1"/>
      <c r="F978" s="1"/>
      <c r="AM978" s="1"/>
    </row>
    <row r="979" ht="14.25" customHeight="1">
      <c r="B979" s="1"/>
      <c r="F979" s="1"/>
      <c r="AM979" s="1"/>
    </row>
    <row r="980" ht="14.25" customHeight="1">
      <c r="B980" s="1"/>
      <c r="F980" s="1"/>
      <c r="AM980" s="1"/>
    </row>
    <row r="981" ht="14.25" customHeight="1">
      <c r="B981" s="1"/>
      <c r="F981" s="1"/>
      <c r="AM981" s="1"/>
    </row>
    <row r="982" ht="14.25" customHeight="1">
      <c r="B982" s="1"/>
      <c r="F982" s="1"/>
      <c r="AM982" s="1"/>
    </row>
    <row r="983" ht="14.25" customHeight="1">
      <c r="B983" s="1"/>
      <c r="F983" s="1"/>
      <c r="AM983" s="1"/>
    </row>
    <row r="984" ht="14.25" customHeight="1">
      <c r="B984" s="1"/>
      <c r="F984" s="1"/>
      <c r="AM984" s="1"/>
    </row>
    <row r="985" ht="14.25" customHeight="1">
      <c r="B985" s="1"/>
      <c r="F985" s="1"/>
      <c r="AM985" s="1"/>
    </row>
    <row r="986" ht="14.25" customHeight="1">
      <c r="B986" s="1"/>
      <c r="F986" s="1"/>
      <c r="AM986" s="1"/>
    </row>
    <row r="987" ht="14.25" customHeight="1">
      <c r="B987" s="1"/>
      <c r="F987" s="1"/>
      <c r="AM987" s="1"/>
    </row>
    <row r="988" ht="14.25" customHeight="1">
      <c r="B988" s="1"/>
      <c r="F988" s="1"/>
      <c r="AM988" s="1"/>
    </row>
    <row r="989" ht="14.25" customHeight="1">
      <c r="B989" s="1"/>
      <c r="F989" s="1"/>
      <c r="AM989" s="1"/>
    </row>
    <row r="990" ht="14.25" customHeight="1">
      <c r="B990" s="1"/>
      <c r="F990" s="1"/>
      <c r="AM990" s="1"/>
    </row>
    <row r="991" ht="14.25" customHeight="1">
      <c r="B991" s="1"/>
      <c r="F991" s="1"/>
      <c r="AM991" s="1"/>
    </row>
    <row r="992" ht="14.25" customHeight="1">
      <c r="B992" s="1"/>
      <c r="F992" s="1"/>
      <c r="AM992" s="1"/>
    </row>
    <row r="993" ht="14.25" customHeight="1">
      <c r="B993" s="1"/>
      <c r="F993" s="1"/>
      <c r="AM993" s="1"/>
    </row>
    <row r="994" ht="14.25" customHeight="1">
      <c r="B994" s="1"/>
      <c r="F994" s="1"/>
      <c r="AM994" s="1"/>
    </row>
    <row r="995" ht="14.25" customHeight="1">
      <c r="B995" s="1"/>
      <c r="F995" s="1"/>
      <c r="AM995" s="1"/>
    </row>
    <row r="996" ht="14.25" customHeight="1">
      <c r="B996" s="1"/>
      <c r="F996" s="1"/>
      <c r="AM996" s="1"/>
    </row>
    <row r="997" ht="14.25" customHeight="1">
      <c r="B997" s="1"/>
      <c r="F997" s="1"/>
      <c r="AM997" s="1"/>
    </row>
    <row r="998" ht="14.25" customHeight="1">
      <c r="B998" s="1"/>
      <c r="F998" s="1"/>
      <c r="AM998" s="1"/>
    </row>
    <row r="999" ht="14.25" customHeight="1">
      <c r="B999" s="1"/>
      <c r="F999" s="1"/>
      <c r="AM999" s="1"/>
    </row>
    <row r="1000" ht="14.25" customHeight="1">
      <c r="B1000" s="1"/>
      <c r="F1000" s="1"/>
      <c r="AM1000" s="1"/>
    </row>
  </sheetData>
  <mergeCells count="58">
    <mergeCell ref="H3:AM6"/>
    <mergeCell ref="H7:W7"/>
    <mergeCell ref="X7:AE7"/>
    <mergeCell ref="AF7:AM7"/>
    <mergeCell ref="H1:O1"/>
    <mergeCell ref="P1:W1"/>
    <mergeCell ref="X1:AE1"/>
    <mergeCell ref="AF1:AM1"/>
    <mergeCell ref="B3:B15"/>
    <mergeCell ref="C3:C15"/>
    <mergeCell ref="E3:E6"/>
    <mergeCell ref="X15:AE15"/>
    <mergeCell ref="H13:AM13"/>
    <mergeCell ref="H14:AM14"/>
    <mergeCell ref="H15:N15"/>
    <mergeCell ref="T15:U15"/>
    <mergeCell ref="I17:AJ17"/>
    <mergeCell ref="I18:J18"/>
    <mergeCell ref="K18:R18"/>
    <mergeCell ref="T18:V18"/>
    <mergeCell ref="W18:AA18"/>
    <mergeCell ref="R24:S24"/>
    <mergeCell ref="R25:S25"/>
    <mergeCell ref="R26:S26"/>
    <mergeCell ref="R27:S27"/>
    <mergeCell ref="AA24:AB24"/>
    <mergeCell ref="AA25:AB25"/>
    <mergeCell ref="I25:J25"/>
    <mergeCell ref="I26:J26"/>
    <mergeCell ref="K26:P26"/>
    <mergeCell ref="T26:Y26"/>
    <mergeCell ref="T27:Y27"/>
    <mergeCell ref="I24:J24"/>
    <mergeCell ref="K24:P24"/>
    <mergeCell ref="T24:Y24"/>
    <mergeCell ref="AC24:AH24"/>
    <mergeCell ref="K25:P25"/>
    <mergeCell ref="T25:Y25"/>
    <mergeCell ref="AC25:AH25"/>
    <mergeCell ref="H8:O8"/>
    <mergeCell ref="P8:W8"/>
    <mergeCell ref="X8:AE8"/>
    <mergeCell ref="AF8:AM8"/>
    <mergeCell ref="H9:AM9"/>
    <mergeCell ref="H10:AM10"/>
    <mergeCell ref="I11:M11"/>
    <mergeCell ref="T11:U11"/>
    <mergeCell ref="X11:AM11"/>
    <mergeCell ref="H12:AM12"/>
    <mergeCell ref="AC18:AD19"/>
    <mergeCell ref="AE18:AJ19"/>
    <mergeCell ref="I19:J19"/>
    <mergeCell ref="K19:R19"/>
    <mergeCell ref="T19:V19"/>
    <mergeCell ref="W19:AA19"/>
    <mergeCell ref="I20:J21"/>
    <mergeCell ref="K20:R21"/>
    <mergeCell ref="I23:AH2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9.0" ySplit="15.0" topLeftCell="AN16" activePane="bottomRight" state="frozen"/>
      <selection activeCell="AN1" sqref="AN1" pane="topRight"/>
      <selection activeCell="A16" sqref="A16" pane="bottomLeft"/>
      <selection activeCell="AN16" sqref="AN16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5.5"/>
  </cols>
  <sheetData>
    <row r="1" ht="14.25" customHeight="1">
      <c r="B1" s="1"/>
      <c r="F1" s="1"/>
      <c r="H1" s="120">
        <v>3.0</v>
      </c>
      <c r="I1" s="121"/>
      <c r="J1" s="121"/>
      <c r="K1" s="121"/>
      <c r="L1" s="121"/>
      <c r="M1" s="121"/>
      <c r="N1" s="121"/>
      <c r="O1" s="122"/>
      <c r="P1" s="120">
        <v>2.0</v>
      </c>
      <c r="Q1" s="121"/>
      <c r="R1" s="121"/>
      <c r="S1" s="121"/>
      <c r="T1" s="121"/>
      <c r="U1" s="121"/>
      <c r="V1" s="121"/>
      <c r="W1" s="122"/>
      <c r="X1" s="120">
        <v>1.0</v>
      </c>
      <c r="Y1" s="121"/>
      <c r="Z1" s="121"/>
      <c r="AA1" s="121"/>
      <c r="AB1" s="121"/>
      <c r="AC1" s="121"/>
      <c r="AD1" s="121"/>
      <c r="AE1" s="122"/>
      <c r="AF1" s="120">
        <v>0.0</v>
      </c>
      <c r="AG1" s="121"/>
      <c r="AH1" s="121"/>
      <c r="AI1" s="121"/>
      <c r="AJ1" s="121"/>
      <c r="AK1" s="121"/>
      <c r="AL1" s="121"/>
      <c r="AM1" s="122"/>
    </row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8" t="s">
        <v>183</v>
      </c>
      <c r="C3" s="142" t="s">
        <v>184</v>
      </c>
      <c r="D3" s="51" t="str">
        <f t="shared" ref="D3:D15" si="2">DEC2HEX(A3*4, 3)</f>
        <v>000</v>
      </c>
      <c r="E3" s="48" t="s">
        <v>83</v>
      </c>
      <c r="F3" s="49" t="s">
        <v>87</v>
      </c>
      <c r="G3" s="50"/>
      <c r="H3" s="86" t="s">
        <v>185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5"/>
      <c r="D4" s="61" t="str">
        <f t="shared" si="2"/>
        <v>004</v>
      </c>
      <c r="E4" s="55"/>
      <c r="F4" s="56" t="s">
        <v>87</v>
      </c>
      <c r="G4" s="27"/>
      <c r="H4" s="55"/>
      <c r="AM4" s="57"/>
    </row>
    <row r="5" ht="14.25" customHeight="1">
      <c r="A5" s="1">
        <v>2.0</v>
      </c>
      <c r="B5" s="55"/>
      <c r="D5" s="61" t="str">
        <f t="shared" si="2"/>
        <v>008</v>
      </c>
      <c r="E5" s="55"/>
      <c r="F5" s="56" t="s">
        <v>87</v>
      </c>
      <c r="G5" s="27"/>
      <c r="H5" s="55"/>
      <c r="AM5" s="57"/>
    </row>
    <row r="6" ht="14.25" customHeight="1">
      <c r="A6" s="1">
        <v>3.0</v>
      </c>
      <c r="B6" s="55"/>
      <c r="D6" s="61" t="str">
        <f t="shared" si="2"/>
        <v>00C</v>
      </c>
      <c r="E6" s="55"/>
      <c r="F6" s="56" t="s">
        <v>87</v>
      </c>
      <c r="G6" s="2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5"/>
      <c r="D7" s="61" t="str">
        <f t="shared" si="2"/>
        <v>010</v>
      </c>
      <c r="E7" s="61" t="s">
        <v>89</v>
      </c>
      <c r="F7" s="56" t="s">
        <v>87</v>
      </c>
      <c r="G7" s="27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5"/>
      <c r="D8" s="61" t="str">
        <f t="shared" si="2"/>
        <v>014</v>
      </c>
      <c r="E8" s="61" t="s">
        <v>92</v>
      </c>
      <c r="F8" s="56" t="s">
        <v>87</v>
      </c>
      <c r="G8" s="27"/>
      <c r="H8" s="62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64"/>
    </row>
    <row r="9" ht="14.25" customHeight="1">
      <c r="A9" s="1">
        <v>6.0</v>
      </c>
      <c r="B9" s="55"/>
      <c r="D9" s="61" t="str">
        <f t="shared" si="2"/>
        <v>018</v>
      </c>
      <c r="E9" s="72" t="s">
        <v>96</v>
      </c>
      <c r="F9" s="56" t="s">
        <v>84</v>
      </c>
      <c r="G9" s="27"/>
      <c r="H9" s="6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64"/>
    </row>
    <row r="10" ht="14.25" customHeight="1">
      <c r="A10" s="1">
        <v>7.0</v>
      </c>
      <c r="B10" s="55"/>
      <c r="D10" s="61" t="str">
        <f t="shared" si="2"/>
        <v>01C</v>
      </c>
      <c r="E10" s="72" t="s">
        <v>96</v>
      </c>
      <c r="F10" s="73" t="s">
        <v>84</v>
      </c>
      <c r="G10" s="27"/>
      <c r="H10" s="6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4"/>
    </row>
    <row r="11" ht="14.25" customHeight="1">
      <c r="A11" s="1">
        <v>8.0</v>
      </c>
      <c r="B11" s="55"/>
      <c r="D11" s="61" t="str">
        <f t="shared" si="2"/>
        <v>020</v>
      </c>
      <c r="E11" s="72" t="s">
        <v>186</v>
      </c>
      <c r="F11" s="73" t="s">
        <v>84</v>
      </c>
      <c r="G11" s="27"/>
      <c r="H11" s="143" t="s">
        <v>187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64"/>
    </row>
    <row r="12" ht="14.25" customHeight="1">
      <c r="A12" s="1">
        <v>9.0</v>
      </c>
      <c r="B12" s="55"/>
      <c r="D12" s="61" t="str">
        <f t="shared" si="2"/>
        <v>024</v>
      </c>
      <c r="E12" s="61" t="s">
        <v>126</v>
      </c>
      <c r="F12" s="56" t="s">
        <v>84</v>
      </c>
      <c r="G12" s="27"/>
      <c r="H12" s="123" t="s">
        <v>127</v>
      </c>
      <c r="I12" s="89"/>
      <c r="J12" s="33"/>
      <c r="K12" s="144" t="s">
        <v>188</v>
      </c>
      <c r="L12" s="144" t="s">
        <v>189</v>
      </c>
      <c r="M12" s="33"/>
      <c r="N12" s="88" t="s">
        <v>190</v>
      </c>
      <c r="O12" s="145" t="s">
        <v>191</v>
      </c>
      <c r="P12" s="89"/>
      <c r="Q12" s="32"/>
      <c r="R12" s="32"/>
      <c r="S12" s="33"/>
      <c r="T12" s="88" t="s">
        <v>130</v>
      </c>
      <c r="U12" s="88" t="s">
        <v>131</v>
      </c>
      <c r="V12" s="88" t="s">
        <v>132</v>
      </c>
      <c r="W12" s="145" t="s">
        <v>133</v>
      </c>
      <c r="X12" s="146" t="s">
        <v>192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64"/>
    </row>
    <row r="13" ht="14.25" customHeight="1">
      <c r="A13" s="1">
        <v>10.0</v>
      </c>
      <c r="B13" s="55"/>
      <c r="D13" s="61" t="str">
        <f t="shared" si="2"/>
        <v>028</v>
      </c>
      <c r="E13" s="61"/>
      <c r="F13" s="56"/>
      <c r="G13" s="27"/>
      <c r="H13" s="6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64"/>
    </row>
    <row r="14" ht="14.25" customHeight="1">
      <c r="A14" s="1">
        <v>11.0</v>
      </c>
      <c r="B14" s="55"/>
      <c r="D14" s="61" t="str">
        <f t="shared" si="2"/>
        <v>02C</v>
      </c>
      <c r="E14" s="72" t="s">
        <v>193</v>
      </c>
      <c r="F14" s="73" t="s">
        <v>84</v>
      </c>
      <c r="G14" s="27"/>
      <c r="H14" s="6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3"/>
      <c r="AF14" s="63" t="s">
        <v>194</v>
      </c>
      <c r="AG14" s="32"/>
      <c r="AH14" s="32"/>
      <c r="AI14" s="32"/>
      <c r="AJ14" s="32"/>
      <c r="AK14" s="32"/>
      <c r="AL14" s="32"/>
      <c r="AM14" s="64"/>
    </row>
    <row r="15" ht="14.25" customHeight="1">
      <c r="A15" s="1">
        <v>12.0</v>
      </c>
      <c r="B15" s="78"/>
      <c r="C15" s="105"/>
      <c r="D15" s="90" t="str">
        <f t="shared" si="2"/>
        <v>030</v>
      </c>
      <c r="E15" s="90" t="s">
        <v>137</v>
      </c>
      <c r="F15" s="81" t="s">
        <v>87</v>
      </c>
      <c r="G15" s="82"/>
      <c r="H15" s="147" t="s">
        <v>195</v>
      </c>
      <c r="I15" s="93"/>
      <c r="J15" s="93"/>
      <c r="K15" s="93"/>
      <c r="L15" s="93"/>
      <c r="M15" s="93"/>
      <c r="N15" s="93"/>
      <c r="O15" s="94"/>
      <c r="P15" s="148" t="s">
        <v>196</v>
      </c>
      <c r="Q15" s="93"/>
      <c r="R15" s="93"/>
      <c r="S15" s="93"/>
      <c r="T15" s="93"/>
      <c r="U15" s="93"/>
      <c r="V15" s="93"/>
      <c r="W15" s="94"/>
      <c r="X15" s="148" t="s">
        <v>197</v>
      </c>
      <c r="Y15" s="93"/>
      <c r="Z15" s="93"/>
      <c r="AA15" s="93"/>
      <c r="AB15" s="93"/>
      <c r="AC15" s="93"/>
      <c r="AD15" s="93"/>
      <c r="AE15" s="94"/>
      <c r="AF15" s="125" t="s">
        <v>198</v>
      </c>
      <c r="AG15" s="125" t="s">
        <v>199</v>
      </c>
      <c r="AH15" s="125" t="s">
        <v>200</v>
      </c>
      <c r="AI15" s="125" t="s">
        <v>201</v>
      </c>
      <c r="AJ15" s="125" t="s">
        <v>149</v>
      </c>
      <c r="AK15" s="125"/>
      <c r="AL15" s="125"/>
      <c r="AM15" s="127" t="s">
        <v>150</v>
      </c>
    </row>
    <row r="16" ht="14.25" customHeight="1">
      <c r="B16" s="1"/>
      <c r="F16" s="1"/>
      <c r="AM16" s="1"/>
    </row>
    <row r="17" ht="14.25" customHeight="1">
      <c r="B17" s="1"/>
      <c r="F17" s="1"/>
      <c r="I17" s="137" t="s">
        <v>202</v>
      </c>
      <c r="J17" s="108"/>
      <c r="K17" s="108"/>
      <c r="L17" s="108"/>
      <c r="M17" s="108"/>
      <c r="N17" s="108"/>
      <c r="O17" s="108"/>
      <c r="P17" s="109"/>
      <c r="AM17" s="1"/>
    </row>
    <row r="18" ht="14.25" customHeight="1">
      <c r="B18" s="1"/>
      <c r="F18" s="1"/>
      <c r="I18" s="149" t="s">
        <v>203</v>
      </c>
      <c r="J18" s="150"/>
      <c r="K18" s="151" t="s">
        <v>204</v>
      </c>
      <c r="L18" s="108"/>
      <c r="M18" s="108"/>
      <c r="N18" s="108"/>
      <c r="O18" s="108"/>
      <c r="P18" s="109"/>
      <c r="AM18" s="1"/>
    </row>
    <row r="19" ht="14.25" customHeight="1">
      <c r="B19" s="1"/>
      <c r="F19" s="1"/>
      <c r="AM19" s="1"/>
    </row>
    <row r="20" ht="14.25" customHeight="1">
      <c r="B20" s="1"/>
      <c r="F20" s="1"/>
      <c r="I20" s="107" t="s">
        <v>205</v>
      </c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9"/>
      <c r="AM20" s="1"/>
    </row>
    <row r="21" ht="14.25" customHeight="1">
      <c r="B21" s="1"/>
      <c r="F21" s="1"/>
      <c r="I21" s="128" t="s">
        <v>206</v>
      </c>
      <c r="J21" s="129"/>
      <c r="K21" s="138" t="s">
        <v>207</v>
      </c>
      <c r="L21" s="112"/>
      <c r="M21" s="112"/>
      <c r="N21" s="112"/>
      <c r="O21" s="112"/>
      <c r="P21" s="113"/>
      <c r="R21" s="149" t="s">
        <v>208</v>
      </c>
      <c r="S21" s="108"/>
      <c r="T21" s="150"/>
      <c r="U21" s="152" t="s">
        <v>155</v>
      </c>
      <c r="V21" s="108"/>
      <c r="W21" s="108"/>
      <c r="X21" s="108"/>
      <c r="Y21" s="109"/>
      <c r="AA21" s="132" t="s">
        <v>209</v>
      </c>
      <c r="AB21" s="101"/>
      <c r="AC21" s="102" t="s">
        <v>210</v>
      </c>
      <c r="AD21" s="52"/>
      <c r="AE21" s="52"/>
      <c r="AF21" s="52"/>
      <c r="AG21" s="52"/>
      <c r="AH21" s="53"/>
      <c r="AM21" s="1"/>
    </row>
    <row r="22" ht="14.25" customHeight="1">
      <c r="B22" s="1"/>
      <c r="F22" s="1"/>
      <c r="I22" s="153" t="s">
        <v>211</v>
      </c>
      <c r="J22" s="33"/>
      <c r="K22" s="139" t="s">
        <v>212</v>
      </c>
      <c r="L22" s="32"/>
      <c r="M22" s="32"/>
      <c r="N22" s="32"/>
      <c r="O22" s="32"/>
      <c r="P22" s="64"/>
      <c r="R22" s="27"/>
      <c r="S22" s="27"/>
      <c r="T22" s="27"/>
      <c r="U22" s="27"/>
      <c r="V22" s="27"/>
      <c r="W22" s="27"/>
      <c r="X22" s="27"/>
      <c r="Y22" s="27"/>
      <c r="AA22" s="78"/>
      <c r="AB22" s="103"/>
      <c r="AC22" s="104"/>
      <c r="AD22" s="105"/>
      <c r="AE22" s="105"/>
      <c r="AF22" s="105"/>
      <c r="AG22" s="105"/>
      <c r="AH22" s="106"/>
      <c r="AM22" s="1"/>
    </row>
    <row r="23" ht="14.25" customHeight="1">
      <c r="B23" s="1"/>
      <c r="F23" s="1"/>
      <c r="I23" s="133" t="s">
        <v>213</v>
      </c>
      <c r="J23" s="33"/>
      <c r="K23" s="139" t="s">
        <v>214</v>
      </c>
      <c r="L23" s="32"/>
      <c r="M23" s="32"/>
      <c r="N23" s="32"/>
      <c r="O23" s="32"/>
      <c r="P23" s="64"/>
      <c r="R23" s="154" t="s">
        <v>188</v>
      </c>
      <c r="S23" s="155" t="s">
        <v>189</v>
      </c>
      <c r="T23" s="150"/>
      <c r="U23" s="156" t="s">
        <v>190</v>
      </c>
      <c r="V23" s="157" t="s">
        <v>191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M23" s="1"/>
    </row>
    <row r="24" ht="14.25" customHeight="1">
      <c r="B24" s="1"/>
      <c r="F24" s="1"/>
      <c r="I24" s="140" t="s">
        <v>215</v>
      </c>
      <c r="J24" s="94"/>
      <c r="K24" s="117" t="s">
        <v>216</v>
      </c>
      <c r="L24" s="93"/>
      <c r="M24" s="93"/>
      <c r="N24" s="93"/>
      <c r="O24" s="93"/>
      <c r="P24" s="96"/>
      <c r="R24" s="158">
        <v>0.0</v>
      </c>
      <c r="S24" s="159" t="s">
        <v>217</v>
      </c>
      <c r="T24" s="159" t="s">
        <v>217</v>
      </c>
      <c r="U24" s="160">
        <v>1.0</v>
      </c>
      <c r="V24" s="160">
        <v>0.0</v>
      </c>
      <c r="W24" s="138" t="s">
        <v>218</v>
      </c>
      <c r="X24" s="112"/>
      <c r="Y24" s="112"/>
      <c r="Z24" s="112"/>
      <c r="AA24" s="112"/>
      <c r="AB24" s="112"/>
      <c r="AC24" s="112"/>
      <c r="AD24" s="112"/>
      <c r="AE24" s="112"/>
      <c r="AF24" s="112"/>
      <c r="AG24" s="113"/>
      <c r="AM24" s="1"/>
    </row>
    <row r="25" ht="14.25" customHeight="1">
      <c r="A25" s="161"/>
      <c r="B25" s="1"/>
      <c r="F25" s="1"/>
      <c r="K25" s="162"/>
      <c r="L25" s="163"/>
      <c r="M25" s="163"/>
      <c r="N25" s="163"/>
      <c r="O25" s="163"/>
      <c r="P25" s="163"/>
      <c r="R25" s="123">
        <v>0.0</v>
      </c>
      <c r="S25" s="164" t="s">
        <v>217</v>
      </c>
      <c r="T25" s="164" t="s">
        <v>217</v>
      </c>
      <c r="U25" s="88">
        <v>0.0</v>
      </c>
      <c r="V25" s="88">
        <v>1.0</v>
      </c>
      <c r="W25" s="139" t="s">
        <v>219</v>
      </c>
      <c r="X25" s="32"/>
      <c r="Y25" s="32"/>
      <c r="Z25" s="32"/>
      <c r="AA25" s="32"/>
      <c r="AB25" s="32"/>
      <c r="AC25" s="32"/>
      <c r="AD25" s="32"/>
      <c r="AE25" s="32"/>
      <c r="AF25" s="32"/>
      <c r="AG25" s="64"/>
      <c r="AM25" s="1"/>
    </row>
    <row r="26" ht="14.25" customHeight="1">
      <c r="B26" s="1"/>
      <c r="F26" s="1"/>
      <c r="I26" s="165" t="s">
        <v>220</v>
      </c>
      <c r="J26" s="98"/>
      <c r="K26" s="98"/>
      <c r="L26" s="98"/>
      <c r="M26" s="98"/>
      <c r="N26" s="98"/>
      <c r="O26" s="98"/>
      <c r="P26" s="99"/>
      <c r="R26" s="166">
        <v>1.0</v>
      </c>
      <c r="S26" s="167">
        <v>0.0</v>
      </c>
      <c r="T26" s="167">
        <v>0.0</v>
      </c>
      <c r="U26" s="167">
        <v>1.0</v>
      </c>
      <c r="V26" s="167">
        <v>0.0</v>
      </c>
      <c r="W26" s="168" t="s">
        <v>221</v>
      </c>
      <c r="X26" s="169"/>
      <c r="Y26" s="169"/>
      <c r="Z26" s="169"/>
      <c r="AA26" s="169"/>
      <c r="AB26" s="169"/>
      <c r="AC26" s="169"/>
      <c r="AD26" s="169"/>
      <c r="AE26" s="169"/>
      <c r="AF26" s="169"/>
      <c r="AG26" s="170"/>
      <c r="AM26" s="1"/>
    </row>
    <row r="27" ht="17.25" customHeight="1">
      <c r="B27" s="1"/>
      <c r="F27" s="1"/>
      <c r="I27" s="110" t="s">
        <v>222</v>
      </c>
      <c r="J27" s="101"/>
      <c r="K27" s="171" t="s">
        <v>223</v>
      </c>
      <c r="L27" s="112"/>
      <c r="M27" s="112"/>
      <c r="N27" s="112"/>
      <c r="O27" s="112"/>
      <c r="P27" s="113"/>
      <c r="R27" s="166">
        <v>1.0</v>
      </c>
      <c r="S27" s="167">
        <v>0.0</v>
      </c>
      <c r="T27" s="167">
        <v>1.0</v>
      </c>
      <c r="U27" s="167">
        <v>0.0</v>
      </c>
      <c r="V27" s="167">
        <v>1.0</v>
      </c>
      <c r="W27" s="168" t="s">
        <v>224</v>
      </c>
      <c r="X27" s="169"/>
      <c r="Y27" s="169"/>
      <c r="Z27" s="169"/>
      <c r="AA27" s="169"/>
      <c r="AB27" s="169"/>
      <c r="AC27" s="169"/>
      <c r="AD27" s="169"/>
      <c r="AE27" s="169"/>
      <c r="AF27" s="169"/>
      <c r="AG27" s="170"/>
      <c r="AM27" s="1"/>
    </row>
    <row r="28" ht="16.5" customHeight="1">
      <c r="B28" s="1"/>
      <c r="F28" s="1"/>
      <c r="I28" s="78"/>
      <c r="J28" s="103"/>
      <c r="K28" s="172" t="s">
        <v>225</v>
      </c>
      <c r="L28" s="93"/>
      <c r="M28" s="93"/>
      <c r="N28" s="93"/>
      <c r="O28" s="93"/>
      <c r="P28" s="96"/>
      <c r="R28" s="166">
        <v>1.0</v>
      </c>
      <c r="S28" s="167">
        <v>1.0</v>
      </c>
      <c r="T28" s="167">
        <v>0.0</v>
      </c>
      <c r="U28" s="167">
        <v>1.0</v>
      </c>
      <c r="V28" s="167">
        <v>0.0</v>
      </c>
      <c r="W28" s="168" t="s">
        <v>226</v>
      </c>
      <c r="X28" s="169"/>
      <c r="Y28" s="169"/>
      <c r="Z28" s="169"/>
      <c r="AA28" s="169"/>
      <c r="AB28" s="169"/>
      <c r="AC28" s="169"/>
      <c r="AD28" s="169"/>
      <c r="AE28" s="169"/>
      <c r="AF28" s="169"/>
      <c r="AG28" s="170"/>
      <c r="AM28" s="1"/>
    </row>
    <row r="29" ht="14.25" customHeight="1">
      <c r="B29" s="1"/>
      <c r="F29" s="1"/>
      <c r="K29" s="162"/>
      <c r="L29" s="163"/>
      <c r="M29" s="163"/>
      <c r="N29" s="163"/>
      <c r="O29" s="163"/>
      <c r="P29" s="163"/>
      <c r="R29" s="173">
        <v>1.0</v>
      </c>
      <c r="S29" s="174">
        <v>1.0</v>
      </c>
      <c r="T29" s="174">
        <v>1.0</v>
      </c>
      <c r="U29" s="174">
        <v>0.0</v>
      </c>
      <c r="V29" s="174">
        <v>1.0</v>
      </c>
      <c r="W29" s="175" t="s">
        <v>227</v>
      </c>
      <c r="X29" s="176"/>
      <c r="Y29" s="176"/>
      <c r="Z29" s="176"/>
      <c r="AA29" s="176"/>
      <c r="AB29" s="176"/>
      <c r="AC29" s="176"/>
      <c r="AD29" s="176"/>
      <c r="AE29" s="176"/>
      <c r="AF29" s="176"/>
      <c r="AG29" s="177"/>
      <c r="AM29" s="1"/>
    </row>
    <row r="30" ht="14.25" customHeight="1">
      <c r="B30" s="1"/>
      <c r="F30" s="1"/>
      <c r="K30" s="162"/>
      <c r="L30" s="163"/>
      <c r="M30" s="163"/>
      <c r="N30" s="163"/>
      <c r="O30" s="163"/>
      <c r="P30" s="163"/>
      <c r="AM30" s="1"/>
    </row>
    <row r="31" ht="14.25" customHeight="1">
      <c r="B31" s="1"/>
      <c r="F31" s="1"/>
      <c r="I31" s="137" t="s">
        <v>228</v>
      </c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9"/>
      <c r="AM31" s="1"/>
    </row>
    <row r="32" ht="16.5" customHeight="1">
      <c r="A32" s="161"/>
      <c r="B32" s="1"/>
      <c r="F32" s="1"/>
      <c r="I32" s="128" t="s">
        <v>229</v>
      </c>
      <c r="J32" s="129"/>
      <c r="K32" s="138" t="s">
        <v>230</v>
      </c>
      <c r="L32" s="112"/>
      <c r="M32" s="112"/>
      <c r="N32" s="112"/>
      <c r="O32" s="112"/>
      <c r="P32" s="113"/>
      <c r="R32" s="128" t="s">
        <v>169</v>
      </c>
      <c r="S32" s="129"/>
      <c r="T32" s="138" t="s">
        <v>170</v>
      </c>
      <c r="U32" s="112"/>
      <c r="V32" s="112"/>
      <c r="W32" s="112"/>
      <c r="X32" s="112"/>
      <c r="Y32" s="113"/>
      <c r="AM32" s="1"/>
    </row>
    <row r="33" ht="14.25" customHeight="1">
      <c r="A33" s="161"/>
      <c r="B33" s="1"/>
      <c r="F33" s="1"/>
      <c r="I33" s="133" t="s">
        <v>231</v>
      </c>
      <c r="J33" s="33"/>
      <c r="K33" s="139" t="s">
        <v>232</v>
      </c>
      <c r="L33" s="32"/>
      <c r="M33" s="32"/>
      <c r="N33" s="32"/>
      <c r="O33" s="32"/>
      <c r="P33" s="64"/>
      <c r="R33" s="140" t="s">
        <v>175</v>
      </c>
      <c r="S33" s="94"/>
      <c r="T33" s="141" t="s">
        <v>233</v>
      </c>
      <c r="U33" s="93"/>
      <c r="V33" s="93"/>
      <c r="W33" s="93"/>
      <c r="X33" s="93"/>
      <c r="Y33" s="96"/>
      <c r="AM33" s="1"/>
    </row>
    <row r="34" ht="14.25" customHeight="1">
      <c r="B34" s="1"/>
      <c r="F34" s="1"/>
      <c r="I34" s="133" t="s">
        <v>234</v>
      </c>
      <c r="J34" s="33"/>
      <c r="K34" s="178" t="s">
        <v>235</v>
      </c>
      <c r="L34" s="32"/>
      <c r="M34" s="32"/>
      <c r="N34" s="32"/>
      <c r="O34" s="32"/>
      <c r="P34" s="64"/>
      <c r="R34" s="27"/>
      <c r="S34" s="27"/>
      <c r="T34" s="27"/>
      <c r="U34" s="27"/>
      <c r="V34" s="27"/>
      <c r="W34" s="27"/>
      <c r="X34" s="27"/>
      <c r="Y34" s="27"/>
      <c r="AM34" s="1"/>
    </row>
    <row r="35" ht="14.25" customHeight="1">
      <c r="B35" s="1"/>
      <c r="F35" s="1"/>
      <c r="I35" s="140" t="s">
        <v>236</v>
      </c>
      <c r="J35" s="94"/>
      <c r="K35" s="134" t="s">
        <v>237</v>
      </c>
      <c r="L35" s="93"/>
      <c r="M35" s="93"/>
      <c r="N35" s="93"/>
      <c r="O35" s="93"/>
      <c r="P35" s="96"/>
      <c r="R35" s="27"/>
      <c r="S35" s="27"/>
      <c r="T35" s="27"/>
      <c r="U35" s="27"/>
      <c r="V35" s="27"/>
      <c r="W35" s="27"/>
      <c r="X35" s="27"/>
      <c r="Y35" s="27"/>
      <c r="AA35" s="27"/>
      <c r="AB35" s="27"/>
      <c r="AC35" s="27"/>
      <c r="AD35" s="27"/>
      <c r="AE35" s="27"/>
      <c r="AF35" s="27"/>
      <c r="AG35" s="27"/>
      <c r="AH35" s="27"/>
      <c r="AM35" s="1"/>
    </row>
    <row r="36" ht="14.25" customHeight="1">
      <c r="B36" s="1"/>
      <c r="F36" s="1"/>
      <c r="AA36" s="27"/>
      <c r="AB36" s="27"/>
      <c r="AC36" s="27"/>
      <c r="AD36" s="27"/>
      <c r="AE36" s="27"/>
      <c r="AF36" s="27"/>
      <c r="AG36" s="27"/>
      <c r="AH36" s="27"/>
      <c r="AM36" s="1"/>
    </row>
    <row r="37" ht="14.25" customHeight="1">
      <c r="B37" s="1"/>
      <c r="F37" s="1"/>
      <c r="AM37" s="1"/>
    </row>
    <row r="38" ht="14.25" customHeight="1">
      <c r="B38" s="1"/>
      <c r="F38" s="1"/>
    </row>
    <row r="39" ht="14.25" customHeight="1">
      <c r="B39" s="1"/>
      <c r="F39" s="1"/>
      <c r="Q39" s="27"/>
      <c r="R39" s="27"/>
      <c r="S39" s="27"/>
      <c r="U39" s="27"/>
      <c r="V39" s="27"/>
      <c r="W39" s="27"/>
      <c r="X39" s="27"/>
      <c r="Y39" s="27"/>
      <c r="AA39" s="27"/>
      <c r="AB39" s="27"/>
      <c r="AC39" s="27"/>
      <c r="AD39" s="27"/>
      <c r="AE39" s="27"/>
      <c r="AG39" s="27"/>
      <c r="AH39" s="27"/>
      <c r="AI39" s="27"/>
      <c r="AJ39" s="27"/>
      <c r="AK39" s="27"/>
      <c r="AL39" s="27"/>
      <c r="AM39" s="27"/>
    </row>
    <row r="40" ht="14.25" customHeight="1">
      <c r="B40" s="1"/>
      <c r="F40" s="1"/>
      <c r="Q40" s="27"/>
      <c r="R40" s="27"/>
      <c r="S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</row>
    <row r="41" ht="14.25" customHeight="1">
      <c r="B41" s="1"/>
      <c r="F41" s="1"/>
      <c r="Q41" s="27"/>
      <c r="R41" s="27"/>
      <c r="S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</row>
    <row r="42" ht="14.25" customHeight="1">
      <c r="B42" s="1"/>
      <c r="F42" s="1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ht="14.25" customHeight="1">
      <c r="B43" s="1"/>
      <c r="F43" s="1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</row>
    <row r="44" ht="14.25" customHeight="1">
      <c r="B44" s="1"/>
      <c r="F44" s="1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ht="14.25" customHeight="1">
      <c r="B45" s="1"/>
      <c r="F45" s="1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</row>
    <row r="46" ht="14.25" customHeight="1">
      <c r="B46" s="1"/>
      <c r="F46" s="1"/>
    </row>
    <row r="47" ht="14.25" customHeight="1">
      <c r="B47" s="1"/>
      <c r="F47" s="1"/>
    </row>
    <row r="48" ht="14.25" customHeight="1">
      <c r="B48" s="1"/>
      <c r="F48" s="1"/>
    </row>
    <row r="49" ht="14.25" customHeight="1">
      <c r="B49" s="1"/>
      <c r="F49" s="1"/>
    </row>
    <row r="50" ht="14.25" customHeight="1">
      <c r="B50" s="1"/>
      <c r="F50" s="1"/>
    </row>
    <row r="51" ht="14.25" customHeight="1">
      <c r="B51" s="1"/>
      <c r="F51" s="1"/>
      <c r="AM51" s="1"/>
    </row>
    <row r="52" ht="14.25" customHeight="1">
      <c r="B52" s="1"/>
      <c r="F52" s="1"/>
      <c r="AM52" s="1"/>
    </row>
    <row r="53" ht="14.25" customHeight="1">
      <c r="B53" s="1"/>
      <c r="F53" s="1"/>
      <c r="AM53" s="1"/>
    </row>
    <row r="54" ht="14.25" customHeight="1">
      <c r="B54" s="1"/>
      <c r="F54" s="1"/>
      <c r="AM54" s="1"/>
    </row>
    <row r="55" ht="14.25" customHeight="1">
      <c r="B55" s="1"/>
      <c r="F55" s="1"/>
      <c r="AM55" s="1"/>
    </row>
    <row r="56" ht="14.25" customHeight="1">
      <c r="B56" s="1"/>
      <c r="F56" s="1"/>
      <c r="AM56" s="1"/>
    </row>
    <row r="57" ht="14.25" customHeight="1">
      <c r="B57" s="1"/>
      <c r="F57" s="1"/>
      <c r="AM57" s="1"/>
    </row>
    <row r="58" ht="14.25" customHeight="1">
      <c r="B58" s="1"/>
      <c r="F58" s="1"/>
      <c r="AM58" s="1"/>
    </row>
    <row r="59" ht="14.25" customHeight="1">
      <c r="B59" s="1"/>
      <c r="F59" s="1"/>
      <c r="AM59" s="1"/>
    </row>
    <row r="60" ht="14.25" customHeight="1">
      <c r="B60" s="1"/>
      <c r="F60" s="1"/>
      <c r="AM60" s="1"/>
    </row>
    <row r="61" ht="14.25" customHeight="1">
      <c r="B61" s="1"/>
      <c r="F61" s="1"/>
      <c r="AM61" s="1"/>
    </row>
    <row r="62" ht="14.25" customHeight="1">
      <c r="B62" s="1"/>
      <c r="F62" s="1"/>
      <c r="AM62" s="1"/>
    </row>
    <row r="63" ht="14.25" customHeight="1">
      <c r="B63" s="1"/>
      <c r="F63" s="1"/>
      <c r="AM63" s="1"/>
    </row>
    <row r="64" ht="14.25" customHeight="1">
      <c r="B64" s="1"/>
      <c r="F64" s="1"/>
      <c r="AM64" s="1"/>
    </row>
    <row r="65" ht="14.25" customHeight="1">
      <c r="B65" s="1"/>
      <c r="F65" s="1"/>
      <c r="AM65" s="1"/>
    </row>
    <row r="66" ht="14.25" customHeight="1">
      <c r="B66" s="1"/>
      <c r="F66" s="1"/>
      <c r="AM66" s="1"/>
    </row>
    <row r="67" ht="14.25" customHeight="1">
      <c r="B67" s="1"/>
      <c r="F67" s="1"/>
      <c r="AM67" s="1"/>
    </row>
    <row r="68" ht="14.25" customHeight="1">
      <c r="B68" s="1"/>
      <c r="F68" s="1"/>
      <c r="AM68" s="1"/>
    </row>
    <row r="69" ht="14.25" customHeight="1">
      <c r="B69" s="1"/>
      <c r="F69" s="1"/>
      <c r="AM69" s="1"/>
    </row>
    <row r="70" ht="14.25" customHeight="1">
      <c r="B70" s="1"/>
      <c r="F70" s="1"/>
      <c r="AM70" s="1"/>
    </row>
    <row r="71" ht="14.25" customHeight="1">
      <c r="B71" s="1"/>
      <c r="F71" s="1"/>
      <c r="AM71" s="1"/>
    </row>
    <row r="72" ht="14.25" customHeight="1">
      <c r="B72" s="1"/>
      <c r="F72" s="1"/>
      <c r="AM72" s="1"/>
    </row>
    <row r="73" ht="14.25" customHeight="1">
      <c r="B73" s="1"/>
      <c r="F73" s="1"/>
      <c r="AM73" s="1"/>
    </row>
    <row r="74" ht="14.25" customHeight="1">
      <c r="B74" s="1"/>
      <c r="F74" s="1"/>
      <c r="AM74" s="1"/>
    </row>
    <row r="75" ht="14.25" customHeight="1">
      <c r="B75" s="1"/>
      <c r="F75" s="1"/>
      <c r="AM75" s="1"/>
    </row>
    <row r="76" ht="14.25" customHeight="1">
      <c r="B76" s="1"/>
      <c r="F76" s="1"/>
      <c r="AM76" s="1"/>
    </row>
    <row r="77" ht="14.25" customHeight="1">
      <c r="B77" s="1"/>
      <c r="F77" s="1"/>
      <c r="AM77" s="1"/>
    </row>
    <row r="78" ht="14.25" customHeight="1">
      <c r="B78" s="1"/>
      <c r="F78" s="1"/>
      <c r="AM78" s="1"/>
    </row>
    <row r="79" ht="14.25" customHeight="1">
      <c r="B79" s="1"/>
      <c r="F79" s="1"/>
      <c r="AM79" s="1"/>
    </row>
    <row r="80" ht="14.25" customHeight="1">
      <c r="B80" s="1"/>
      <c r="F80" s="1"/>
      <c r="AM80" s="1"/>
    </row>
    <row r="81" ht="14.25" customHeight="1">
      <c r="B81" s="1"/>
      <c r="F81" s="1"/>
      <c r="AM81" s="1"/>
    </row>
    <row r="82" ht="14.25" customHeight="1">
      <c r="B82" s="1"/>
      <c r="F82" s="1"/>
      <c r="AM82" s="1"/>
    </row>
    <row r="83" ht="14.25" customHeight="1">
      <c r="B83" s="1"/>
      <c r="F83" s="1"/>
      <c r="AM83" s="1"/>
    </row>
    <row r="84" ht="14.25" customHeight="1">
      <c r="B84" s="1"/>
      <c r="F84" s="1"/>
      <c r="AM84" s="1"/>
    </row>
    <row r="85" ht="14.25" customHeight="1">
      <c r="B85" s="1"/>
      <c r="F85" s="1"/>
      <c r="AM85" s="1"/>
    </row>
    <row r="86" ht="14.25" customHeight="1">
      <c r="B86" s="1"/>
      <c r="F86" s="1"/>
      <c r="AM86" s="1"/>
    </row>
    <row r="87" ht="14.25" customHeight="1">
      <c r="B87" s="1"/>
      <c r="F87" s="1"/>
      <c r="AM87" s="1"/>
    </row>
    <row r="88" ht="14.25" customHeight="1">
      <c r="B88" s="1"/>
      <c r="F88" s="1"/>
      <c r="AM88" s="1"/>
    </row>
    <row r="89" ht="14.25" customHeight="1">
      <c r="B89" s="1"/>
      <c r="F89" s="1"/>
      <c r="AM89" s="1"/>
    </row>
    <row r="90" ht="14.25" customHeight="1">
      <c r="B90" s="1"/>
      <c r="F90" s="1"/>
      <c r="AM90" s="1"/>
    </row>
    <row r="91" ht="14.25" customHeight="1">
      <c r="B91" s="1"/>
      <c r="F91" s="1"/>
      <c r="AM91" s="1"/>
    </row>
    <row r="92" ht="14.25" customHeight="1">
      <c r="B92" s="1"/>
      <c r="F92" s="1"/>
      <c r="AM92" s="1"/>
    </row>
    <row r="93" ht="14.25" customHeight="1">
      <c r="B93" s="1"/>
      <c r="F93" s="1"/>
      <c r="AM93" s="1"/>
    </row>
    <row r="94" ht="14.25" customHeight="1">
      <c r="B94" s="1"/>
      <c r="F94" s="1"/>
      <c r="AM94" s="1"/>
    </row>
    <row r="95" ht="14.25" customHeight="1">
      <c r="B95" s="1"/>
      <c r="F95" s="1"/>
      <c r="AM95" s="1"/>
    </row>
    <row r="96" ht="14.25" customHeight="1">
      <c r="B96" s="1"/>
      <c r="F96" s="1"/>
      <c r="AM96" s="1"/>
    </row>
    <row r="97" ht="14.25" customHeight="1">
      <c r="B97" s="1"/>
      <c r="F97" s="1"/>
      <c r="AM97" s="1"/>
    </row>
    <row r="98" ht="14.25" customHeight="1">
      <c r="B98" s="1"/>
      <c r="F98" s="1"/>
      <c r="AM98" s="1"/>
    </row>
    <row r="99" ht="14.25" customHeight="1">
      <c r="B99" s="1"/>
      <c r="F99" s="1"/>
      <c r="AM99" s="1"/>
    </row>
    <row r="100" ht="14.25" customHeight="1">
      <c r="B100" s="1"/>
      <c r="F100" s="1"/>
      <c r="AM100" s="1"/>
    </row>
    <row r="101" ht="14.25" customHeight="1">
      <c r="B101" s="1"/>
      <c r="F101" s="1"/>
      <c r="AM101" s="1"/>
    </row>
    <row r="102" ht="14.25" customHeight="1">
      <c r="B102" s="1"/>
      <c r="F102" s="1"/>
      <c r="AM102" s="1"/>
    </row>
    <row r="103" ht="14.25" customHeight="1">
      <c r="B103" s="1"/>
      <c r="F103" s="1"/>
      <c r="AM103" s="1"/>
    </row>
    <row r="104" ht="14.25" customHeight="1">
      <c r="B104" s="1"/>
      <c r="F104" s="1"/>
      <c r="AM104" s="1"/>
    </row>
    <row r="105" ht="14.25" customHeight="1">
      <c r="B105" s="1"/>
      <c r="F105" s="1"/>
      <c r="AM105" s="1"/>
    </row>
    <row r="106" ht="14.25" customHeight="1">
      <c r="B106" s="1"/>
      <c r="F106" s="1"/>
      <c r="AM106" s="1"/>
    </row>
    <row r="107" ht="14.25" customHeight="1">
      <c r="B107" s="1"/>
      <c r="F107" s="1"/>
      <c r="AM107" s="1"/>
    </row>
    <row r="108" ht="14.25" customHeight="1">
      <c r="B108" s="1"/>
      <c r="F108" s="1"/>
      <c r="AM108" s="1"/>
    </row>
    <row r="109" ht="14.25" customHeight="1">
      <c r="B109" s="1"/>
      <c r="F109" s="1"/>
      <c r="AM109" s="1"/>
    </row>
    <row r="110" ht="14.25" customHeight="1">
      <c r="B110" s="1"/>
      <c r="F110" s="1"/>
      <c r="AM110" s="1"/>
    </row>
    <row r="111" ht="14.25" customHeight="1">
      <c r="B111" s="1"/>
      <c r="F111" s="1"/>
      <c r="AM111" s="1"/>
    </row>
    <row r="112" ht="14.25" customHeight="1">
      <c r="B112" s="1"/>
      <c r="F112" s="1"/>
      <c r="AM112" s="1"/>
    </row>
    <row r="113" ht="14.25" customHeight="1">
      <c r="B113" s="1"/>
      <c r="F113" s="1"/>
      <c r="AM113" s="1"/>
    </row>
    <row r="114" ht="14.25" customHeight="1">
      <c r="B114" s="1"/>
      <c r="F114" s="1"/>
      <c r="AM114" s="1"/>
    </row>
    <row r="115" ht="14.25" customHeight="1">
      <c r="B115" s="1"/>
      <c r="F115" s="1"/>
      <c r="AM115" s="1"/>
    </row>
    <row r="116" ht="14.25" customHeight="1">
      <c r="B116" s="1"/>
      <c r="F116" s="1"/>
      <c r="AM116" s="1"/>
    </row>
    <row r="117" ht="14.25" customHeight="1">
      <c r="B117" s="1"/>
      <c r="F117" s="1"/>
      <c r="AM117" s="1"/>
    </row>
    <row r="118" ht="14.25" customHeight="1">
      <c r="B118" s="1"/>
      <c r="F118" s="1"/>
      <c r="AM118" s="1"/>
    </row>
    <row r="119" ht="14.25" customHeight="1">
      <c r="B119" s="1"/>
      <c r="F119" s="1"/>
      <c r="AM119" s="1"/>
    </row>
    <row r="120" ht="14.25" customHeight="1">
      <c r="B120" s="1"/>
      <c r="F120" s="1"/>
      <c r="AM120" s="1"/>
    </row>
    <row r="121" ht="14.25" customHeight="1">
      <c r="B121" s="1"/>
      <c r="F121" s="1"/>
      <c r="AM121" s="1"/>
    </row>
    <row r="122" ht="14.25" customHeight="1">
      <c r="B122" s="1"/>
      <c r="F122" s="1"/>
      <c r="AM122" s="1"/>
    </row>
    <row r="123" ht="14.25" customHeight="1">
      <c r="B123" s="1"/>
      <c r="F123" s="1"/>
      <c r="AM123" s="1"/>
    </row>
    <row r="124" ht="14.25" customHeight="1">
      <c r="B124" s="1"/>
      <c r="F124" s="1"/>
      <c r="AM124" s="1"/>
    </row>
    <row r="125" ht="14.25" customHeight="1">
      <c r="B125" s="1"/>
      <c r="F125" s="1"/>
      <c r="AM125" s="1"/>
    </row>
    <row r="126" ht="14.25" customHeight="1">
      <c r="B126" s="1"/>
      <c r="F126" s="1"/>
      <c r="AM126" s="1"/>
    </row>
    <row r="127" ht="14.25" customHeight="1">
      <c r="B127" s="1"/>
      <c r="F127" s="1"/>
      <c r="AM127" s="1"/>
    </row>
    <row r="128" ht="14.25" customHeight="1">
      <c r="B128" s="1"/>
      <c r="F128" s="1"/>
      <c r="AM128" s="1"/>
    </row>
    <row r="129" ht="14.25" customHeight="1">
      <c r="B129" s="1"/>
      <c r="F129" s="1"/>
      <c r="AM129" s="1"/>
    </row>
    <row r="130" ht="14.25" customHeight="1">
      <c r="B130" s="1"/>
      <c r="F130" s="1"/>
      <c r="AM130" s="1"/>
    </row>
    <row r="131" ht="14.25" customHeight="1">
      <c r="B131" s="1"/>
      <c r="F131" s="1"/>
      <c r="AM131" s="1"/>
    </row>
    <row r="132" ht="14.25" customHeight="1">
      <c r="B132" s="1"/>
      <c r="F132" s="1"/>
      <c r="AM132" s="1"/>
    </row>
    <row r="133" ht="14.25" customHeight="1">
      <c r="B133" s="1"/>
      <c r="F133" s="1"/>
      <c r="AM133" s="1"/>
    </row>
    <row r="134" ht="14.25" customHeight="1">
      <c r="B134" s="1"/>
      <c r="F134" s="1"/>
      <c r="AM134" s="1"/>
    </row>
    <row r="135" ht="14.25" customHeight="1">
      <c r="B135" s="1"/>
      <c r="F135" s="1"/>
      <c r="AM135" s="1"/>
    </row>
    <row r="136" ht="14.25" customHeight="1">
      <c r="B136" s="1"/>
      <c r="F136" s="1"/>
      <c r="AM136" s="1"/>
    </row>
    <row r="137" ht="14.25" customHeight="1">
      <c r="B137" s="1"/>
      <c r="F137" s="1"/>
      <c r="AM137" s="1"/>
    </row>
    <row r="138" ht="14.25" customHeight="1">
      <c r="B138" s="1"/>
      <c r="F138" s="1"/>
      <c r="AM138" s="1"/>
    </row>
    <row r="139" ht="14.25" customHeight="1">
      <c r="B139" s="1"/>
      <c r="F139" s="1"/>
      <c r="AM139" s="1"/>
    </row>
    <row r="140" ht="14.25" customHeight="1">
      <c r="B140" s="1"/>
      <c r="F140" s="1"/>
      <c r="AM140" s="1"/>
    </row>
    <row r="141" ht="14.25" customHeight="1">
      <c r="B141" s="1"/>
      <c r="F141" s="1"/>
      <c r="AM141" s="1"/>
    </row>
    <row r="142" ht="14.25" customHeight="1">
      <c r="B142" s="1"/>
      <c r="F142" s="1"/>
      <c r="AM142" s="1"/>
    </row>
    <row r="143" ht="14.25" customHeight="1">
      <c r="B143" s="1"/>
      <c r="F143" s="1"/>
      <c r="AM143" s="1"/>
    </row>
    <row r="144" ht="14.25" customHeight="1">
      <c r="B144" s="1"/>
      <c r="F144" s="1"/>
      <c r="AM144" s="1"/>
    </row>
    <row r="145" ht="14.25" customHeight="1">
      <c r="B145" s="1"/>
      <c r="F145" s="1"/>
      <c r="AM145" s="1"/>
    </row>
    <row r="146" ht="14.25" customHeight="1">
      <c r="B146" s="1"/>
      <c r="F146" s="1"/>
      <c r="AM146" s="1"/>
    </row>
    <row r="147" ht="14.25" customHeight="1">
      <c r="B147" s="1"/>
      <c r="F147" s="1"/>
      <c r="AM147" s="1"/>
    </row>
    <row r="148" ht="14.25" customHeight="1">
      <c r="B148" s="1"/>
      <c r="F148" s="1"/>
      <c r="AM148" s="1"/>
    </row>
    <row r="149" ht="14.25" customHeight="1">
      <c r="B149" s="1"/>
      <c r="F149" s="1"/>
      <c r="AM149" s="1"/>
    </row>
    <row r="150" ht="14.25" customHeight="1">
      <c r="B150" s="1"/>
      <c r="F150" s="1"/>
      <c r="AM150" s="1"/>
    </row>
    <row r="151" ht="14.25" customHeight="1">
      <c r="B151" s="1"/>
      <c r="F151" s="1"/>
      <c r="AM151" s="1"/>
    </row>
    <row r="152" ht="14.25" customHeight="1">
      <c r="B152" s="1"/>
      <c r="F152" s="1"/>
      <c r="AM152" s="1"/>
    </row>
    <row r="153" ht="14.25" customHeight="1">
      <c r="B153" s="1"/>
      <c r="F153" s="1"/>
      <c r="AM153" s="1"/>
    </row>
    <row r="154" ht="14.25" customHeight="1">
      <c r="B154" s="1"/>
      <c r="F154" s="1"/>
      <c r="AM154" s="1"/>
    </row>
    <row r="155" ht="14.25" customHeight="1">
      <c r="B155" s="1"/>
      <c r="F155" s="1"/>
      <c r="AM155" s="1"/>
    </row>
    <row r="156" ht="14.25" customHeight="1">
      <c r="B156" s="1"/>
      <c r="F156" s="1"/>
      <c r="AM156" s="1"/>
    </row>
    <row r="157" ht="14.25" customHeight="1">
      <c r="B157" s="1"/>
      <c r="F157" s="1"/>
      <c r="AM157" s="1"/>
    </row>
    <row r="158" ht="14.25" customHeight="1">
      <c r="B158" s="1"/>
      <c r="F158" s="1"/>
      <c r="AM158" s="1"/>
    </row>
    <row r="159" ht="14.25" customHeight="1">
      <c r="B159" s="1"/>
      <c r="F159" s="1"/>
      <c r="AM159" s="1"/>
    </row>
    <row r="160" ht="14.25" customHeight="1">
      <c r="B160" s="1"/>
      <c r="F160" s="1"/>
      <c r="AM160" s="1"/>
    </row>
    <row r="161" ht="14.25" customHeight="1">
      <c r="B161" s="1"/>
      <c r="F161" s="1"/>
      <c r="AM161" s="1"/>
    </row>
    <row r="162" ht="14.25" customHeight="1">
      <c r="B162" s="1"/>
      <c r="F162" s="1"/>
      <c r="AM162" s="1"/>
    </row>
    <row r="163" ht="14.25" customHeight="1">
      <c r="B163" s="1"/>
      <c r="F163" s="1"/>
      <c r="AM163" s="1"/>
    </row>
    <row r="164" ht="14.25" customHeight="1">
      <c r="B164" s="1"/>
      <c r="F164" s="1"/>
      <c r="AM164" s="1"/>
    </row>
    <row r="165" ht="14.25" customHeight="1">
      <c r="B165" s="1"/>
      <c r="F165" s="1"/>
      <c r="AM165" s="1"/>
    </row>
    <row r="166" ht="14.25" customHeight="1">
      <c r="B166" s="1"/>
      <c r="F166" s="1"/>
      <c r="AM166" s="1"/>
    </row>
    <row r="167" ht="14.25" customHeight="1">
      <c r="B167" s="1"/>
      <c r="F167" s="1"/>
      <c r="AM167" s="1"/>
    </row>
    <row r="168" ht="14.25" customHeight="1">
      <c r="B168" s="1"/>
      <c r="F168" s="1"/>
      <c r="AM168" s="1"/>
    </row>
    <row r="169" ht="14.25" customHeight="1">
      <c r="B169" s="1"/>
      <c r="F169" s="1"/>
      <c r="AM169" s="1"/>
    </row>
    <row r="170" ht="14.25" customHeight="1">
      <c r="B170" s="1"/>
      <c r="F170" s="1"/>
      <c r="AM170" s="1"/>
    </row>
    <row r="171" ht="14.25" customHeight="1">
      <c r="B171" s="1"/>
      <c r="F171" s="1"/>
      <c r="AM171" s="1"/>
    </row>
    <row r="172" ht="14.25" customHeight="1">
      <c r="B172" s="1"/>
      <c r="F172" s="1"/>
      <c r="AM172" s="1"/>
    </row>
    <row r="173" ht="14.25" customHeight="1">
      <c r="B173" s="1"/>
      <c r="F173" s="1"/>
      <c r="AM173" s="1"/>
    </row>
    <row r="174" ht="14.25" customHeight="1">
      <c r="B174" s="1"/>
      <c r="F174" s="1"/>
      <c r="AM174" s="1"/>
    </row>
    <row r="175" ht="14.25" customHeight="1">
      <c r="B175" s="1"/>
      <c r="F175" s="1"/>
      <c r="AM175" s="1"/>
    </row>
    <row r="176" ht="14.25" customHeight="1">
      <c r="B176" s="1"/>
      <c r="F176" s="1"/>
      <c r="AM176" s="1"/>
    </row>
    <row r="177" ht="14.25" customHeight="1">
      <c r="B177" s="1"/>
      <c r="F177" s="1"/>
      <c r="AM177" s="1"/>
    </row>
    <row r="178" ht="14.25" customHeight="1">
      <c r="B178" s="1"/>
      <c r="F178" s="1"/>
      <c r="AM178" s="1"/>
    </row>
    <row r="179" ht="14.25" customHeight="1">
      <c r="B179" s="1"/>
      <c r="F179" s="1"/>
      <c r="AM179" s="1"/>
    </row>
    <row r="180" ht="14.25" customHeight="1">
      <c r="B180" s="1"/>
      <c r="F180" s="1"/>
      <c r="AM180" s="1"/>
    </row>
    <row r="181" ht="14.25" customHeight="1">
      <c r="B181" s="1"/>
      <c r="F181" s="1"/>
      <c r="AM181" s="1"/>
    </row>
    <row r="182" ht="14.25" customHeight="1">
      <c r="B182" s="1"/>
      <c r="F182" s="1"/>
      <c r="AM182" s="1"/>
    </row>
    <row r="183" ht="14.25" customHeight="1">
      <c r="B183" s="1"/>
      <c r="F183" s="1"/>
      <c r="AM183" s="1"/>
    </row>
    <row r="184" ht="14.25" customHeight="1">
      <c r="B184" s="1"/>
      <c r="F184" s="1"/>
      <c r="AM184" s="1"/>
    </row>
    <row r="185" ht="14.25" customHeight="1">
      <c r="B185" s="1"/>
      <c r="F185" s="1"/>
      <c r="AM185" s="1"/>
    </row>
    <row r="186" ht="14.25" customHeight="1">
      <c r="B186" s="1"/>
      <c r="F186" s="1"/>
      <c r="AM186" s="1"/>
    </row>
    <row r="187" ht="14.25" customHeight="1">
      <c r="B187" s="1"/>
      <c r="F187" s="1"/>
      <c r="AM187" s="1"/>
    </row>
    <row r="188" ht="14.25" customHeight="1">
      <c r="B188" s="1"/>
      <c r="F188" s="1"/>
      <c r="AM188" s="1"/>
    </row>
    <row r="189" ht="14.25" customHeight="1">
      <c r="B189" s="1"/>
      <c r="F189" s="1"/>
      <c r="AM189" s="1"/>
    </row>
    <row r="190" ht="14.25" customHeight="1">
      <c r="B190" s="1"/>
      <c r="F190" s="1"/>
      <c r="AM190" s="1"/>
    </row>
    <row r="191" ht="14.25" customHeight="1">
      <c r="B191" s="1"/>
      <c r="F191" s="1"/>
      <c r="AM191" s="1"/>
    </row>
    <row r="192" ht="14.25" customHeight="1">
      <c r="B192" s="1"/>
      <c r="F192" s="1"/>
      <c r="AM192" s="1"/>
    </row>
    <row r="193" ht="14.25" customHeight="1">
      <c r="B193" s="1"/>
      <c r="F193" s="1"/>
      <c r="AM193" s="1"/>
    </row>
    <row r="194" ht="14.25" customHeight="1">
      <c r="B194" s="1"/>
      <c r="F194" s="1"/>
      <c r="AM194" s="1"/>
    </row>
    <row r="195" ht="14.25" customHeight="1">
      <c r="B195" s="1"/>
      <c r="F195" s="1"/>
      <c r="AM195" s="1"/>
    </row>
    <row r="196" ht="14.25" customHeight="1">
      <c r="B196" s="1"/>
      <c r="F196" s="1"/>
      <c r="AM196" s="1"/>
    </row>
    <row r="197" ht="14.25" customHeight="1">
      <c r="B197" s="1"/>
      <c r="F197" s="1"/>
      <c r="AM197" s="1"/>
    </row>
    <row r="198" ht="14.25" customHeight="1">
      <c r="B198" s="1"/>
      <c r="F198" s="1"/>
      <c r="AM198" s="1"/>
    </row>
    <row r="199" ht="14.25" customHeight="1">
      <c r="B199" s="1"/>
      <c r="F199" s="1"/>
      <c r="AM199" s="1"/>
    </row>
    <row r="200" ht="14.25" customHeight="1">
      <c r="B200" s="1"/>
      <c r="F200" s="1"/>
      <c r="AM200" s="1"/>
    </row>
    <row r="201" ht="14.25" customHeight="1">
      <c r="B201" s="1"/>
      <c r="F201" s="1"/>
      <c r="AM201" s="1"/>
    </row>
    <row r="202" ht="14.25" customHeight="1">
      <c r="B202" s="1"/>
      <c r="F202" s="1"/>
      <c r="AM202" s="1"/>
    </row>
    <row r="203" ht="14.25" customHeight="1">
      <c r="B203" s="1"/>
      <c r="F203" s="1"/>
      <c r="AM203" s="1"/>
    </row>
    <row r="204" ht="14.25" customHeight="1">
      <c r="B204" s="1"/>
      <c r="F204" s="1"/>
      <c r="AM204" s="1"/>
    </row>
    <row r="205" ht="14.25" customHeight="1">
      <c r="B205" s="1"/>
      <c r="F205" s="1"/>
      <c r="AM205" s="1"/>
    </row>
    <row r="206" ht="14.25" customHeight="1">
      <c r="B206" s="1"/>
      <c r="F206" s="1"/>
      <c r="AM206" s="1"/>
    </row>
    <row r="207" ht="14.25" customHeight="1">
      <c r="B207" s="1"/>
      <c r="F207" s="1"/>
      <c r="AM207" s="1"/>
    </row>
    <row r="208" ht="14.25" customHeight="1">
      <c r="B208" s="1"/>
      <c r="F208" s="1"/>
      <c r="AM208" s="1"/>
    </row>
    <row r="209" ht="14.25" customHeight="1">
      <c r="B209" s="1"/>
      <c r="F209" s="1"/>
      <c r="AM209" s="1"/>
    </row>
    <row r="210" ht="14.25" customHeight="1">
      <c r="B210" s="1"/>
      <c r="F210" s="1"/>
      <c r="AM210" s="1"/>
    </row>
    <row r="211" ht="14.25" customHeight="1">
      <c r="B211" s="1"/>
      <c r="F211" s="1"/>
      <c r="AM211" s="1"/>
    </row>
    <row r="212" ht="14.25" customHeight="1">
      <c r="B212" s="1"/>
      <c r="F212" s="1"/>
      <c r="AM212" s="1"/>
    </row>
    <row r="213" ht="14.25" customHeight="1">
      <c r="B213" s="1"/>
      <c r="F213" s="1"/>
      <c r="AM213" s="1"/>
    </row>
    <row r="214" ht="14.25" customHeight="1">
      <c r="B214" s="1"/>
      <c r="F214" s="1"/>
      <c r="AM214" s="1"/>
    </row>
    <row r="215" ht="14.25" customHeight="1">
      <c r="B215" s="1"/>
      <c r="F215" s="1"/>
      <c r="AM215" s="1"/>
    </row>
    <row r="216" ht="14.25" customHeight="1">
      <c r="B216" s="1"/>
      <c r="F216" s="1"/>
      <c r="AM216" s="1"/>
    </row>
    <row r="217" ht="14.25" customHeight="1">
      <c r="B217" s="1"/>
      <c r="F217" s="1"/>
      <c r="AM217" s="1"/>
    </row>
    <row r="218" ht="14.25" customHeight="1">
      <c r="B218" s="1"/>
      <c r="F218" s="1"/>
      <c r="AM218" s="1"/>
    </row>
    <row r="219" ht="14.25" customHeight="1">
      <c r="B219" s="1"/>
      <c r="F219" s="1"/>
      <c r="AM219" s="1"/>
    </row>
    <row r="220" ht="14.25" customHeight="1">
      <c r="B220" s="1"/>
      <c r="F220" s="1"/>
      <c r="AM220" s="1"/>
    </row>
    <row r="221" ht="14.25" customHeight="1">
      <c r="B221" s="1"/>
      <c r="F221" s="1"/>
      <c r="AM221" s="1"/>
    </row>
    <row r="222" ht="14.25" customHeight="1">
      <c r="B222" s="1"/>
      <c r="F222" s="1"/>
      <c r="AM222" s="1"/>
    </row>
    <row r="223" ht="14.25" customHeight="1">
      <c r="B223" s="1"/>
      <c r="F223" s="1"/>
      <c r="AM223" s="1"/>
    </row>
    <row r="224" ht="14.25" customHeight="1">
      <c r="B224" s="1"/>
      <c r="F224" s="1"/>
      <c r="AM224" s="1"/>
    </row>
    <row r="225" ht="14.25" customHeight="1">
      <c r="B225" s="1"/>
      <c r="F225" s="1"/>
      <c r="AM225" s="1"/>
    </row>
    <row r="226" ht="14.25" customHeight="1">
      <c r="B226" s="1"/>
      <c r="F226" s="1"/>
      <c r="AM226" s="1"/>
    </row>
    <row r="227" ht="14.25" customHeight="1">
      <c r="B227" s="1"/>
      <c r="F227" s="1"/>
      <c r="AM227" s="1"/>
    </row>
    <row r="228" ht="14.25" customHeight="1">
      <c r="B228" s="1"/>
      <c r="F228" s="1"/>
      <c r="AM228" s="1"/>
    </row>
    <row r="229" ht="14.25" customHeight="1">
      <c r="B229" s="1"/>
      <c r="F229" s="1"/>
      <c r="AM229" s="1"/>
    </row>
    <row r="230" ht="14.25" customHeight="1">
      <c r="B230" s="1"/>
      <c r="F230" s="1"/>
      <c r="AM230" s="1"/>
    </row>
    <row r="231" ht="14.25" customHeight="1">
      <c r="B231" s="1"/>
      <c r="F231" s="1"/>
      <c r="AM231" s="1"/>
    </row>
    <row r="232" ht="14.25" customHeight="1">
      <c r="B232" s="1"/>
      <c r="F232" s="1"/>
      <c r="AM232" s="1"/>
    </row>
    <row r="233" ht="14.25" customHeight="1">
      <c r="B233" s="1"/>
      <c r="F233" s="1"/>
      <c r="AM233" s="1"/>
    </row>
    <row r="234" ht="14.25" customHeight="1">
      <c r="B234" s="1"/>
      <c r="F234" s="1"/>
      <c r="AM234" s="1"/>
    </row>
    <row r="235" ht="14.25" customHeight="1">
      <c r="B235" s="1"/>
      <c r="F235" s="1"/>
      <c r="AM235" s="1"/>
    </row>
    <row r="236" ht="14.25" customHeight="1">
      <c r="B236" s="1"/>
      <c r="F236" s="1"/>
      <c r="AM236" s="1"/>
    </row>
    <row r="237" ht="14.25" customHeight="1">
      <c r="B237" s="1"/>
      <c r="F237" s="1"/>
      <c r="AM237" s="1"/>
    </row>
    <row r="238" ht="14.25" customHeight="1">
      <c r="B238" s="1"/>
      <c r="F238" s="1"/>
      <c r="AM238" s="1"/>
    </row>
    <row r="239" ht="14.25" customHeight="1">
      <c r="B239" s="1"/>
      <c r="F239" s="1"/>
      <c r="AM239" s="1"/>
    </row>
    <row r="240" ht="14.25" customHeight="1">
      <c r="B240" s="1"/>
      <c r="F240" s="1"/>
      <c r="AM240" s="1"/>
    </row>
    <row r="241" ht="14.25" customHeight="1">
      <c r="B241" s="1"/>
      <c r="F241" s="1"/>
      <c r="AM241" s="1"/>
    </row>
    <row r="242" ht="14.25" customHeight="1">
      <c r="B242" s="1"/>
      <c r="F242" s="1"/>
      <c r="AM242" s="1"/>
    </row>
    <row r="243" ht="14.25" customHeight="1">
      <c r="B243" s="1"/>
      <c r="F243" s="1"/>
      <c r="AM243" s="1"/>
    </row>
    <row r="244" ht="14.25" customHeight="1">
      <c r="B244" s="1"/>
      <c r="F244" s="1"/>
      <c r="AM244" s="1"/>
    </row>
    <row r="245" ht="14.25" customHeight="1">
      <c r="B245" s="1"/>
      <c r="F245" s="1"/>
      <c r="AM245" s="1"/>
    </row>
    <row r="246" ht="14.25" customHeight="1">
      <c r="B246" s="1"/>
      <c r="F246" s="1"/>
      <c r="AM246" s="1"/>
    </row>
    <row r="247" ht="14.25" customHeight="1">
      <c r="B247" s="1"/>
      <c r="F247" s="1"/>
      <c r="AM247" s="1"/>
    </row>
    <row r="248" ht="14.25" customHeight="1">
      <c r="B248" s="1"/>
      <c r="F248" s="1"/>
      <c r="AM248" s="1"/>
    </row>
    <row r="249" ht="14.25" customHeight="1">
      <c r="B249" s="1"/>
      <c r="F249" s="1"/>
      <c r="AM249" s="1"/>
    </row>
    <row r="250" ht="14.25" customHeight="1">
      <c r="B250" s="1"/>
      <c r="F250" s="1"/>
      <c r="AM250" s="1"/>
    </row>
    <row r="251" ht="14.25" customHeight="1">
      <c r="B251" s="1"/>
      <c r="F251" s="1"/>
      <c r="AM251" s="1"/>
    </row>
    <row r="252" ht="14.25" customHeight="1">
      <c r="B252" s="1"/>
      <c r="F252" s="1"/>
      <c r="AM252" s="1"/>
    </row>
    <row r="253" ht="14.25" customHeight="1">
      <c r="B253" s="1"/>
      <c r="F253" s="1"/>
      <c r="AM253" s="1"/>
    </row>
    <row r="254" ht="14.25" customHeight="1">
      <c r="B254" s="1"/>
      <c r="F254" s="1"/>
      <c r="AM254" s="1"/>
    </row>
    <row r="255" ht="14.25" customHeight="1">
      <c r="B255" s="1"/>
      <c r="F255" s="1"/>
      <c r="AM255" s="1"/>
    </row>
    <row r="256" ht="14.25" customHeight="1">
      <c r="B256" s="1"/>
      <c r="F256" s="1"/>
      <c r="AM256" s="1"/>
    </row>
    <row r="257" ht="14.25" customHeight="1">
      <c r="B257" s="1"/>
      <c r="F257" s="1"/>
      <c r="AM257" s="1"/>
    </row>
    <row r="258" ht="14.25" customHeight="1">
      <c r="B258" s="1"/>
      <c r="F258" s="1"/>
      <c r="AM258" s="1"/>
    </row>
    <row r="259" ht="14.25" customHeight="1">
      <c r="B259" s="1"/>
      <c r="F259" s="1"/>
      <c r="AM259" s="1"/>
    </row>
    <row r="260" ht="14.25" customHeight="1">
      <c r="B260" s="1"/>
      <c r="F260" s="1"/>
      <c r="AM260" s="1"/>
    </row>
    <row r="261" ht="14.25" customHeight="1">
      <c r="B261" s="1"/>
      <c r="F261" s="1"/>
      <c r="AM261" s="1"/>
    </row>
    <row r="262" ht="14.25" customHeight="1">
      <c r="B262" s="1"/>
      <c r="F262" s="1"/>
      <c r="AM262" s="1"/>
    </row>
    <row r="263" ht="14.25" customHeight="1">
      <c r="B263" s="1"/>
      <c r="F263" s="1"/>
      <c r="AM263" s="1"/>
    </row>
    <row r="264" ht="14.25" customHeight="1">
      <c r="B264" s="1"/>
      <c r="F264" s="1"/>
      <c r="AM264" s="1"/>
    </row>
    <row r="265" ht="14.25" customHeight="1">
      <c r="B265" s="1"/>
      <c r="F265" s="1"/>
      <c r="AM265" s="1"/>
    </row>
    <row r="266" ht="14.25" customHeight="1">
      <c r="B266" s="1"/>
      <c r="F266" s="1"/>
      <c r="AM266" s="1"/>
    </row>
    <row r="267" ht="14.25" customHeight="1">
      <c r="B267" s="1"/>
      <c r="F267" s="1"/>
      <c r="AM267" s="1"/>
    </row>
    <row r="268" ht="14.25" customHeight="1">
      <c r="B268" s="1"/>
      <c r="F268" s="1"/>
      <c r="AM268" s="1"/>
    </row>
    <row r="269" ht="14.25" customHeight="1">
      <c r="B269" s="1"/>
      <c r="F269" s="1"/>
      <c r="AM269" s="1"/>
    </row>
    <row r="270" ht="14.25" customHeight="1">
      <c r="B270" s="1"/>
      <c r="F270" s="1"/>
      <c r="AM270" s="1"/>
    </row>
    <row r="271" ht="14.25" customHeight="1">
      <c r="B271" s="1"/>
      <c r="F271" s="1"/>
      <c r="AM271" s="1"/>
    </row>
    <row r="272" ht="14.25" customHeight="1">
      <c r="B272" s="1"/>
      <c r="F272" s="1"/>
      <c r="AM272" s="1"/>
    </row>
    <row r="273" ht="14.25" customHeight="1">
      <c r="B273" s="1"/>
      <c r="F273" s="1"/>
      <c r="AM273" s="1"/>
    </row>
    <row r="274" ht="14.25" customHeight="1">
      <c r="B274" s="1"/>
      <c r="F274" s="1"/>
      <c r="AM274" s="1"/>
    </row>
    <row r="275" ht="14.25" customHeight="1">
      <c r="B275" s="1"/>
      <c r="F275" s="1"/>
      <c r="AM275" s="1"/>
    </row>
    <row r="276" ht="14.25" customHeight="1">
      <c r="B276" s="1"/>
      <c r="F276" s="1"/>
      <c r="AM276" s="1"/>
    </row>
    <row r="277" ht="14.25" customHeight="1">
      <c r="B277" s="1"/>
      <c r="F277" s="1"/>
      <c r="AM277" s="1"/>
    </row>
    <row r="278" ht="14.25" customHeight="1">
      <c r="B278" s="1"/>
      <c r="F278" s="1"/>
      <c r="AM278" s="1"/>
    </row>
    <row r="279" ht="14.25" customHeight="1">
      <c r="B279" s="1"/>
      <c r="F279" s="1"/>
      <c r="AM279" s="1"/>
    </row>
    <row r="280" ht="14.25" customHeight="1">
      <c r="B280" s="1"/>
      <c r="F280" s="1"/>
      <c r="AM280" s="1"/>
    </row>
    <row r="281" ht="14.25" customHeight="1">
      <c r="B281" s="1"/>
      <c r="F281" s="1"/>
      <c r="AM281" s="1"/>
    </row>
    <row r="282" ht="14.25" customHeight="1">
      <c r="B282" s="1"/>
      <c r="F282" s="1"/>
      <c r="AM282" s="1"/>
    </row>
    <row r="283" ht="14.25" customHeight="1">
      <c r="B283" s="1"/>
      <c r="F283" s="1"/>
      <c r="AM283" s="1"/>
    </row>
    <row r="284" ht="14.25" customHeight="1">
      <c r="B284" s="1"/>
      <c r="F284" s="1"/>
      <c r="AM284" s="1"/>
    </row>
    <row r="285" ht="14.25" customHeight="1">
      <c r="B285" s="1"/>
      <c r="F285" s="1"/>
      <c r="AM285" s="1"/>
    </row>
    <row r="286" ht="14.25" customHeight="1">
      <c r="B286" s="1"/>
      <c r="F286" s="1"/>
      <c r="AM286" s="1"/>
    </row>
    <row r="287" ht="14.25" customHeight="1">
      <c r="B287" s="1"/>
      <c r="F287" s="1"/>
      <c r="AM287" s="1"/>
    </row>
    <row r="288" ht="14.25" customHeight="1">
      <c r="B288" s="1"/>
      <c r="F288" s="1"/>
      <c r="AM288" s="1"/>
    </row>
    <row r="289" ht="14.25" customHeight="1">
      <c r="B289" s="1"/>
      <c r="F289" s="1"/>
      <c r="AM289" s="1"/>
    </row>
    <row r="290" ht="14.25" customHeight="1">
      <c r="B290" s="1"/>
      <c r="F290" s="1"/>
      <c r="AM290" s="1"/>
    </row>
    <row r="291" ht="14.25" customHeight="1">
      <c r="B291" s="1"/>
      <c r="F291" s="1"/>
      <c r="AM291" s="1"/>
    </row>
    <row r="292" ht="14.25" customHeight="1">
      <c r="B292" s="1"/>
      <c r="F292" s="1"/>
      <c r="AM292" s="1"/>
    </row>
    <row r="293" ht="14.25" customHeight="1">
      <c r="B293" s="1"/>
      <c r="F293" s="1"/>
      <c r="AM293" s="1"/>
    </row>
    <row r="294" ht="14.25" customHeight="1">
      <c r="B294" s="1"/>
      <c r="F294" s="1"/>
      <c r="AM294" s="1"/>
    </row>
    <row r="295" ht="14.25" customHeight="1">
      <c r="B295" s="1"/>
      <c r="F295" s="1"/>
      <c r="AM295" s="1"/>
    </row>
    <row r="296" ht="14.25" customHeight="1">
      <c r="B296" s="1"/>
      <c r="F296" s="1"/>
      <c r="AM296" s="1"/>
    </row>
    <row r="297" ht="14.25" customHeight="1">
      <c r="B297" s="1"/>
      <c r="F297" s="1"/>
      <c r="AM297" s="1"/>
    </row>
    <row r="298" ht="14.25" customHeight="1">
      <c r="B298" s="1"/>
      <c r="F298" s="1"/>
      <c r="AM298" s="1"/>
    </row>
    <row r="299" ht="14.25" customHeight="1">
      <c r="B299" s="1"/>
      <c r="F299" s="1"/>
      <c r="AM299" s="1"/>
    </row>
    <row r="300" ht="14.25" customHeight="1">
      <c r="B300" s="1"/>
      <c r="F300" s="1"/>
      <c r="AM300" s="1"/>
    </row>
    <row r="301" ht="14.25" customHeight="1">
      <c r="B301" s="1"/>
      <c r="F301" s="1"/>
      <c r="AM301" s="1"/>
    </row>
    <row r="302" ht="14.25" customHeight="1">
      <c r="B302" s="1"/>
      <c r="F302" s="1"/>
      <c r="AM302" s="1"/>
    </row>
    <row r="303" ht="14.25" customHeight="1">
      <c r="B303" s="1"/>
      <c r="F303" s="1"/>
      <c r="AM303" s="1"/>
    </row>
    <row r="304" ht="14.25" customHeight="1">
      <c r="B304" s="1"/>
      <c r="F304" s="1"/>
      <c r="AM304" s="1"/>
    </row>
    <row r="305" ht="14.25" customHeight="1">
      <c r="B305" s="1"/>
      <c r="F305" s="1"/>
      <c r="AM305" s="1"/>
    </row>
    <row r="306" ht="14.25" customHeight="1">
      <c r="B306" s="1"/>
      <c r="F306" s="1"/>
      <c r="AM306" s="1"/>
    </row>
    <row r="307" ht="14.25" customHeight="1">
      <c r="B307" s="1"/>
      <c r="F307" s="1"/>
      <c r="AM307" s="1"/>
    </row>
    <row r="308" ht="14.25" customHeight="1">
      <c r="B308" s="1"/>
      <c r="F308" s="1"/>
      <c r="AM308" s="1"/>
    </row>
    <row r="309" ht="14.25" customHeight="1">
      <c r="B309" s="1"/>
      <c r="F309" s="1"/>
      <c r="AM309" s="1"/>
    </row>
    <row r="310" ht="14.25" customHeight="1">
      <c r="B310" s="1"/>
      <c r="F310" s="1"/>
      <c r="AM310" s="1"/>
    </row>
    <row r="311" ht="14.25" customHeight="1">
      <c r="B311" s="1"/>
      <c r="F311" s="1"/>
      <c r="AM311" s="1"/>
    </row>
    <row r="312" ht="14.25" customHeight="1">
      <c r="B312" s="1"/>
      <c r="F312" s="1"/>
      <c r="AM312" s="1"/>
    </row>
    <row r="313" ht="14.25" customHeight="1">
      <c r="B313" s="1"/>
      <c r="F313" s="1"/>
      <c r="AM313" s="1"/>
    </row>
    <row r="314" ht="14.25" customHeight="1">
      <c r="B314" s="1"/>
      <c r="F314" s="1"/>
      <c r="AM314" s="1"/>
    </row>
    <row r="315" ht="14.25" customHeight="1">
      <c r="B315" s="1"/>
      <c r="F315" s="1"/>
      <c r="AM315" s="1"/>
    </row>
    <row r="316" ht="14.25" customHeight="1">
      <c r="B316" s="1"/>
      <c r="F316" s="1"/>
      <c r="AM316" s="1"/>
    </row>
    <row r="317" ht="14.25" customHeight="1">
      <c r="B317" s="1"/>
      <c r="F317" s="1"/>
      <c r="AM317" s="1"/>
    </row>
    <row r="318" ht="14.25" customHeight="1">
      <c r="B318" s="1"/>
      <c r="F318" s="1"/>
      <c r="AM318" s="1"/>
    </row>
    <row r="319" ht="14.25" customHeight="1">
      <c r="B319" s="1"/>
      <c r="F319" s="1"/>
      <c r="AM319" s="1"/>
    </row>
    <row r="320" ht="14.25" customHeight="1">
      <c r="B320" s="1"/>
      <c r="F320" s="1"/>
      <c r="AM320" s="1"/>
    </row>
    <row r="321" ht="14.25" customHeight="1">
      <c r="B321" s="1"/>
      <c r="F321" s="1"/>
      <c r="AM321" s="1"/>
    </row>
    <row r="322" ht="14.25" customHeight="1">
      <c r="B322" s="1"/>
      <c r="F322" s="1"/>
      <c r="AM322" s="1"/>
    </row>
    <row r="323" ht="14.25" customHeight="1">
      <c r="B323" s="1"/>
      <c r="F323" s="1"/>
      <c r="AM323" s="1"/>
    </row>
    <row r="324" ht="14.25" customHeight="1">
      <c r="B324" s="1"/>
      <c r="F324" s="1"/>
      <c r="AM324" s="1"/>
    </row>
    <row r="325" ht="14.25" customHeight="1">
      <c r="B325" s="1"/>
      <c r="F325" s="1"/>
      <c r="AM325" s="1"/>
    </row>
    <row r="326" ht="14.25" customHeight="1">
      <c r="B326" s="1"/>
      <c r="F326" s="1"/>
      <c r="AM326" s="1"/>
    </row>
    <row r="327" ht="14.25" customHeight="1">
      <c r="B327" s="1"/>
      <c r="F327" s="1"/>
      <c r="AM327" s="1"/>
    </row>
    <row r="328" ht="14.25" customHeight="1">
      <c r="B328" s="1"/>
      <c r="F328" s="1"/>
      <c r="AM328" s="1"/>
    </row>
    <row r="329" ht="14.25" customHeight="1">
      <c r="B329" s="1"/>
      <c r="F329" s="1"/>
      <c r="AM329" s="1"/>
    </row>
    <row r="330" ht="14.25" customHeight="1">
      <c r="B330" s="1"/>
      <c r="F330" s="1"/>
      <c r="AM330" s="1"/>
    </row>
    <row r="331" ht="14.25" customHeight="1">
      <c r="B331" s="1"/>
      <c r="F331" s="1"/>
      <c r="AM331" s="1"/>
    </row>
    <row r="332" ht="14.25" customHeight="1">
      <c r="B332" s="1"/>
      <c r="F332" s="1"/>
      <c r="AM332" s="1"/>
    </row>
    <row r="333" ht="14.25" customHeight="1">
      <c r="B333" s="1"/>
      <c r="F333" s="1"/>
      <c r="AM333" s="1"/>
    </row>
    <row r="334" ht="14.25" customHeight="1">
      <c r="B334" s="1"/>
      <c r="F334" s="1"/>
      <c r="AM334" s="1"/>
    </row>
    <row r="335" ht="14.25" customHeight="1">
      <c r="B335" s="1"/>
      <c r="F335" s="1"/>
      <c r="AM335" s="1"/>
    </row>
    <row r="336" ht="14.25" customHeight="1">
      <c r="B336" s="1"/>
      <c r="F336" s="1"/>
      <c r="AM336" s="1"/>
    </row>
    <row r="337" ht="14.25" customHeight="1">
      <c r="B337" s="1"/>
      <c r="F337" s="1"/>
      <c r="AM337" s="1"/>
    </row>
    <row r="338" ht="14.25" customHeight="1">
      <c r="B338" s="1"/>
      <c r="F338" s="1"/>
      <c r="AM338" s="1"/>
    </row>
    <row r="339" ht="14.25" customHeight="1">
      <c r="B339" s="1"/>
      <c r="F339" s="1"/>
      <c r="AM339" s="1"/>
    </row>
    <row r="340" ht="14.25" customHeight="1">
      <c r="B340" s="1"/>
      <c r="F340" s="1"/>
      <c r="AM340" s="1"/>
    </row>
    <row r="341" ht="14.25" customHeight="1">
      <c r="B341" s="1"/>
      <c r="F341" s="1"/>
      <c r="AM341" s="1"/>
    </row>
    <row r="342" ht="14.25" customHeight="1">
      <c r="B342" s="1"/>
      <c r="F342" s="1"/>
      <c r="AM342" s="1"/>
    </row>
    <row r="343" ht="14.25" customHeight="1">
      <c r="B343" s="1"/>
      <c r="F343" s="1"/>
      <c r="AM343" s="1"/>
    </row>
    <row r="344" ht="14.25" customHeight="1">
      <c r="B344" s="1"/>
      <c r="F344" s="1"/>
      <c r="AM344" s="1"/>
    </row>
    <row r="345" ht="14.25" customHeight="1">
      <c r="B345" s="1"/>
      <c r="F345" s="1"/>
      <c r="AM345" s="1"/>
    </row>
    <row r="346" ht="14.25" customHeight="1">
      <c r="B346" s="1"/>
      <c r="F346" s="1"/>
      <c r="AM346" s="1"/>
    </row>
    <row r="347" ht="14.25" customHeight="1">
      <c r="B347" s="1"/>
      <c r="F347" s="1"/>
      <c r="AM347" s="1"/>
    </row>
    <row r="348" ht="14.25" customHeight="1">
      <c r="B348" s="1"/>
      <c r="F348" s="1"/>
      <c r="AM348" s="1"/>
    </row>
    <row r="349" ht="14.25" customHeight="1">
      <c r="B349" s="1"/>
      <c r="F349" s="1"/>
      <c r="AM349" s="1"/>
    </row>
    <row r="350" ht="14.25" customHeight="1">
      <c r="B350" s="1"/>
      <c r="F350" s="1"/>
      <c r="AM350" s="1"/>
    </row>
    <row r="351" ht="14.25" customHeight="1">
      <c r="B351" s="1"/>
      <c r="F351" s="1"/>
      <c r="AM351" s="1"/>
    </row>
    <row r="352" ht="14.25" customHeight="1">
      <c r="B352" s="1"/>
      <c r="F352" s="1"/>
      <c r="AM352" s="1"/>
    </row>
    <row r="353" ht="14.25" customHeight="1">
      <c r="B353" s="1"/>
      <c r="F353" s="1"/>
      <c r="AM353" s="1"/>
    </row>
    <row r="354" ht="14.25" customHeight="1">
      <c r="B354" s="1"/>
      <c r="F354" s="1"/>
      <c r="AM354" s="1"/>
    </row>
    <row r="355" ht="14.25" customHeight="1">
      <c r="B355" s="1"/>
      <c r="F355" s="1"/>
      <c r="AM355" s="1"/>
    </row>
    <row r="356" ht="14.25" customHeight="1">
      <c r="B356" s="1"/>
      <c r="F356" s="1"/>
      <c r="AM356" s="1"/>
    </row>
    <row r="357" ht="14.25" customHeight="1">
      <c r="B357" s="1"/>
      <c r="F357" s="1"/>
      <c r="AM357" s="1"/>
    </row>
    <row r="358" ht="14.25" customHeight="1">
      <c r="B358" s="1"/>
      <c r="F358" s="1"/>
      <c r="AM358" s="1"/>
    </row>
    <row r="359" ht="14.25" customHeight="1">
      <c r="B359" s="1"/>
      <c r="F359" s="1"/>
      <c r="AM359" s="1"/>
    </row>
    <row r="360" ht="14.25" customHeight="1">
      <c r="B360" s="1"/>
      <c r="F360" s="1"/>
      <c r="AM360" s="1"/>
    </row>
    <row r="361" ht="14.25" customHeight="1">
      <c r="B361" s="1"/>
      <c r="F361" s="1"/>
      <c r="AM361" s="1"/>
    </row>
    <row r="362" ht="14.25" customHeight="1">
      <c r="B362" s="1"/>
      <c r="F362" s="1"/>
      <c r="AM362" s="1"/>
    </row>
    <row r="363" ht="14.25" customHeight="1">
      <c r="B363" s="1"/>
      <c r="F363" s="1"/>
      <c r="AM363" s="1"/>
    </row>
    <row r="364" ht="14.25" customHeight="1">
      <c r="B364" s="1"/>
      <c r="F364" s="1"/>
      <c r="AM364" s="1"/>
    </row>
    <row r="365" ht="14.25" customHeight="1">
      <c r="B365" s="1"/>
      <c r="F365" s="1"/>
      <c r="AM365" s="1"/>
    </row>
    <row r="366" ht="14.25" customHeight="1">
      <c r="B366" s="1"/>
      <c r="F366" s="1"/>
      <c r="AM366" s="1"/>
    </row>
    <row r="367" ht="14.25" customHeight="1">
      <c r="B367" s="1"/>
      <c r="F367" s="1"/>
      <c r="AM367" s="1"/>
    </row>
    <row r="368" ht="14.25" customHeight="1">
      <c r="B368" s="1"/>
      <c r="F368" s="1"/>
      <c r="AM368" s="1"/>
    </row>
    <row r="369" ht="14.25" customHeight="1">
      <c r="B369" s="1"/>
      <c r="F369" s="1"/>
      <c r="AM369" s="1"/>
    </row>
    <row r="370" ht="14.25" customHeight="1">
      <c r="B370" s="1"/>
      <c r="F370" s="1"/>
      <c r="AM370" s="1"/>
    </row>
    <row r="371" ht="14.25" customHeight="1">
      <c r="B371" s="1"/>
      <c r="F371" s="1"/>
      <c r="AM371" s="1"/>
    </row>
    <row r="372" ht="14.25" customHeight="1">
      <c r="B372" s="1"/>
      <c r="F372" s="1"/>
      <c r="AM372" s="1"/>
    </row>
    <row r="373" ht="14.25" customHeight="1">
      <c r="B373" s="1"/>
      <c r="F373" s="1"/>
      <c r="AM373" s="1"/>
    </row>
    <row r="374" ht="14.25" customHeight="1">
      <c r="B374" s="1"/>
      <c r="F374" s="1"/>
      <c r="AM374" s="1"/>
    </row>
    <row r="375" ht="14.25" customHeight="1">
      <c r="B375" s="1"/>
      <c r="F375" s="1"/>
      <c r="AM375" s="1"/>
    </row>
    <row r="376" ht="14.25" customHeight="1">
      <c r="B376" s="1"/>
      <c r="F376" s="1"/>
      <c r="AM376" s="1"/>
    </row>
    <row r="377" ht="14.25" customHeight="1">
      <c r="B377" s="1"/>
      <c r="F377" s="1"/>
      <c r="AM377" s="1"/>
    </row>
    <row r="378" ht="14.25" customHeight="1">
      <c r="B378" s="1"/>
      <c r="F378" s="1"/>
      <c r="AM378" s="1"/>
    </row>
    <row r="379" ht="14.25" customHeight="1">
      <c r="B379" s="1"/>
      <c r="F379" s="1"/>
      <c r="AM379" s="1"/>
    </row>
    <row r="380" ht="14.25" customHeight="1">
      <c r="B380" s="1"/>
      <c r="F380" s="1"/>
      <c r="AM380" s="1"/>
    </row>
    <row r="381" ht="14.25" customHeight="1">
      <c r="B381" s="1"/>
      <c r="F381" s="1"/>
      <c r="AM381" s="1"/>
    </row>
    <row r="382" ht="14.25" customHeight="1">
      <c r="B382" s="1"/>
      <c r="F382" s="1"/>
      <c r="AM382" s="1"/>
    </row>
    <row r="383" ht="14.25" customHeight="1">
      <c r="B383" s="1"/>
      <c r="F383" s="1"/>
      <c r="AM383" s="1"/>
    </row>
    <row r="384" ht="14.25" customHeight="1">
      <c r="B384" s="1"/>
      <c r="F384" s="1"/>
      <c r="AM384" s="1"/>
    </row>
    <row r="385" ht="14.25" customHeight="1">
      <c r="B385" s="1"/>
      <c r="F385" s="1"/>
      <c r="AM385" s="1"/>
    </row>
    <row r="386" ht="14.25" customHeight="1">
      <c r="B386" s="1"/>
      <c r="F386" s="1"/>
      <c r="AM386" s="1"/>
    </row>
    <row r="387" ht="14.25" customHeight="1">
      <c r="B387" s="1"/>
      <c r="F387" s="1"/>
      <c r="AM387" s="1"/>
    </row>
    <row r="388" ht="14.25" customHeight="1">
      <c r="B388" s="1"/>
      <c r="F388" s="1"/>
      <c r="AM388" s="1"/>
    </row>
    <row r="389" ht="14.25" customHeight="1">
      <c r="B389" s="1"/>
      <c r="F389" s="1"/>
      <c r="AM389" s="1"/>
    </row>
    <row r="390" ht="14.25" customHeight="1">
      <c r="B390" s="1"/>
      <c r="F390" s="1"/>
      <c r="AM390" s="1"/>
    </row>
    <row r="391" ht="14.25" customHeight="1">
      <c r="B391" s="1"/>
      <c r="F391" s="1"/>
      <c r="AM391" s="1"/>
    </row>
    <row r="392" ht="14.25" customHeight="1">
      <c r="B392" s="1"/>
      <c r="F392" s="1"/>
      <c r="AM392" s="1"/>
    </row>
    <row r="393" ht="14.25" customHeight="1">
      <c r="B393" s="1"/>
      <c r="F393" s="1"/>
      <c r="AM393" s="1"/>
    </row>
    <row r="394" ht="14.25" customHeight="1">
      <c r="B394" s="1"/>
      <c r="F394" s="1"/>
      <c r="AM394" s="1"/>
    </row>
    <row r="395" ht="14.25" customHeight="1">
      <c r="B395" s="1"/>
      <c r="F395" s="1"/>
      <c r="AM395" s="1"/>
    </row>
    <row r="396" ht="14.25" customHeight="1">
      <c r="B396" s="1"/>
      <c r="F396" s="1"/>
      <c r="AM396" s="1"/>
    </row>
    <row r="397" ht="14.25" customHeight="1">
      <c r="B397" s="1"/>
      <c r="F397" s="1"/>
      <c r="AM397" s="1"/>
    </row>
    <row r="398" ht="14.25" customHeight="1">
      <c r="B398" s="1"/>
      <c r="F398" s="1"/>
      <c r="AM398" s="1"/>
    </row>
    <row r="399" ht="14.25" customHeight="1">
      <c r="B399" s="1"/>
      <c r="F399" s="1"/>
      <c r="AM399" s="1"/>
    </row>
    <row r="400" ht="14.25" customHeight="1">
      <c r="B400" s="1"/>
      <c r="F400" s="1"/>
      <c r="AM400" s="1"/>
    </row>
    <row r="401" ht="14.25" customHeight="1">
      <c r="B401" s="1"/>
      <c r="F401" s="1"/>
      <c r="AM401" s="1"/>
    </row>
    <row r="402" ht="14.25" customHeight="1">
      <c r="B402" s="1"/>
      <c r="F402" s="1"/>
      <c r="AM402" s="1"/>
    </row>
    <row r="403" ht="14.25" customHeight="1">
      <c r="B403" s="1"/>
      <c r="F403" s="1"/>
      <c r="AM403" s="1"/>
    </row>
    <row r="404" ht="14.25" customHeight="1">
      <c r="B404" s="1"/>
      <c r="F404" s="1"/>
      <c r="AM404" s="1"/>
    </row>
    <row r="405" ht="14.25" customHeight="1">
      <c r="B405" s="1"/>
      <c r="F405" s="1"/>
      <c r="AM405" s="1"/>
    </row>
    <row r="406" ht="14.25" customHeight="1">
      <c r="B406" s="1"/>
      <c r="F406" s="1"/>
      <c r="AM406" s="1"/>
    </row>
    <row r="407" ht="14.25" customHeight="1">
      <c r="B407" s="1"/>
      <c r="F407" s="1"/>
      <c r="AM407" s="1"/>
    </row>
    <row r="408" ht="14.25" customHeight="1">
      <c r="B408" s="1"/>
      <c r="F408" s="1"/>
      <c r="AM408" s="1"/>
    </row>
    <row r="409" ht="14.25" customHeight="1">
      <c r="B409" s="1"/>
      <c r="F409" s="1"/>
      <c r="AM409" s="1"/>
    </row>
    <row r="410" ht="14.25" customHeight="1">
      <c r="B410" s="1"/>
      <c r="F410" s="1"/>
      <c r="AM410" s="1"/>
    </row>
    <row r="411" ht="14.25" customHeight="1">
      <c r="B411" s="1"/>
      <c r="F411" s="1"/>
      <c r="AM411" s="1"/>
    </row>
    <row r="412" ht="14.25" customHeight="1">
      <c r="B412" s="1"/>
      <c r="F412" s="1"/>
      <c r="AM412" s="1"/>
    </row>
    <row r="413" ht="14.25" customHeight="1">
      <c r="B413" s="1"/>
      <c r="F413" s="1"/>
      <c r="AM413" s="1"/>
    </row>
    <row r="414" ht="14.25" customHeight="1">
      <c r="B414" s="1"/>
      <c r="F414" s="1"/>
      <c r="AM414" s="1"/>
    </row>
    <row r="415" ht="14.25" customHeight="1">
      <c r="B415" s="1"/>
      <c r="F415" s="1"/>
      <c r="AM415" s="1"/>
    </row>
    <row r="416" ht="14.25" customHeight="1">
      <c r="B416" s="1"/>
      <c r="F416" s="1"/>
      <c r="AM416" s="1"/>
    </row>
    <row r="417" ht="14.25" customHeight="1">
      <c r="B417" s="1"/>
      <c r="F417" s="1"/>
      <c r="AM417" s="1"/>
    </row>
    <row r="418" ht="14.25" customHeight="1">
      <c r="B418" s="1"/>
      <c r="F418" s="1"/>
      <c r="AM418" s="1"/>
    </row>
    <row r="419" ht="14.25" customHeight="1">
      <c r="B419" s="1"/>
      <c r="F419" s="1"/>
      <c r="AM419" s="1"/>
    </row>
    <row r="420" ht="14.25" customHeight="1">
      <c r="B420" s="1"/>
      <c r="F420" s="1"/>
      <c r="AM420" s="1"/>
    </row>
    <row r="421" ht="14.25" customHeight="1">
      <c r="B421" s="1"/>
      <c r="F421" s="1"/>
      <c r="AM421" s="1"/>
    </row>
    <row r="422" ht="14.25" customHeight="1">
      <c r="B422" s="1"/>
      <c r="F422" s="1"/>
      <c r="AM422" s="1"/>
    </row>
    <row r="423" ht="14.25" customHeight="1">
      <c r="B423" s="1"/>
      <c r="F423" s="1"/>
      <c r="AM423" s="1"/>
    </row>
    <row r="424" ht="14.25" customHeight="1">
      <c r="B424" s="1"/>
      <c r="F424" s="1"/>
      <c r="AM424" s="1"/>
    </row>
    <row r="425" ht="14.25" customHeight="1">
      <c r="B425" s="1"/>
      <c r="F425" s="1"/>
      <c r="AM425" s="1"/>
    </row>
    <row r="426" ht="14.25" customHeight="1">
      <c r="B426" s="1"/>
      <c r="F426" s="1"/>
      <c r="AM426" s="1"/>
    </row>
    <row r="427" ht="14.25" customHeight="1">
      <c r="B427" s="1"/>
      <c r="F427" s="1"/>
      <c r="AM427" s="1"/>
    </row>
    <row r="428" ht="14.25" customHeight="1">
      <c r="B428" s="1"/>
      <c r="F428" s="1"/>
      <c r="AM428" s="1"/>
    </row>
    <row r="429" ht="14.25" customHeight="1">
      <c r="B429" s="1"/>
      <c r="F429" s="1"/>
      <c r="AM429" s="1"/>
    </row>
    <row r="430" ht="14.25" customHeight="1">
      <c r="B430" s="1"/>
      <c r="F430" s="1"/>
      <c r="AM430" s="1"/>
    </row>
    <row r="431" ht="14.25" customHeight="1">
      <c r="B431" s="1"/>
      <c r="F431" s="1"/>
      <c r="AM431" s="1"/>
    </row>
    <row r="432" ht="14.25" customHeight="1">
      <c r="B432" s="1"/>
      <c r="F432" s="1"/>
      <c r="AM432" s="1"/>
    </row>
    <row r="433" ht="14.25" customHeight="1">
      <c r="B433" s="1"/>
      <c r="F433" s="1"/>
      <c r="AM433" s="1"/>
    </row>
    <row r="434" ht="14.25" customHeight="1">
      <c r="B434" s="1"/>
      <c r="F434" s="1"/>
      <c r="AM434" s="1"/>
    </row>
    <row r="435" ht="14.25" customHeight="1">
      <c r="B435" s="1"/>
      <c r="F435" s="1"/>
      <c r="AM435" s="1"/>
    </row>
    <row r="436" ht="14.25" customHeight="1">
      <c r="B436" s="1"/>
      <c r="F436" s="1"/>
      <c r="AM436" s="1"/>
    </row>
    <row r="437" ht="14.25" customHeight="1">
      <c r="B437" s="1"/>
      <c r="F437" s="1"/>
      <c r="AM437" s="1"/>
    </row>
    <row r="438" ht="14.25" customHeight="1">
      <c r="B438" s="1"/>
      <c r="F438" s="1"/>
      <c r="AM438" s="1"/>
    </row>
    <row r="439" ht="14.25" customHeight="1">
      <c r="B439" s="1"/>
      <c r="F439" s="1"/>
      <c r="AM439" s="1"/>
    </row>
    <row r="440" ht="14.25" customHeight="1">
      <c r="B440" s="1"/>
      <c r="F440" s="1"/>
      <c r="AM440" s="1"/>
    </row>
    <row r="441" ht="14.25" customHeight="1">
      <c r="B441" s="1"/>
      <c r="F441" s="1"/>
      <c r="AM441" s="1"/>
    </row>
    <row r="442" ht="14.25" customHeight="1">
      <c r="B442" s="1"/>
      <c r="F442" s="1"/>
      <c r="AM442" s="1"/>
    </row>
    <row r="443" ht="14.25" customHeight="1">
      <c r="B443" s="1"/>
      <c r="F443" s="1"/>
      <c r="AM443" s="1"/>
    </row>
    <row r="444" ht="14.25" customHeight="1">
      <c r="B444" s="1"/>
      <c r="F444" s="1"/>
      <c r="AM444" s="1"/>
    </row>
    <row r="445" ht="14.25" customHeight="1">
      <c r="B445" s="1"/>
      <c r="F445" s="1"/>
      <c r="AM445" s="1"/>
    </row>
    <row r="446" ht="14.25" customHeight="1">
      <c r="B446" s="1"/>
      <c r="F446" s="1"/>
      <c r="AM446" s="1"/>
    </row>
    <row r="447" ht="14.25" customHeight="1">
      <c r="B447" s="1"/>
      <c r="F447" s="1"/>
      <c r="AM447" s="1"/>
    </row>
    <row r="448" ht="14.25" customHeight="1">
      <c r="B448" s="1"/>
      <c r="F448" s="1"/>
      <c r="AM448" s="1"/>
    </row>
    <row r="449" ht="14.25" customHeight="1">
      <c r="B449" s="1"/>
      <c r="F449" s="1"/>
      <c r="AM449" s="1"/>
    </row>
    <row r="450" ht="14.25" customHeight="1">
      <c r="B450" s="1"/>
      <c r="F450" s="1"/>
      <c r="AM450" s="1"/>
    </row>
    <row r="451" ht="14.25" customHeight="1">
      <c r="B451" s="1"/>
      <c r="F451" s="1"/>
      <c r="AM451" s="1"/>
    </row>
    <row r="452" ht="14.25" customHeight="1">
      <c r="B452" s="1"/>
      <c r="F452" s="1"/>
      <c r="AM452" s="1"/>
    </row>
    <row r="453" ht="14.25" customHeight="1">
      <c r="B453" s="1"/>
      <c r="F453" s="1"/>
      <c r="AM453" s="1"/>
    </row>
    <row r="454" ht="14.25" customHeight="1">
      <c r="B454" s="1"/>
      <c r="F454" s="1"/>
      <c r="AM454" s="1"/>
    </row>
    <row r="455" ht="14.25" customHeight="1">
      <c r="B455" s="1"/>
      <c r="F455" s="1"/>
      <c r="AM455" s="1"/>
    </row>
    <row r="456" ht="14.25" customHeight="1">
      <c r="B456" s="1"/>
      <c r="F456" s="1"/>
      <c r="AM456" s="1"/>
    </row>
    <row r="457" ht="14.25" customHeight="1">
      <c r="B457" s="1"/>
      <c r="F457" s="1"/>
      <c r="AM457" s="1"/>
    </row>
    <row r="458" ht="14.25" customHeight="1">
      <c r="B458" s="1"/>
      <c r="F458" s="1"/>
      <c r="AM458" s="1"/>
    </row>
    <row r="459" ht="14.25" customHeight="1">
      <c r="B459" s="1"/>
      <c r="F459" s="1"/>
      <c r="AM459" s="1"/>
    </row>
    <row r="460" ht="14.25" customHeight="1">
      <c r="B460" s="1"/>
      <c r="F460" s="1"/>
      <c r="AM460" s="1"/>
    </row>
    <row r="461" ht="14.25" customHeight="1">
      <c r="B461" s="1"/>
      <c r="F461" s="1"/>
      <c r="AM461" s="1"/>
    </row>
    <row r="462" ht="14.25" customHeight="1">
      <c r="B462" s="1"/>
      <c r="F462" s="1"/>
      <c r="AM462" s="1"/>
    </row>
    <row r="463" ht="14.25" customHeight="1">
      <c r="B463" s="1"/>
      <c r="F463" s="1"/>
      <c r="AM463" s="1"/>
    </row>
    <row r="464" ht="14.25" customHeight="1">
      <c r="B464" s="1"/>
      <c r="F464" s="1"/>
      <c r="AM464" s="1"/>
    </row>
    <row r="465" ht="14.25" customHeight="1">
      <c r="B465" s="1"/>
      <c r="F465" s="1"/>
      <c r="AM465" s="1"/>
    </row>
    <row r="466" ht="14.25" customHeight="1">
      <c r="B466" s="1"/>
      <c r="F466" s="1"/>
      <c r="AM466" s="1"/>
    </row>
    <row r="467" ht="14.25" customHeight="1">
      <c r="B467" s="1"/>
      <c r="F467" s="1"/>
      <c r="AM467" s="1"/>
    </row>
    <row r="468" ht="14.25" customHeight="1">
      <c r="B468" s="1"/>
      <c r="F468" s="1"/>
      <c r="AM468" s="1"/>
    </row>
    <row r="469" ht="14.25" customHeight="1">
      <c r="B469" s="1"/>
      <c r="F469" s="1"/>
      <c r="AM469" s="1"/>
    </row>
    <row r="470" ht="14.25" customHeight="1">
      <c r="B470" s="1"/>
      <c r="F470" s="1"/>
      <c r="AM470" s="1"/>
    </row>
    <row r="471" ht="14.25" customHeight="1">
      <c r="B471" s="1"/>
      <c r="F471" s="1"/>
      <c r="AM471" s="1"/>
    </row>
    <row r="472" ht="14.25" customHeight="1">
      <c r="B472" s="1"/>
      <c r="F472" s="1"/>
      <c r="AM472" s="1"/>
    </row>
    <row r="473" ht="14.25" customHeight="1">
      <c r="B473" s="1"/>
      <c r="F473" s="1"/>
      <c r="AM473" s="1"/>
    </row>
    <row r="474" ht="14.25" customHeight="1">
      <c r="B474" s="1"/>
      <c r="F474" s="1"/>
      <c r="AM474" s="1"/>
    </row>
    <row r="475" ht="14.25" customHeight="1">
      <c r="B475" s="1"/>
      <c r="F475" s="1"/>
      <c r="AM475" s="1"/>
    </row>
    <row r="476" ht="14.25" customHeight="1">
      <c r="B476" s="1"/>
      <c r="F476" s="1"/>
      <c r="AM476" s="1"/>
    </row>
    <row r="477" ht="14.25" customHeight="1">
      <c r="B477" s="1"/>
      <c r="F477" s="1"/>
      <c r="AM477" s="1"/>
    </row>
    <row r="478" ht="14.25" customHeight="1">
      <c r="B478" s="1"/>
      <c r="F478" s="1"/>
      <c r="AM478" s="1"/>
    </row>
    <row r="479" ht="14.25" customHeight="1">
      <c r="B479" s="1"/>
      <c r="F479" s="1"/>
      <c r="AM479" s="1"/>
    </row>
    <row r="480" ht="14.25" customHeight="1">
      <c r="B480" s="1"/>
      <c r="F480" s="1"/>
      <c r="AM480" s="1"/>
    </row>
    <row r="481" ht="14.25" customHeight="1">
      <c r="B481" s="1"/>
      <c r="F481" s="1"/>
      <c r="AM481" s="1"/>
    </row>
    <row r="482" ht="14.25" customHeight="1">
      <c r="B482" s="1"/>
      <c r="F482" s="1"/>
      <c r="AM482" s="1"/>
    </row>
    <row r="483" ht="14.25" customHeight="1">
      <c r="B483" s="1"/>
      <c r="F483" s="1"/>
      <c r="AM483" s="1"/>
    </row>
    <row r="484" ht="14.25" customHeight="1">
      <c r="B484" s="1"/>
      <c r="F484" s="1"/>
      <c r="AM484" s="1"/>
    </row>
    <row r="485" ht="14.25" customHeight="1">
      <c r="B485" s="1"/>
      <c r="F485" s="1"/>
      <c r="AM485" s="1"/>
    </row>
    <row r="486" ht="14.25" customHeight="1">
      <c r="B486" s="1"/>
      <c r="F486" s="1"/>
      <c r="AM486" s="1"/>
    </row>
    <row r="487" ht="14.25" customHeight="1">
      <c r="B487" s="1"/>
      <c r="F487" s="1"/>
      <c r="AM487" s="1"/>
    </row>
    <row r="488" ht="14.25" customHeight="1">
      <c r="B488" s="1"/>
      <c r="F488" s="1"/>
      <c r="AM488" s="1"/>
    </row>
    <row r="489" ht="14.25" customHeight="1">
      <c r="B489" s="1"/>
      <c r="F489" s="1"/>
      <c r="AM489" s="1"/>
    </row>
    <row r="490" ht="14.25" customHeight="1">
      <c r="B490" s="1"/>
      <c r="F490" s="1"/>
      <c r="AM490" s="1"/>
    </row>
    <row r="491" ht="14.25" customHeight="1">
      <c r="B491" s="1"/>
      <c r="F491" s="1"/>
      <c r="AM491" s="1"/>
    </row>
    <row r="492" ht="14.25" customHeight="1">
      <c r="B492" s="1"/>
      <c r="F492" s="1"/>
      <c r="AM492" s="1"/>
    </row>
    <row r="493" ht="14.25" customHeight="1">
      <c r="B493" s="1"/>
      <c r="F493" s="1"/>
      <c r="AM493" s="1"/>
    </row>
    <row r="494" ht="14.25" customHeight="1">
      <c r="B494" s="1"/>
      <c r="F494" s="1"/>
      <c r="AM494" s="1"/>
    </row>
    <row r="495" ht="14.25" customHeight="1">
      <c r="B495" s="1"/>
      <c r="F495" s="1"/>
      <c r="AM495" s="1"/>
    </row>
    <row r="496" ht="14.25" customHeight="1">
      <c r="B496" s="1"/>
      <c r="F496" s="1"/>
      <c r="AM496" s="1"/>
    </row>
    <row r="497" ht="14.25" customHeight="1">
      <c r="B497" s="1"/>
      <c r="F497" s="1"/>
      <c r="AM497" s="1"/>
    </row>
    <row r="498" ht="14.25" customHeight="1">
      <c r="B498" s="1"/>
      <c r="F498" s="1"/>
      <c r="AM498" s="1"/>
    </row>
    <row r="499" ht="14.25" customHeight="1">
      <c r="B499" s="1"/>
      <c r="F499" s="1"/>
      <c r="AM499" s="1"/>
    </row>
    <row r="500" ht="14.25" customHeight="1">
      <c r="B500" s="1"/>
      <c r="F500" s="1"/>
      <c r="AM500" s="1"/>
    </row>
    <row r="501" ht="14.25" customHeight="1">
      <c r="B501" s="1"/>
      <c r="F501" s="1"/>
      <c r="AM501" s="1"/>
    </row>
    <row r="502" ht="14.25" customHeight="1">
      <c r="B502" s="1"/>
      <c r="F502" s="1"/>
      <c r="AM502" s="1"/>
    </row>
    <row r="503" ht="14.25" customHeight="1">
      <c r="B503" s="1"/>
      <c r="F503" s="1"/>
      <c r="AM503" s="1"/>
    </row>
    <row r="504" ht="14.25" customHeight="1">
      <c r="B504" s="1"/>
      <c r="F504" s="1"/>
      <c r="AM504" s="1"/>
    </row>
    <row r="505" ht="14.25" customHeight="1">
      <c r="B505" s="1"/>
      <c r="F505" s="1"/>
      <c r="AM505" s="1"/>
    </row>
    <row r="506" ht="14.25" customHeight="1">
      <c r="B506" s="1"/>
      <c r="F506" s="1"/>
      <c r="AM506" s="1"/>
    </row>
    <row r="507" ht="14.25" customHeight="1">
      <c r="B507" s="1"/>
      <c r="F507" s="1"/>
      <c r="AM507" s="1"/>
    </row>
    <row r="508" ht="14.25" customHeight="1">
      <c r="B508" s="1"/>
      <c r="F508" s="1"/>
      <c r="AM508" s="1"/>
    </row>
    <row r="509" ht="14.25" customHeight="1">
      <c r="B509" s="1"/>
      <c r="F509" s="1"/>
      <c r="AM509" s="1"/>
    </row>
    <row r="510" ht="14.25" customHeight="1">
      <c r="B510" s="1"/>
      <c r="F510" s="1"/>
      <c r="AM510" s="1"/>
    </row>
    <row r="511" ht="14.25" customHeight="1">
      <c r="B511" s="1"/>
      <c r="F511" s="1"/>
      <c r="AM511" s="1"/>
    </row>
    <row r="512" ht="14.25" customHeight="1">
      <c r="B512" s="1"/>
      <c r="F512" s="1"/>
      <c r="AM512" s="1"/>
    </row>
    <row r="513" ht="14.25" customHeight="1">
      <c r="B513" s="1"/>
      <c r="F513" s="1"/>
      <c r="AM513" s="1"/>
    </row>
    <row r="514" ht="14.25" customHeight="1">
      <c r="B514" s="1"/>
      <c r="F514" s="1"/>
      <c r="AM514" s="1"/>
    </row>
    <row r="515" ht="14.25" customHeight="1">
      <c r="B515" s="1"/>
      <c r="F515" s="1"/>
      <c r="AM515" s="1"/>
    </row>
    <row r="516" ht="14.25" customHeight="1">
      <c r="B516" s="1"/>
      <c r="F516" s="1"/>
      <c r="AM516" s="1"/>
    </row>
    <row r="517" ht="14.25" customHeight="1">
      <c r="B517" s="1"/>
      <c r="F517" s="1"/>
      <c r="AM517" s="1"/>
    </row>
    <row r="518" ht="14.25" customHeight="1">
      <c r="B518" s="1"/>
      <c r="F518" s="1"/>
      <c r="AM518" s="1"/>
    </row>
    <row r="519" ht="14.25" customHeight="1">
      <c r="B519" s="1"/>
      <c r="F519" s="1"/>
      <c r="AM519" s="1"/>
    </row>
    <row r="520" ht="14.25" customHeight="1">
      <c r="B520" s="1"/>
      <c r="F520" s="1"/>
      <c r="AM520" s="1"/>
    </row>
    <row r="521" ht="14.25" customHeight="1">
      <c r="B521" s="1"/>
      <c r="F521" s="1"/>
      <c r="AM521" s="1"/>
    </row>
    <row r="522" ht="14.25" customHeight="1">
      <c r="B522" s="1"/>
      <c r="F522" s="1"/>
      <c r="AM522" s="1"/>
    </row>
    <row r="523" ht="14.25" customHeight="1">
      <c r="B523" s="1"/>
      <c r="F523" s="1"/>
      <c r="AM523" s="1"/>
    </row>
    <row r="524" ht="14.25" customHeight="1">
      <c r="B524" s="1"/>
      <c r="F524" s="1"/>
      <c r="AM524" s="1"/>
    </row>
    <row r="525" ht="14.25" customHeight="1">
      <c r="B525" s="1"/>
      <c r="F525" s="1"/>
      <c r="AM525" s="1"/>
    </row>
    <row r="526" ht="14.25" customHeight="1">
      <c r="B526" s="1"/>
      <c r="F526" s="1"/>
      <c r="AM526" s="1"/>
    </row>
    <row r="527" ht="14.25" customHeight="1">
      <c r="B527" s="1"/>
      <c r="F527" s="1"/>
      <c r="AM527" s="1"/>
    </row>
    <row r="528" ht="14.25" customHeight="1">
      <c r="B528" s="1"/>
      <c r="F528" s="1"/>
      <c r="AM528" s="1"/>
    </row>
    <row r="529" ht="14.25" customHeight="1">
      <c r="B529" s="1"/>
      <c r="F529" s="1"/>
      <c r="AM529" s="1"/>
    </row>
    <row r="530" ht="14.25" customHeight="1">
      <c r="B530" s="1"/>
      <c r="F530" s="1"/>
      <c r="AM530" s="1"/>
    </row>
    <row r="531" ht="14.25" customHeight="1">
      <c r="B531" s="1"/>
      <c r="F531" s="1"/>
      <c r="AM531" s="1"/>
    </row>
    <row r="532" ht="14.25" customHeight="1">
      <c r="B532" s="1"/>
      <c r="F532" s="1"/>
      <c r="AM532" s="1"/>
    </row>
    <row r="533" ht="14.25" customHeight="1">
      <c r="B533" s="1"/>
      <c r="F533" s="1"/>
      <c r="AM533" s="1"/>
    </row>
    <row r="534" ht="14.25" customHeight="1">
      <c r="B534" s="1"/>
      <c r="F534" s="1"/>
      <c r="AM534" s="1"/>
    </row>
    <row r="535" ht="14.25" customHeight="1">
      <c r="B535" s="1"/>
      <c r="F535" s="1"/>
      <c r="AM535" s="1"/>
    </row>
    <row r="536" ht="14.25" customHeight="1">
      <c r="B536" s="1"/>
      <c r="F536" s="1"/>
      <c r="AM536" s="1"/>
    </row>
    <row r="537" ht="14.25" customHeight="1">
      <c r="B537" s="1"/>
      <c r="F537" s="1"/>
      <c r="AM537" s="1"/>
    </row>
    <row r="538" ht="14.25" customHeight="1">
      <c r="B538" s="1"/>
      <c r="F538" s="1"/>
      <c r="AM538" s="1"/>
    </row>
    <row r="539" ht="14.25" customHeight="1">
      <c r="B539" s="1"/>
      <c r="F539" s="1"/>
      <c r="AM539" s="1"/>
    </row>
    <row r="540" ht="14.25" customHeight="1">
      <c r="B540" s="1"/>
      <c r="F540" s="1"/>
      <c r="AM540" s="1"/>
    </row>
    <row r="541" ht="14.25" customHeight="1">
      <c r="B541" s="1"/>
      <c r="F541" s="1"/>
      <c r="AM541" s="1"/>
    </row>
    <row r="542" ht="14.25" customHeight="1">
      <c r="B542" s="1"/>
      <c r="F542" s="1"/>
      <c r="AM542" s="1"/>
    </row>
    <row r="543" ht="14.25" customHeight="1">
      <c r="B543" s="1"/>
      <c r="F543" s="1"/>
      <c r="AM543" s="1"/>
    </row>
    <row r="544" ht="14.25" customHeight="1">
      <c r="B544" s="1"/>
      <c r="F544" s="1"/>
      <c r="AM544" s="1"/>
    </row>
    <row r="545" ht="14.25" customHeight="1">
      <c r="B545" s="1"/>
      <c r="F545" s="1"/>
      <c r="AM545" s="1"/>
    </row>
    <row r="546" ht="14.25" customHeight="1">
      <c r="B546" s="1"/>
      <c r="F546" s="1"/>
      <c r="AM546" s="1"/>
    </row>
    <row r="547" ht="14.25" customHeight="1">
      <c r="B547" s="1"/>
      <c r="F547" s="1"/>
      <c r="AM547" s="1"/>
    </row>
    <row r="548" ht="14.25" customHeight="1">
      <c r="B548" s="1"/>
      <c r="F548" s="1"/>
      <c r="AM548" s="1"/>
    </row>
    <row r="549" ht="14.25" customHeight="1">
      <c r="B549" s="1"/>
      <c r="F549" s="1"/>
      <c r="AM549" s="1"/>
    </row>
    <row r="550" ht="14.25" customHeight="1">
      <c r="B550" s="1"/>
      <c r="F550" s="1"/>
      <c r="AM550" s="1"/>
    </row>
    <row r="551" ht="14.25" customHeight="1">
      <c r="B551" s="1"/>
      <c r="F551" s="1"/>
      <c r="AM551" s="1"/>
    </row>
    <row r="552" ht="14.25" customHeight="1">
      <c r="B552" s="1"/>
      <c r="F552" s="1"/>
      <c r="AM552" s="1"/>
    </row>
    <row r="553" ht="14.25" customHeight="1">
      <c r="B553" s="1"/>
      <c r="F553" s="1"/>
      <c r="AM553" s="1"/>
    </row>
    <row r="554" ht="14.25" customHeight="1">
      <c r="B554" s="1"/>
      <c r="F554" s="1"/>
      <c r="AM554" s="1"/>
    </row>
    <row r="555" ht="14.25" customHeight="1">
      <c r="B555" s="1"/>
      <c r="F555" s="1"/>
      <c r="AM555" s="1"/>
    </row>
    <row r="556" ht="14.25" customHeight="1">
      <c r="B556" s="1"/>
      <c r="F556" s="1"/>
      <c r="AM556" s="1"/>
    </row>
    <row r="557" ht="14.25" customHeight="1">
      <c r="B557" s="1"/>
      <c r="F557" s="1"/>
      <c r="AM557" s="1"/>
    </row>
    <row r="558" ht="14.25" customHeight="1">
      <c r="B558" s="1"/>
      <c r="F558" s="1"/>
      <c r="AM558" s="1"/>
    </row>
    <row r="559" ht="14.25" customHeight="1">
      <c r="B559" s="1"/>
      <c r="F559" s="1"/>
      <c r="AM559" s="1"/>
    </row>
    <row r="560" ht="14.25" customHeight="1">
      <c r="B560" s="1"/>
      <c r="F560" s="1"/>
      <c r="AM560" s="1"/>
    </row>
    <row r="561" ht="14.25" customHeight="1">
      <c r="B561" s="1"/>
      <c r="F561" s="1"/>
      <c r="AM561" s="1"/>
    </row>
    <row r="562" ht="14.25" customHeight="1">
      <c r="B562" s="1"/>
      <c r="F562" s="1"/>
      <c r="AM562" s="1"/>
    </row>
    <row r="563" ht="14.25" customHeight="1">
      <c r="B563" s="1"/>
      <c r="F563" s="1"/>
      <c r="AM563" s="1"/>
    </row>
    <row r="564" ht="14.25" customHeight="1">
      <c r="B564" s="1"/>
      <c r="F564" s="1"/>
      <c r="AM564" s="1"/>
    </row>
    <row r="565" ht="14.25" customHeight="1">
      <c r="B565" s="1"/>
      <c r="F565" s="1"/>
      <c r="AM565" s="1"/>
    </row>
    <row r="566" ht="14.25" customHeight="1">
      <c r="B566" s="1"/>
      <c r="F566" s="1"/>
      <c r="AM566" s="1"/>
    </row>
    <row r="567" ht="14.25" customHeight="1">
      <c r="B567" s="1"/>
      <c r="F567" s="1"/>
      <c r="AM567" s="1"/>
    </row>
    <row r="568" ht="14.25" customHeight="1">
      <c r="B568" s="1"/>
      <c r="F568" s="1"/>
      <c r="AM568" s="1"/>
    </row>
    <row r="569" ht="14.25" customHeight="1">
      <c r="B569" s="1"/>
      <c r="F569" s="1"/>
      <c r="AM569" s="1"/>
    </row>
    <row r="570" ht="14.25" customHeight="1">
      <c r="B570" s="1"/>
      <c r="F570" s="1"/>
      <c r="AM570" s="1"/>
    </row>
    <row r="571" ht="14.25" customHeight="1">
      <c r="B571" s="1"/>
      <c r="F571" s="1"/>
      <c r="AM571" s="1"/>
    </row>
    <row r="572" ht="14.25" customHeight="1">
      <c r="B572" s="1"/>
      <c r="F572" s="1"/>
      <c r="AM572" s="1"/>
    </row>
    <row r="573" ht="14.25" customHeight="1">
      <c r="B573" s="1"/>
      <c r="F573" s="1"/>
      <c r="AM573" s="1"/>
    </row>
    <row r="574" ht="14.25" customHeight="1">
      <c r="B574" s="1"/>
      <c r="F574" s="1"/>
      <c r="AM574" s="1"/>
    </row>
    <row r="575" ht="14.25" customHeight="1">
      <c r="B575" s="1"/>
      <c r="F575" s="1"/>
      <c r="AM575" s="1"/>
    </row>
    <row r="576" ht="14.25" customHeight="1">
      <c r="B576" s="1"/>
      <c r="F576" s="1"/>
      <c r="AM576" s="1"/>
    </row>
    <row r="577" ht="14.25" customHeight="1">
      <c r="B577" s="1"/>
      <c r="F577" s="1"/>
      <c r="AM577" s="1"/>
    </row>
    <row r="578" ht="14.25" customHeight="1">
      <c r="B578" s="1"/>
      <c r="F578" s="1"/>
      <c r="AM578" s="1"/>
    </row>
    <row r="579" ht="14.25" customHeight="1">
      <c r="B579" s="1"/>
      <c r="F579" s="1"/>
      <c r="AM579" s="1"/>
    </row>
    <row r="580" ht="14.25" customHeight="1">
      <c r="B580" s="1"/>
      <c r="F580" s="1"/>
      <c r="AM580" s="1"/>
    </row>
    <row r="581" ht="14.25" customHeight="1">
      <c r="B581" s="1"/>
      <c r="F581" s="1"/>
      <c r="AM581" s="1"/>
    </row>
    <row r="582" ht="14.25" customHeight="1">
      <c r="B582" s="1"/>
      <c r="F582" s="1"/>
      <c r="AM582" s="1"/>
    </row>
    <row r="583" ht="14.25" customHeight="1">
      <c r="B583" s="1"/>
      <c r="F583" s="1"/>
      <c r="AM583" s="1"/>
    </row>
    <row r="584" ht="14.25" customHeight="1">
      <c r="B584" s="1"/>
      <c r="F584" s="1"/>
      <c r="AM584" s="1"/>
    </row>
    <row r="585" ht="14.25" customHeight="1">
      <c r="B585" s="1"/>
      <c r="F585" s="1"/>
      <c r="AM585" s="1"/>
    </row>
    <row r="586" ht="14.25" customHeight="1">
      <c r="B586" s="1"/>
      <c r="F586" s="1"/>
      <c r="AM586" s="1"/>
    </row>
    <row r="587" ht="14.25" customHeight="1">
      <c r="B587" s="1"/>
      <c r="F587" s="1"/>
      <c r="AM587" s="1"/>
    </row>
    <row r="588" ht="14.25" customHeight="1">
      <c r="B588" s="1"/>
      <c r="F588" s="1"/>
      <c r="AM588" s="1"/>
    </row>
    <row r="589" ht="14.25" customHeight="1">
      <c r="B589" s="1"/>
      <c r="F589" s="1"/>
      <c r="AM589" s="1"/>
    </row>
    <row r="590" ht="14.25" customHeight="1">
      <c r="B590" s="1"/>
      <c r="F590" s="1"/>
      <c r="AM590" s="1"/>
    </row>
    <row r="591" ht="14.25" customHeight="1">
      <c r="B591" s="1"/>
      <c r="F591" s="1"/>
      <c r="AM591" s="1"/>
    </row>
    <row r="592" ht="14.25" customHeight="1">
      <c r="B592" s="1"/>
      <c r="F592" s="1"/>
      <c r="AM592" s="1"/>
    </row>
    <row r="593" ht="14.25" customHeight="1">
      <c r="B593" s="1"/>
      <c r="F593" s="1"/>
      <c r="AM593" s="1"/>
    </row>
    <row r="594" ht="14.25" customHeight="1">
      <c r="B594" s="1"/>
      <c r="F594" s="1"/>
      <c r="AM594" s="1"/>
    </row>
    <row r="595" ht="14.25" customHeight="1">
      <c r="B595" s="1"/>
      <c r="F595" s="1"/>
      <c r="AM595" s="1"/>
    </row>
    <row r="596" ht="14.25" customHeight="1">
      <c r="B596" s="1"/>
      <c r="F596" s="1"/>
      <c r="AM596" s="1"/>
    </row>
    <row r="597" ht="14.25" customHeight="1">
      <c r="B597" s="1"/>
      <c r="F597" s="1"/>
      <c r="AM597" s="1"/>
    </row>
    <row r="598" ht="14.25" customHeight="1">
      <c r="B598" s="1"/>
      <c r="F598" s="1"/>
      <c r="AM598" s="1"/>
    </row>
    <row r="599" ht="14.25" customHeight="1">
      <c r="B599" s="1"/>
      <c r="F599" s="1"/>
      <c r="AM599" s="1"/>
    </row>
    <row r="600" ht="14.25" customHeight="1">
      <c r="B600" s="1"/>
      <c r="F600" s="1"/>
      <c r="AM600" s="1"/>
    </row>
    <row r="601" ht="14.25" customHeight="1">
      <c r="B601" s="1"/>
      <c r="F601" s="1"/>
      <c r="AM601" s="1"/>
    </row>
    <row r="602" ht="14.25" customHeight="1">
      <c r="B602" s="1"/>
      <c r="F602" s="1"/>
      <c r="AM602" s="1"/>
    </row>
    <row r="603" ht="14.25" customHeight="1">
      <c r="B603" s="1"/>
      <c r="F603" s="1"/>
      <c r="AM603" s="1"/>
    </row>
    <row r="604" ht="14.25" customHeight="1">
      <c r="B604" s="1"/>
      <c r="F604" s="1"/>
      <c r="AM604" s="1"/>
    </row>
    <row r="605" ht="14.25" customHeight="1">
      <c r="B605" s="1"/>
      <c r="F605" s="1"/>
      <c r="AM605" s="1"/>
    </row>
    <row r="606" ht="14.25" customHeight="1">
      <c r="B606" s="1"/>
      <c r="F606" s="1"/>
      <c r="AM606" s="1"/>
    </row>
    <row r="607" ht="14.25" customHeight="1">
      <c r="B607" s="1"/>
      <c r="F607" s="1"/>
      <c r="AM607" s="1"/>
    </row>
    <row r="608" ht="14.25" customHeight="1">
      <c r="B608" s="1"/>
      <c r="F608" s="1"/>
      <c r="AM608" s="1"/>
    </row>
    <row r="609" ht="14.25" customHeight="1">
      <c r="B609" s="1"/>
      <c r="F609" s="1"/>
      <c r="AM609" s="1"/>
    </row>
    <row r="610" ht="14.25" customHeight="1">
      <c r="B610" s="1"/>
      <c r="F610" s="1"/>
      <c r="AM610" s="1"/>
    </row>
    <row r="611" ht="14.25" customHeight="1">
      <c r="B611" s="1"/>
      <c r="F611" s="1"/>
      <c r="AM611" s="1"/>
    </row>
    <row r="612" ht="14.25" customHeight="1">
      <c r="B612" s="1"/>
      <c r="F612" s="1"/>
      <c r="AM612" s="1"/>
    </row>
    <row r="613" ht="14.25" customHeight="1">
      <c r="B613" s="1"/>
      <c r="F613" s="1"/>
      <c r="AM613" s="1"/>
    </row>
    <row r="614" ht="14.25" customHeight="1">
      <c r="B614" s="1"/>
      <c r="F614" s="1"/>
      <c r="AM614" s="1"/>
    </row>
    <row r="615" ht="14.25" customHeight="1">
      <c r="B615" s="1"/>
      <c r="F615" s="1"/>
      <c r="AM615" s="1"/>
    </row>
    <row r="616" ht="14.25" customHeight="1">
      <c r="B616" s="1"/>
      <c r="F616" s="1"/>
      <c r="AM616" s="1"/>
    </row>
    <row r="617" ht="14.25" customHeight="1">
      <c r="B617" s="1"/>
      <c r="F617" s="1"/>
      <c r="AM617" s="1"/>
    </row>
    <row r="618" ht="14.25" customHeight="1">
      <c r="B618" s="1"/>
      <c r="F618" s="1"/>
      <c r="AM618" s="1"/>
    </row>
    <row r="619" ht="14.25" customHeight="1">
      <c r="B619" s="1"/>
      <c r="F619" s="1"/>
      <c r="AM619" s="1"/>
    </row>
    <row r="620" ht="14.25" customHeight="1">
      <c r="B620" s="1"/>
      <c r="F620" s="1"/>
      <c r="AM620" s="1"/>
    </row>
    <row r="621" ht="14.25" customHeight="1">
      <c r="B621" s="1"/>
      <c r="F621" s="1"/>
      <c r="AM621" s="1"/>
    </row>
    <row r="622" ht="14.25" customHeight="1">
      <c r="B622" s="1"/>
      <c r="F622" s="1"/>
      <c r="AM622" s="1"/>
    </row>
    <row r="623" ht="14.25" customHeight="1">
      <c r="B623" s="1"/>
      <c r="F623" s="1"/>
      <c r="AM623" s="1"/>
    </row>
    <row r="624" ht="14.25" customHeight="1">
      <c r="B624" s="1"/>
      <c r="F624" s="1"/>
      <c r="AM624" s="1"/>
    </row>
    <row r="625" ht="14.25" customHeight="1">
      <c r="B625" s="1"/>
      <c r="F625" s="1"/>
      <c r="AM625" s="1"/>
    </row>
    <row r="626" ht="14.25" customHeight="1">
      <c r="B626" s="1"/>
      <c r="F626" s="1"/>
      <c r="AM626" s="1"/>
    </row>
    <row r="627" ht="14.25" customHeight="1">
      <c r="B627" s="1"/>
      <c r="F627" s="1"/>
      <c r="AM627" s="1"/>
    </row>
    <row r="628" ht="14.25" customHeight="1">
      <c r="B628" s="1"/>
      <c r="F628" s="1"/>
      <c r="AM628" s="1"/>
    </row>
    <row r="629" ht="14.25" customHeight="1">
      <c r="B629" s="1"/>
      <c r="F629" s="1"/>
      <c r="AM629" s="1"/>
    </row>
    <row r="630" ht="14.25" customHeight="1">
      <c r="B630" s="1"/>
      <c r="F630" s="1"/>
      <c r="AM630" s="1"/>
    </row>
    <row r="631" ht="14.25" customHeight="1">
      <c r="B631" s="1"/>
      <c r="F631" s="1"/>
      <c r="AM631" s="1"/>
    </row>
    <row r="632" ht="14.25" customHeight="1">
      <c r="B632" s="1"/>
      <c r="F632" s="1"/>
      <c r="AM632" s="1"/>
    </row>
    <row r="633" ht="14.25" customHeight="1">
      <c r="B633" s="1"/>
      <c r="F633" s="1"/>
      <c r="AM633" s="1"/>
    </row>
    <row r="634" ht="14.25" customHeight="1">
      <c r="B634" s="1"/>
      <c r="F634" s="1"/>
      <c r="AM634" s="1"/>
    </row>
    <row r="635" ht="14.25" customHeight="1">
      <c r="B635" s="1"/>
      <c r="F635" s="1"/>
      <c r="AM635" s="1"/>
    </row>
    <row r="636" ht="14.25" customHeight="1">
      <c r="B636" s="1"/>
      <c r="F636" s="1"/>
      <c r="AM636" s="1"/>
    </row>
    <row r="637" ht="14.25" customHeight="1">
      <c r="B637" s="1"/>
      <c r="F637" s="1"/>
      <c r="AM637" s="1"/>
    </row>
    <row r="638" ht="14.25" customHeight="1">
      <c r="B638" s="1"/>
      <c r="F638" s="1"/>
      <c r="AM638" s="1"/>
    </row>
    <row r="639" ht="14.25" customHeight="1">
      <c r="B639" s="1"/>
      <c r="F639" s="1"/>
      <c r="AM639" s="1"/>
    </row>
    <row r="640" ht="14.25" customHeight="1">
      <c r="B640" s="1"/>
      <c r="F640" s="1"/>
      <c r="AM640" s="1"/>
    </row>
    <row r="641" ht="14.25" customHeight="1">
      <c r="B641" s="1"/>
      <c r="F641" s="1"/>
      <c r="AM641" s="1"/>
    </row>
    <row r="642" ht="14.25" customHeight="1">
      <c r="B642" s="1"/>
      <c r="F642" s="1"/>
      <c r="AM642" s="1"/>
    </row>
    <row r="643" ht="14.25" customHeight="1">
      <c r="B643" s="1"/>
      <c r="F643" s="1"/>
      <c r="AM643" s="1"/>
    </row>
    <row r="644" ht="14.25" customHeight="1">
      <c r="B644" s="1"/>
      <c r="F644" s="1"/>
      <c r="AM644" s="1"/>
    </row>
    <row r="645" ht="14.25" customHeight="1">
      <c r="B645" s="1"/>
      <c r="F645" s="1"/>
      <c r="AM645" s="1"/>
    </row>
    <row r="646" ht="14.25" customHeight="1">
      <c r="B646" s="1"/>
      <c r="F646" s="1"/>
      <c r="AM646" s="1"/>
    </row>
    <row r="647" ht="14.25" customHeight="1">
      <c r="B647" s="1"/>
      <c r="F647" s="1"/>
      <c r="AM647" s="1"/>
    </row>
    <row r="648" ht="14.25" customHeight="1">
      <c r="B648" s="1"/>
      <c r="F648" s="1"/>
      <c r="AM648" s="1"/>
    </row>
    <row r="649" ht="14.25" customHeight="1">
      <c r="B649" s="1"/>
      <c r="F649" s="1"/>
      <c r="AM649" s="1"/>
    </row>
    <row r="650" ht="14.25" customHeight="1">
      <c r="B650" s="1"/>
      <c r="F650" s="1"/>
      <c r="AM650" s="1"/>
    </row>
    <row r="651" ht="14.25" customHeight="1">
      <c r="B651" s="1"/>
      <c r="F651" s="1"/>
      <c r="AM651" s="1"/>
    </row>
    <row r="652" ht="14.25" customHeight="1">
      <c r="B652" s="1"/>
      <c r="F652" s="1"/>
      <c r="AM652" s="1"/>
    </row>
    <row r="653" ht="14.25" customHeight="1">
      <c r="B653" s="1"/>
      <c r="F653" s="1"/>
      <c r="AM653" s="1"/>
    </row>
    <row r="654" ht="14.25" customHeight="1">
      <c r="B654" s="1"/>
      <c r="F654" s="1"/>
      <c r="AM654" s="1"/>
    </row>
    <row r="655" ht="14.25" customHeight="1">
      <c r="B655" s="1"/>
      <c r="F655" s="1"/>
      <c r="AM655" s="1"/>
    </row>
    <row r="656" ht="14.25" customHeight="1">
      <c r="B656" s="1"/>
      <c r="F656" s="1"/>
      <c r="AM656" s="1"/>
    </row>
    <row r="657" ht="14.25" customHeight="1">
      <c r="B657" s="1"/>
      <c r="F657" s="1"/>
      <c r="AM657" s="1"/>
    </row>
    <row r="658" ht="14.25" customHeight="1">
      <c r="B658" s="1"/>
      <c r="F658" s="1"/>
      <c r="AM658" s="1"/>
    </row>
    <row r="659" ht="14.25" customHeight="1">
      <c r="B659" s="1"/>
      <c r="F659" s="1"/>
      <c r="AM659" s="1"/>
    </row>
    <row r="660" ht="14.25" customHeight="1">
      <c r="B660" s="1"/>
      <c r="F660" s="1"/>
      <c r="AM660" s="1"/>
    </row>
    <row r="661" ht="14.25" customHeight="1">
      <c r="B661" s="1"/>
      <c r="F661" s="1"/>
      <c r="AM661" s="1"/>
    </row>
    <row r="662" ht="14.25" customHeight="1">
      <c r="B662" s="1"/>
      <c r="F662" s="1"/>
      <c r="AM662" s="1"/>
    </row>
    <row r="663" ht="14.25" customHeight="1">
      <c r="B663" s="1"/>
      <c r="F663" s="1"/>
      <c r="AM663" s="1"/>
    </row>
    <row r="664" ht="14.25" customHeight="1">
      <c r="B664" s="1"/>
      <c r="F664" s="1"/>
      <c r="AM664" s="1"/>
    </row>
    <row r="665" ht="14.25" customHeight="1">
      <c r="B665" s="1"/>
      <c r="F665" s="1"/>
      <c r="AM665" s="1"/>
    </row>
    <row r="666" ht="14.25" customHeight="1">
      <c r="B666" s="1"/>
      <c r="F666" s="1"/>
      <c r="AM666" s="1"/>
    </row>
    <row r="667" ht="14.25" customHeight="1">
      <c r="B667" s="1"/>
      <c r="F667" s="1"/>
      <c r="AM667" s="1"/>
    </row>
    <row r="668" ht="14.25" customHeight="1">
      <c r="B668" s="1"/>
      <c r="F668" s="1"/>
      <c r="AM668" s="1"/>
    </row>
    <row r="669" ht="14.25" customHeight="1">
      <c r="B669" s="1"/>
      <c r="F669" s="1"/>
      <c r="AM669" s="1"/>
    </row>
    <row r="670" ht="14.25" customHeight="1">
      <c r="B670" s="1"/>
      <c r="F670" s="1"/>
      <c r="AM670" s="1"/>
    </row>
    <row r="671" ht="14.25" customHeight="1">
      <c r="B671" s="1"/>
      <c r="F671" s="1"/>
      <c r="AM671" s="1"/>
    </row>
    <row r="672" ht="14.25" customHeight="1">
      <c r="B672" s="1"/>
      <c r="F672" s="1"/>
      <c r="AM672" s="1"/>
    </row>
    <row r="673" ht="14.25" customHeight="1">
      <c r="B673" s="1"/>
      <c r="F673" s="1"/>
      <c r="AM673" s="1"/>
    </row>
    <row r="674" ht="14.25" customHeight="1">
      <c r="B674" s="1"/>
      <c r="F674" s="1"/>
      <c r="AM674" s="1"/>
    </row>
    <row r="675" ht="14.25" customHeight="1">
      <c r="B675" s="1"/>
      <c r="F675" s="1"/>
      <c r="AM675" s="1"/>
    </row>
    <row r="676" ht="14.25" customHeight="1">
      <c r="B676" s="1"/>
      <c r="F676" s="1"/>
      <c r="AM676" s="1"/>
    </row>
    <row r="677" ht="14.25" customHeight="1">
      <c r="B677" s="1"/>
      <c r="F677" s="1"/>
      <c r="AM677" s="1"/>
    </row>
    <row r="678" ht="14.25" customHeight="1">
      <c r="B678" s="1"/>
      <c r="F678" s="1"/>
      <c r="AM678" s="1"/>
    </row>
    <row r="679" ht="14.25" customHeight="1">
      <c r="B679" s="1"/>
      <c r="F679" s="1"/>
      <c r="AM679" s="1"/>
    </row>
    <row r="680" ht="14.25" customHeight="1">
      <c r="B680" s="1"/>
      <c r="F680" s="1"/>
      <c r="AM680" s="1"/>
    </row>
    <row r="681" ht="14.25" customHeight="1">
      <c r="B681" s="1"/>
      <c r="F681" s="1"/>
      <c r="AM681" s="1"/>
    </row>
    <row r="682" ht="14.25" customHeight="1">
      <c r="B682" s="1"/>
      <c r="F682" s="1"/>
      <c r="AM682" s="1"/>
    </row>
    <row r="683" ht="14.25" customHeight="1">
      <c r="B683" s="1"/>
      <c r="F683" s="1"/>
      <c r="AM683" s="1"/>
    </row>
    <row r="684" ht="14.25" customHeight="1">
      <c r="B684" s="1"/>
      <c r="F684" s="1"/>
      <c r="AM684" s="1"/>
    </row>
    <row r="685" ht="14.25" customHeight="1">
      <c r="B685" s="1"/>
      <c r="F685" s="1"/>
      <c r="AM685" s="1"/>
    </row>
    <row r="686" ht="14.25" customHeight="1">
      <c r="B686" s="1"/>
      <c r="F686" s="1"/>
      <c r="AM686" s="1"/>
    </row>
    <row r="687" ht="14.25" customHeight="1">
      <c r="B687" s="1"/>
      <c r="F687" s="1"/>
      <c r="AM687" s="1"/>
    </row>
    <row r="688" ht="14.25" customHeight="1">
      <c r="B688" s="1"/>
      <c r="F688" s="1"/>
      <c r="AM688" s="1"/>
    </row>
    <row r="689" ht="14.25" customHeight="1">
      <c r="B689" s="1"/>
      <c r="F689" s="1"/>
      <c r="AM689" s="1"/>
    </row>
    <row r="690" ht="14.25" customHeight="1">
      <c r="B690" s="1"/>
      <c r="F690" s="1"/>
      <c r="AM690" s="1"/>
    </row>
    <row r="691" ht="14.25" customHeight="1">
      <c r="B691" s="1"/>
      <c r="F691" s="1"/>
      <c r="AM691" s="1"/>
    </row>
    <row r="692" ht="14.25" customHeight="1">
      <c r="B692" s="1"/>
      <c r="F692" s="1"/>
      <c r="AM692" s="1"/>
    </row>
    <row r="693" ht="14.25" customHeight="1">
      <c r="B693" s="1"/>
      <c r="F693" s="1"/>
      <c r="AM693" s="1"/>
    </row>
    <row r="694" ht="14.25" customHeight="1">
      <c r="B694" s="1"/>
      <c r="F694" s="1"/>
      <c r="AM694" s="1"/>
    </row>
    <row r="695" ht="14.25" customHeight="1">
      <c r="B695" s="1"/>
      <c r="F695" s="1"/>
      <c r="AM695" s="1"/>
    </row>
    <row r="696" ht="14.25" customHeight="1">
      <c r="B696" s="1"/>
      <c r="F696" s="1"/>
      <c r="AM696" s="1"/>
    </row>
    <row r="697" ht="14.25" customHeight="1">
      <c r="B697" s="1"/>
      <c r="F697" s="1"/>
      <c r="AM697" s="1"/>
    </row>
    <row r="698" ht="14.25" customHeight="1">
      <c r="B698" s="1"/>
      <c r="F698" s="1"/>
      <c r="AM698" s="1"/>
    </row>
    <row r="699" ht="14.25" customHeight="1">
      <c r="B699" s="1"/>
      <c r="F699" s="1"/>
      <c r="AM699" s="1"/>
    </row>
    <row r="700" ht="14.25" customHeight="1">
      <c r="B700" s="1"/>
      <c r="F700" s="1"/>
      <c r="AM700" s="1"/>
    </row>
    <row r="701" ht="14.25" customHeight="1">
      <c r="B701" s="1"/>
      <c r="F701" s="1"/>
      <c r="AM701" s="1"/>
    </row>
    <row r="702" ht="14.25" customHeight="1">
      <c r="B702" s="1"/>
      <c r="F702" s="1"/>
      <c r="AM702" s="1"/>
    </row>
    <row r="703" ht="14.25" customHeight="1">
      <c r="B703" s="1"/>
      <c r="F703" s="1"/>
      <c r="AM703" s="1"/>
    </row>
    <row r="704" ht="14.25" customHeight="1">
      <c r="B704" s="1"/>
      <c r="F704" s="1"/>
      <c r="AM704" s="1"/>
    </row>
    <row r="705" ht="14.25" customHeight="1">
      <c r="B705" s="1"/>
      <c r="F705" s="1"/>
      <c r="AM705" s="1"/>
    </row>
    <row r="706" ht="14.25" customHeight="1">
      <c r="B706" s="1"/>
      <c r="F706" s="1"/>
      <c r="AM706" s="1"/>
    </row>
    <row r="707" ht="14.25" customHeight="1">
      <c r="B707" s="1"/>
      <c r="F707" s="1"/>
      <c r="AM707" s="1"/>
    </row>
    <row r="708" ht="14.25" customHeight="1">
      <c r="B708" s="1"/>
      <c r="F708" s="1"/>
      <c r="AM708" s="1"/>
    </row>
    <row r="709" ht="14.25" customHeight="1">
      <c r="B709" s="1"/>
      <c r="F709" s="1"/>
      <c r="AM709" s="1"/>
    </row>
    <row r="710" ht="14.25" customHeight="1">
      <c r="B710" s="1"/>
      <c r="F710" s="1"/>
      <c r="AM710" s="1"/>
    </row>
    <row r="711" ht="14.25" customHeight="1">
      <c r="B711" s="1"/>
      <c r="F711" s="1"/>
      <c r="AM711" s="1"/>
    </row>
    <row r="712" ht="14.25" customHeight="1">
      <c r="B712" s="1"/>
      <c r="F712" s="1"/>
      <c r="AM712" s="1"/>
    </row>
    <row r="713" ht="14.25" customHeight="1">
      <c r="B713" s="1"/>
      <c r="F713" s="1"/>
      <c r="AM713" s="1"/>
    </row>
    <row r="714" ht="14.25" customHeight="1">
      <c r="B714" s="1"/>
      <c r="F714" s="1"/>
      <c r="AM714" s="1"/>
    </row>
    <row r="715" ht="14.25" customHeight="1">
      <c r="B715" s="1"/>
      <c r="F715" s="1"/>
      <c r="AM715" s="1"/>
    </row>
    <row r="716" ht="14.25" customHeight="1">
      <c r="B716" s="1"/>
      <c r="F716" s="1"/>
      <c r="AM716" s="1"/>
    </row>
    <row r="717" ht="14.25" customHeight="1">
      <c r="B717" s="1"/>
      <c r="F717" s="1"/>
      <c r="AM717" s="1"/>
    </row>
    <row r="718" ht="14.25" customHeight="1">
      <c r="B718" s="1"/>
      <c r="F718" s="1"/>
      <c r="AM718" s="1"/>
    </row>
    <row r="719" ht="14.25" customHeight="1">
      <c r="B719" s="1"/>
      <c r="F719" s="1"/>
      <c r="AM719" s="1"/>
    </row>
    <row r="720" ht="14.25" customHeight="1">
      <c r="B720" s="1"/>
      <c r="F720" s="1"/>
      <c r="AM720" s="1"/>
    </row>
    <row r="721" ht="14.25" customHeight="1">
      <c r="B721" s="1"/>
      <c r="F721" s="1"/>
      <c r="AM721" s="1"/>
    </row>
    <row r="722" ht="14.25" customHeight="1">
      <c r="B722" s="1"/>
      <c r="F722" s="1"/>
      <c r="AM722" s="1"/>
    </row>
    <row r="723" ht="14.25" customHeight="1">
      <c r="B723" s="1"/>
      <c r="F723" s="1"/>
      <c r="AM723" s="1"/>
    </row>
    <row r="724" ht="14.25" customHeight="1">
      <c r="B724" s="1"/>
      <c r="F724" s="1"/>
      <c r="AM724" s="1"/>
    </row>
    <row r="725" ht="14.25" customHeight="1">
      <c r="B725" s="1"/>
      <c r="F725" s="1"/>
      <c r="AM725" s="1"/>
    </row>
    <row r="726" ht="14.25" customHeight="1">
      <c r="B726" s="1"/>
      <c r="F726" s="1"/>
      <c r="AM726" s="1"/>
    </row>
    <row r="727" ht="14.25" customHeight="1">
      <c r="B727" s="1"/>
      <c r="F727" s="1"/>
      <c r="AM727" s="1"/>
    </row>
    <row r="728" ht="14.25" customHeight="1">
      <c r="B728" s="1"/>
      <c r="F728" s="1"/>
      <c r="AM728" s="1"/>
    </row>
    <row r="729" ht="14.25" customHeight="1">
      <c r="B729" s="1"/>
      <c r="F729" s="1"/>
      <c r="AM729" s="1"/>
    </row>
    <row r="730" ht="14.25" customHeight="1">
      <c r="B730" s="1"/>
      <c r="F730" s="1"/>
      <c r="AM730" s="1"/>
    </row>
    <row r="731" ht="14.25" customHeight="1">
      <c r="B731" s="1"/>
      <c r="F731" s="1"/>
      <c r="AM731" s="1"/>
    </row>
    <row r="732" ht="14.25" customHeight="1">
      <c r="B732" s="1"/>
      <c r="F732" s="1"/>
      <c r="AM732" s="1"/>
    </row>
    <row r="733" ht="14.25" customHeight="1">
      <c r="B733" s="1"/>
      <c r="F733" s="1"/>
      <c r="AM733" s="1"/>
    </row>
    <row r="734" ht="14.25" customHeight="1">
      <c r="B734" s="1"/>
      <c r="F734" s="1"/>
      <c r="AM734" s="1"/>
    </row>
    <row r="735" ht="14.25" customHeight="1">
      <c r="B735" s="1"/>
      <c r="F735" s="1"/>
      <c r="AM735" s="1"/>
    </row>
    <row r="736" ht="14.25" customHeight="1">
      <c r="B736" s="1"/>
      <c r="F736" s="1"/>
      <c r="AM736" s="1"/>
    </row>
    <row r="737" ht="14.25" customHeight="1">
      <c r="B737" s="1"/>
      <c r="F737" s="1"/>
      <c r="AM737" s="1"/>
    </row>
    <row r="738" ht="14.25" customHeight="1">
      <c r="B738" s="1"/>
      <c r="F738" s="1"/>
      <c r="AM738" s="1"/>
    </row>
    <row r="739" ht="14.25" customHeight="1">
      <c r="B739" s="1"/>
      <c r="F739" s="1"/>
      <c r="AM739" s="1"/>
    </row>
    <row r="740" ht="14.25" customHeight="1">
      <c r="B740" s="1"/>
      <c r="F740" s="1"/>
      <c r="AM740" s="1"/>
    </row>
    <row r="741" ht="14.25" customHeight="1">
      <c r="B741" s="1"/>
      <c r="F741" s="1"/>
      <c r="AM741" s="1"/>
    </row>
    <row r="742" ht="14.25" customHeight="1">
      <c r="B742" s="1"/>
      <c r="F742" s="1"/>
      <c r="AM742" s="1"/>
    </row>
    <row r="743" ht="14.25" customHeight="1">
      <c r="B743" s="1"/>
      <c r="F743" s="1"/>
      <c r="AM743" s="1"/>
    </row>
    <row r="744" ht="14.25" customHeight="1">
      <c r="B744" s="1"/>
      <c r="F744" s="1"/>
      <c r="AM744" s="1"/>
    </row>
    <row r="745" ht="14.25" customHeight="1">
      <c r="B745" s="1"/>
      <c r="F745" s="1"/>
      <c r="AM745" s="1"/>
    </row>
    <row r="746" ht="14.25" customHeight="1">
      <c r="B746" s="1"/>
      <c r="F746" s="1"/>
      <c r="AM746" s="1"/>
    </row>
    <row r="747" ht="14.25" customHeight="1">
      <c r="B747" s="1"/>
      <c r="F747" s="1"/>
      <c r="AM747" s="1"/>
    </row>
    <row r="748" ht="14.25" customHeight="1">
      <c r="B748" s="1"/>
      <c r="F748" s="1"/>
      <c r="AM748" s="1"/>
    </row>
    <row r="749" ht="14.25" customHeight="1">
      <c r="B749" s="1"/>
      <c r="F749" s="1"/>
      <c r="AM749" s="1"/>
    </row>
    <row r="750" ht="14.25" customHeight="1">
      <c r="B750" s="1"/>
      <c r="F750" s="1"/>
      <c r="AM750" s="1"/>
    </row>
    <row r="751" ht="14.25" customHeight="1">
      <c r="B751" s="1"/>
      <c r="F751" s="1"/>
      <c r="AM751" s="1"/>
    </row>
    <row r="752" ht="14.25" customHeight="1">
      <c r="B752" s="1"/>
      <c r="F752" s="1"/>
      <c r="AM752" s="1"/>
    </row>
    <row r="753" ht="14.25" customHeight="1">
      <c r="B753" s="1"/>
      <c r="F753" s="1"/>
      <c r="AM753" s="1"/>
    </row>
    <row r="754" ht="14.25" customHeight="1">
      <c r="B754" s="1"/>
      <c r="F754" s="1"/>
      <c r="AM754" s="1"/>
    </row>
    <row r="755" ht="14.25" customHeight="1">
      <c r="B755" s="1"/>
      <c r="F755" s="1"/>
      <c r="AM755" s="1"/>
    </row>
    <row r="756" ht="14.25" customHeight="1">
      <c r="B756" s="1"/>
      <c r="F756" s="1"/>
      <c r="AM756" s="1"/>
    </row>
    <row r="757" ht="14.25" customHeight="1">
      <c r="B757" s="1"/>
      <c r="F757" s="1"/>
      <c r="AM757" s="1"/>
    </row>
    <row r="758" ht="14.25" customHeight="1">
      <c r="B758" s="1"/>
      <c r="F758" s="1"/>
      <c r="AM758" s="1"/>
    </row>
    <row r="759" ht="14.25" customHeight="1">
      <c r="B759" s="1"/>
      <c r="F759" s="1"/>
      <c r="AM759" s="1"/>
    </row>
    <row r="760" ht="14.25" customHeight="1">
      <c r="B760" s="1"/>
      <c r="F760" s="1"/>
      <c r="AM760" s="1"/>
    </row>
    <row r="761" ht="14.25" customHeight="1">
      <c r="B761" s="1"/>
      <c r="F761" s="1"/>
      <c r="AM761" s="1"/>
    </row>
    <row r="762" ht="14.25" customHeight="1">
      <c r="B762" s="1"/>
      <c r="F762" s="1"/>
      <c r="AM762" s="1"/>
    </row>
    <row r="763" ht="14.25" customHeight="1">
      <c r="B763" s="1"/>
      <c r="F763" s="1"/>
      <c r="AM763" s="1"/>
    </row>
    <row r="764" ht="14.25" customHeight="1">
      <c r="B764" s="1"/>
      <c r="F764" s="1"/>
      <c r="AM764" s="1"/>
    </row>
    <row r="765" ht="14.25" customHeight="1">
      <c r="B765" s="1"/>
      <c r="F765" s="1"/>
      <c r="AM765" s="1"/>
    </row>
    <row r="766" ht="14.25" customHeight="1">
      <c r="B766" s="1"/>
      <c r="F766" s="1"/>
      <c r="AM766" s="1"/>
    </row>
    <row r="767" ht="14.25" customHeight="1">
      <c r="B767" s="1"/>
      <c r="F767" s="1"/>
      <c r="AM767" s="1"/>
    </row>
    <row r="768" ht="14.25" customHeight="1">
      <c r="B768" s="1"/>
      <c r="F768" s="1"/>
      <c r="AM768" s="1"/>
    </row>
    <row r="769" ht="14.25" customHeight="1">
      <c r="B769" s="1"/>
      <c r="F769" s="1"/>
      <c r="AM769" s="1"/>
    </row>
    <row r="770" ht="14.25" customHeight="1">
      <c r="B770" s="1"/>
      <c r="F770" s="1"/>
      <c r="AM770" s="1"/>
    </row>
    <row r="771" ht="14.25" customHeight="1">
      <c r="B771" s="1"/>
      <c r="F771" s="1"/>
      <c r="AM771" s="1"/>
    </row>
    <row r="772" ht="14.25" customHeight="1">
      <c r="B772" s="1"/>
      <c r="F772" s="1"/>
      <c r="AM772" s="1"/>
    </row>
    <row r="773" ht="14.25" customHeight="1">
      <c r="B773" s="1"/>
      <c r="F773" s="1"/>
      <c r="AM773" s="1"/>
    </row>
    <row r="774" ht="14.25" customHeight="1">
      <c r="B774" s="1"/>
      <c r="F774" s="1"/>
      <c r="AM774" s="1"/>
    </row>
    <row r="775" ht="14.25" customHeight="1">
      <c r="B775" s="1"/>
      <c r="F775" s="1"/>
      <c r="AM775" s="1"/>
    </row>
    <row r="776" ht="14.25" customHeight="1">
      <c r="B776" s="1"/>
      <c r="F776" s="1"/>
      <c r="AM776" s="1"/>
    </row>
    <row r="777" ht="14.25" customHeight="1">
      <c r="B777" s="1"/>
      <c r="F777" s="1"/>
      <c r="AM777" s="1"/>
    </row>
    <row r="778" ht="14.25" customHeight="1">
      <c r="B778" s="1"/>
      <c r="F778" s="1"/>
      <c r="AM778" s="1"/>
    </row>
    <row r="779" ht="14.25" customHeight="1">
      <c r="B779" s="1"/>
      <c r="F779" s="1"/>
      <c r="AM779" s="1"/>
    </row>
    <row r="780" ht="14.25" customHeight="1">
      <c r="B780" s="1"/>
      <c r="F780" s="1"/>
      <c r="AM780" s="1"/>
    </row>
    <row r="781" ht="14.25" customHeight="1">
      <c r="B781" s="1"/>
      <c r="F781" s="1"/>
      <c r="AM781" s="1"/>
    </row>
    <row r="782" ht="14.25" customHeight="1">
      <c r="B782" s="1"/>
      <c r="F782" s="1"/>
      <c r="AM782" s="1"/>
    </row>
    <row r="783" ht="14.25" customHeight="1">
      <c r="B783" s="1"/>
      <c r="F783" s="1"/>
      <c r="AM783" s="1"/>
    </row>
    <row r="784" ht="14.25" customHeight="1">
      <c r="B784" s="1"/>
      <c r="F784" s="1"/>
      <c r="AM784" s="1"/>
    </row>
    <row r="785" ht="14.25" customHeight="1">
      <c r="B785" s="1"/>
      <c r="F785" s="1"/>
      <c r="AM785" s="1"/>
    </row>
    <row r="786" ht="14.25" customHeight="1">
      <c r="B786" s="1"/>
      <c r="F786" s="1"/>
      <c r="AM786" s="1"/>
    </row>
    <row r="787" ht="14.25" customHeight="1">
      <c r="B787" s="1"/>
      <c r="F787" s="1"/>
      <c r="AM787" s="1"/>
    </row>
    <row r="788" ht="14.25" customHeight="1">
      <c r="B788" s="1"/>
      <c r="F788" s="1"/>
      <c r="AM788" s="1"/>
    </row>
    <row r="789" ht="14.25" customHeight="1">
      <c r="B789" s="1"/>
      <c r="F789" s="1"/>
      <c r="AM789" s="1"/>
    </row>
    <row r="790" ht="14.25" customHeight="1">
      <c r="B790" s="1"/>
      <c r="F790" s="1"/>
      <c r="AM790" s="1"/>
    </row>
    <row r="791" ht="14.25" customHeight="1">
      <c r="B791" s="1"/>
      <c r="F791" s="1"/>
      <c r="AM791" s="1"/>
    </row>
    <row r="792" ht="14.25" customHeight="1">
      <c r="B792" s="1"/>
      <c r="F792" s="1"/>
      <c r="AM792" s="1"/>
    </row>
    <row r="793" ht="14.25" customHeight="1">
      <c r="B793" s="1"/>
      <c r="F793" s="1"/>
      <c r="AM793" s="1"/>
    </row>
    <row r="794" ht="14.25" customHeight="1">
      <c r="B794" s="1"/>
      <c r="F794" s="1"/>
      <c r="AM794" s="1"/>
    </row>
    <row r="795" ht="14.25" customHeight="1">
      <c r="B795" s="1"/>
      <c r="F795" s="1"/>
      <c r="AM795" s="1"/>
    </row>
    <row r="796" ht="14.25" customHeight="1">
      <c r="B796" s="1"/>
      <c r="F796" s="1"/>
      <c r="AM796" s="1"/>
    </row>
    <row r="797" ht="14.25" customHeight="1">
      <c r="B797" s="1"/>
      <c r="F797" s="1"/>
      <c r="AM797" s="1"/>
    </row>
    <row r="798" ht="14.25" customHeight="1">
      <c r="B798" s="1"/>
      <c r="F798" s="1"/>
      <c r="AM798" s="1"/>
    </row>
    <row r="799" ht="14.25" customHeight="1">
      <c r="B799" s="1"/>
      <c r="F799" s="1"/>
      <c r="AM799" s="1"/>
    </row>
    <row r="800" ht="14.25" customHeight="1">
      <c r="B800" s="1"/>
      <c r="F800" s="1"/>
      <c r="AM800" s="1"/>
    </row>
    <row r="801" ht="14.25" customHeight="1">
      <c r="B801" s="1"/>
      <c r="F801" s="1"/>
      <c r="AM801" s="1"/>
    </row>
    <row r="802" ht="14.25" customHeight="1">
      <c r="B802" s="1"/>
      <c r="F802" s="1"/>
      <c r="AM802" s="1"/>
    </row>
    <row r="803" ht="14.25" customHeight="1">
      <c r="B803" s="1"/>
      <c r="F803" s="1"/>
      <c r="AM803" s="1"/>
    </row>
    <row r="804" ht="14.25" customHeight="1">
      <c r="B804" s="1"/>
      <c r="F804" s="1"/>
      <c r="AM804" s="1"/>
    </row>
    <row r="805" ht="14.25" customHeight="1">
      <c r="B805" s="1"/>
      <c r="F805" s="1"/>
      <c r="AM805" s="1"/>
    </row>
    <row r="806" ht="14.25" customHeight="1">
      <c r="B806" s="1"/>
      <c r="F806" s="1"/>
      <c r="AM806" s="1"/>
    </row>
    <row r="807" ht="14.25" customHeight="1">
      <c r="B807" s="1"/>
      <c r="F807" s="1"/>
      <c r="AM807" s="1"/>
    </row>
    <row r="808" ht="14.25" customHeight="1">
      <c r="B808" s="1"/>
      <c r="F808" s="1"/>
      <c r="AM808" s="1"/>
    </row>
    <row r="809" ht="14.25" customHeight="1">
      <c r="B809" s="1"/>
      <c r="F809" s="1"/>
      <c r="AM809" s="1"/>
    </row>
    <row r="810" ht="14.25" customHeight="1">
      <c r="B810" s="1"/>
      <c r="F810" s="1"/>
      <c r="AM810" s="1"/>
    </row>
    <row r="811" ht="14.25" customHeight="1">
      <c r="B811" s="1"/>
      <c r="F811" s="1"/>
      <c r="AM811" s="1"/>
    </row>
    <row r="812" ht="14.25" customHeight="1">
      <c r="B812" s="1"/>
      <c r="F812" s="1"/>
      <c r="AM812" s="1"/>
    </row>
    <row r="813" ht="14.25" customHeight="1">
      <c r="B813" s="1"/>
      <c r="F813" s="1"/>
      <c r="AM813" s="1"/>
    </row>
    <row r="814" ht="14.25" customHeight="1">
      <c r="B814" s="1"/>
      <c r="F814" s="1"/>
      <c r="AM814" s="1"/>
    </row>
    <row r="815" ht="14.25" customHeight="1">
      <c r="B815" s="1"/>
      <c r="F815" s="1"/>
      <c r="AM815" s="1"/>
    </row>
    <row r="816" ht="14.25" customHeight="1">
      <c r="B816" s="1"/>
      <c r="F816" s="1"/>
      <c r="AM816" s="1"/>
    </row>
    <row r="817" ht="14.25" customHeight="1">
      <c r="B817" s="1"/>
      <c r="F817" s="1"/>
      <c r="AM817" s="1"/>
    </row>
    <row r="818" ht="14.25" customHeight="1">
      <c r="B818" s="1"/>
      <c r="F818" s="1"/>
      <c r="AM818" s="1"/>
    </row>
    <row r="819" ht="14.25" customHeight="1">
      <c r="B819" s="1"/>
      <c r="F819" s="1"/>
      <c r="AM819" s="1"/>
    </row>
    <row r="820" ht="14.25" customHeight="1">
      <c r="B820" s="1"/>
      <c r="F820" s="1"/>
      <c r="AM820" s="1"/>
    </row>
    <row r="821" ht="14.25" customHeight="1">
      <c r="B821" s="1"/>
      <c r="F821" s="1"/>
      <c r="AM821" s="1"/>
    </row>
    <row r="822" ht="14.25" customHeight="1">
      <c r="B822" s="1"/>
      <c r="F822" s="1"/>
      <c r="AM822" s="1"/>
    </row>
    <row r="823" ht="14.25" customHeight="1">
      <c r="B823" s="1"/>
      <c r="F823" s="1"/>
      <c r="AM823" s="1"/>
    </row>
    <row r="824" ht="14.25" customHeight="1">
      <c r="B824" s="1"/>
      <c r="F824" s="1"/>
      <c r="AM824" s="1"/>
    </row>
    <row r="825" ht="14.25" customHeight="1">
      <c r="B825" s="1"/>
      <c r="F825" s="1"/>
      <c r="AM825" s="1"/>
    </row>
    <row r="826" ht="14.25" customHeight="1">
      <c r="B826" s="1"/>
      <c r="F826" s="1"/>
      <c r="AM826" s="1"/>
    </row>
    <row r="827" ht="14.25" customHeight="1">
      <c r="B827" s="1"/>
      <c r="F827" s="1"/>
      <c r="AM827" s="1"/>
    </row>
    <row r="828" ht="14.25" customHeight="1">
      <c r="B828" s="1"/>
      <c r="F828" s="1"/>
      <c r="AM828" s="1"/>
    </row>
    <row r="829" ht="14.25" customHeight="1">
      <c r="B829" s="1"/>
      <c r="F829" s="1"/>
      <c r="AM829" s="1"/>
    </row>
    <row r="830" ht="14.25" customHeight="1">
      <c r="B830" s="1"/>
      <c r="F830" s="1"/>
      <c r="AM830" s="1"/>
    </row>
    <row r="831" ht="14.25" customHeight="1">
      <c r="B831" s="1"/>
      <c r="F831" s="1"/>
      <c r="AM831" s="1"/>
    </row>
    <row r="832" ht="14.25" customHeight="1">
      <c r="B832" s="1"/>
      <c r="F832" s="1"/>
      <c r="AM832" s="1"/>
    </row>
    <row r="833" ht="14.25" customHeight="1">
      <c r="B833" s="1"/>
      <c r="F833" s="1"/>
      <c r="AM833" s="1"/>
    </row>
    <row r="834" ht="14.25" customHeight="1">
      <c r="B834" s="1"/>
      <c r="F834" s="1"/>
      <c r="AM834" s="1"/>
    </row>
    <row r="835" ht="14.25" customHeight="1">
      <c r="B835" s="1"/>
      <c r="F835" s="1"/>
      <c r="AM835" s="1"/>
    </row>
    <row r="836" ht="14.25" customHeight="1">
      <c r="B836" s="1"/>
      <c r="F836" s="1"/>
      <c r="AM836" s="1"/>
    </row>
    <row r="837" ht="14.25" customHeight="1">
      <c r="B837" s="1"/>
      <c r="F837" s="1"/>
      <c r="AM837" s="1"/>
    </row>
    <row r="838" ht="14.25" customHeight="1">
      <c r="B838" s="1"/>
      <c r="F838" s="1"/>
      <c r="AM838" s="1"/>
    </row>
    <row r="839" ht="14.25" customHeight="1">
      <c r="B839" s="1"/>
      <c r="F839" s="1"/>
      <c r="AM839" s="1"/>
    </row>
    <row r="840" ht="14.25" customHeight="1">
      <c r="B840" s="1"/>
      <c r="F840" s="1"/>
      <c r="AM840" s="1"/>
    </row>
    <row r="841" ht="14.25" customHeight="1">
      <c r="B841" s="1"/>
      <c r="F841" s="1"/>
      <c r="AM841" s="1"/>
    </row>
    <row r="842" ht="14.25" customHeight="1">
      <c r="B842" s="1"/>
      <c r="F842" s="1"/>
      <c r="AM842" s="1"/>
    </row>
    <row r="843" ht="14.25" customHeight="1">
      <c r="B843" s="1"/>
      <c r="F843" s="1"/>
      <c r="AM843" s="1"/>
    </row>
    <row r="844" ht="14.25" customHeight="1">
      <c r="B844" s="1"/>
      <c r="F844" s="1"/>
      <c r="AM844" s="1"/>
    </row>
    <row r="845" ht="14.25" customHeight="1">
      <c r="B845" s="1"/>
      <c r="F845" s="1"/>
      <c r="AM845" s="1"/>
    </row>
    <row r="846" ht="14.25" customHeight="1">
      <c r="B846" s="1"/>
      <c r="F846" s="1"/>
      <c r="AM846" s="1"/>
    </row>
    <row r="847" ht="14.25" customHeight="1">
      <c r="B847" s="1"/>
      <c r="F847" s="1"/>
      <c r="AM847" s="1"/>
    </row>
    <row r="848" ht="14.25" customHeight="1">
      <c r="B848" s="1"/>
      <c r="F848" s="1"/>
      <c r="AM848" s="1"/>
    </row>
    <row r="849" ht="14.25" customHeight="1">
      <c r="B849" s="1"/>
      <c r="F849" s="1"/>
      <c r="AM849" s="1"/>
    </row>
    <row r="850" ht="14.25" customHeight="1">
      <c r="B850" s="1"/>
      <c r="F850" s="1"/>
      <c r="AM850" s="1"/>
    </row>
    <row r="851" ht="14.25" customHeight="1">
      <c r="B851" s="1"/>
      <c r="F851" s="1"/>
      <c r="AM851" s="1"/>
    </row>
    <row r="852" ht="14.25" customHeight="1">
      <c r="B852" s="1"/>
      <c r="F852" s="1"/>
      <c r="AM852" s="1"/>
    </row>
    <row r="853" ht="14.25" customHeight="1">
      <c r="B853" s="1"/>
      <c r="F853" s="1"/>
      <c r="AM853" s="1"/>
    </row>
    <row r="854" ht="14.25" customHeight="1">
      <c r="B854" s="1"/>
      <c r="F854" s="1"/>
      <c r="AM854" s="1"/>
    </row>
    <row r="855" ht="14.25" customHeight="1">
      <c r="B855" s="1"/>
      <c r="F855" s="1"/>
      <c r="AM855" s="1"/>
    </row>
    <row r="856" ht="14.25" customHeight="1">
      <c r="B856" s="1"/>
      <c r="F856" s="1"/>
      <c r="AM856" s="1"/>
    </row>
    <row r="857" ht="14.25" customHeight="1">
      <c r="B857" s="1"/>
      <c r="F857" s="1"/>
      <c r="AM857" s="1"/>
    </row>
    <row r="858" ht="14.25" customHeight="1">
      <c r="B858" s="1"/>
      <c r="F858" s="1"/>
      <c r="AM858" s="1"/>
    </row>
    <row r="859" ht="14.25" customHeight="1">
      <c r="B859" s="1"/>
      <c r="F859" s="1"/>
      <c r="AM859" s="1"/>
    </row>
    <row r="860" ht="14.25" customHeight="1">
      <c r="B860" s="1"/>
      <c r="F860" s="1"/>
      <c r="AM860" s="1"/>
    </row>
    <row r="861" ht="14.25" customHeight="1">
      <c r="B861" s="1"/>
      <c r="F861" s="1"/>
      <c r="AM861" s="1"/>
    </row>
    <row r="862" ht="14.25" customHeight="1">
      <c r="B862" s="1"/>
      <c r="F862" s="1"/>
      <c r="AM862" s="1"/>
    </row>
    <row r="863" ht="14.25" customHeight="1">
      <c r="B863" s="1"/>
      <c r="F863" s="1"/>
      <c r="AM863" s="1"/>
    </row>
    <row r="864" ht="14.25" customHeight="1">
      <c r="B864" s="1"/>
      <c r="F864" s="1"/>
      <c r="AM864" s="1"/>
    </row>
    <row r="865" ht="14.25" customHeight="1">
      <c r="B865" s="1"/>
      <c r="F865" s="1"/>
      <c r="AM865" s="1"/>
    </row>
    <row r="866" ht="14.25" customHeight="1">
      <c r="B866" s="1"/>
      <c r="F866" s="1"/>
      <c r="AM866" s="1"/>
    </row>
    <row r="867" ht="14.25" customHeight="1">
      <c r="B867" s="1"/>
      <c r="F867" s="1"/>
      <c r="AM867" s="1"/>
    </row>
    <row r="868" ht="14.25" customHeight="1">
      <c r="B868" s="1"/>
      <c r="F868" s="1"/>
      <c r="AM868" s="1"/>
    </row>
    <row r="869" ht="14.25" customHeight="1">
      <c r="B869" s="1"/>
      <c r="F869" s="1"/>
      <c r="AM869" s="1"/>
    </row>
    <row r="870" ht="14.25" customHeight="1">
      <c r="B870" s="1"/>
      <c r="F870" s="1"/>
      <c r="AM870" s="1"/>
    </row>
    <row r="871" ht="14.25" customHeight="1">
      <c r="B871" s="1"/>
      <c r="F871" s="1"/>
      <c r="AM871" s="1"/>
    </row>
    <row r="872" ht="14.25" customHeight="1">
      <c r="B872" s="1"/>
      <c r="F872" s="1"/>
      <c r="AM872" s="1"/>
    </row>
    <row r="873" ht="14.25" customHeight="1">
      <c r="B873" s="1"/>
      <c r="F873" s="1"/>
      <c r="AM873" s="1"/>
    </row>
    <row r="874" ht="14.25" customHeight="1">
      <c r="B874" s="1"/>
      <c r="F874" s="1"/>
      <c r="AM874" s="1"/>
    </row>
    <row r="875" ht="14.25" customHeight="1">
      <c r="B875" s="1"/>
      <c r="F875" s="1"/>
      <c r="AM875" s="1"/>
    </row>
    <row r="876" ht="14.25" customHeight="1">
      <c r="B876" s="1"/>
      <c r="F876" s="1"/>
      <c r="AM876" s="1"/>
    </row>
    <row r="877" ht="14.25" customHeight="1">
      <c r="B877" s="1"/>
      <c r="F877" s="1"/>
      <c r="AM877" s="1"/>
    </row>
    <row r="878" ht="14.25" customHeight="1">
      <c r="B878" s="1"/>
      <c r="F878" s="1"/>
      <c r="AM878" s="1"/>
    </row>
    <row r="879" ht="14.25" customHeight="1">
      <c r="B879" s="1"/>
      <c r="F879" s="1"/>
      <c r="AM879" s="1"/>
    </row>
    <row r="880" ht="14.25" customHeight="1">
      <c r="B880" s="1"/>
      <c r="F880" s="1"/>
      <c r="AM880" s="1"/>
    </row>
    <row r="881" ht="14.25" customHeight="1">
      <c r="B881" s="1"/>
      <c r="F881" s="1"/>
      <c r="AM881" s="1"/>
    </row>
    <row r="882" ht="14.25" customHeight="1">
      <c r="B882" s="1"/>
      <c r="F882" s="1"/>
      <c r="AM882" s="1"/>
    </row>
    <row r="883" ht="14.25" customHeight="1">
      <c r="B883" s="1"/>
      <c r="F883" s="1"/>
      <c r="AM883" s="1"/>
    </row>
    <row r="884" ht="14.25" customHeight="1">
      <c r="B884" s="1"/>
      <c r="F884" s="1"/>
      <c r="AM884" s="1"/>
    </row>
    <row r="885" ht="14.25" customHeight="1">
      <c r="B885" s="1"/>
      <c r="F885" s="1"/>
      <c r="AM885" s="1"/>
    </row>
    <row r="886" ht="14.25" customHeight="1">
      <c r="B886" s="1"/>
      <c r="F886" s="1"/>
      <c r="AM886" s="1"/>
    </row>
    <row r="887" ht="14.25" customHeight="1">
      <c r="B887" s="1"/>
      <c r="F887" s="1"/>
      <c r="AM887" s="1"/>
    </row>
    <row r="888" ht="14.25" customHeight="1">
      <c r="B888" s="1"/>
      <c r="F888" s="1"/>
      <c r="AM888" s="1"/>
    </row>
    <row r="889" ht="14.25" customHeight="1">
      <c r="B889" s="1"/>
      <c r="F889" s="1"/>
      <c r="AM889" s="1"/>
    </row>
    <row r="890" ht="14.25" customHeight="1">
      <c r="B890" s="1"/>
      <c r="F890" s="1"/>
      <c r="AM890" s="1"/>
    </row>
    <row r="891" ht="14.25" customHeight="1">
      <c r="B891" s="1"/>
      <c r="F891" s="1"/>
      <c r="AM891" s="1"/>
    </row>
    <row r="892" ht="14.25" customHeight="1">
      <c r="B892" s="1"/>
      <c r="F892" s="1"/>
      <c r="AM892" s="1"/>
    </row>
    <row r="893" ht="14.25" customHeight="1">
      <c r="B893" s="1"/>
      <c r="F893" s="1"/>
      <c r="AM893" s="1"/>
    </row>
    <row r="894" ht="14.25" customHeight="1">
      <c r="B894" s="1"/>
      <c r="F894" s="1"/>
      <c r="AM894" s="1"/>
    </row>
    <row r="895" ht="14.25" customHeight="1">
      <c r="B895" s="1"/>
      <c r="F895" s="1"/>
      <c r="AM895" s="1"/>
    </row>
    <row r="896" ht="14.25" customHeight="1">
      <c r="B896" s="1"/>
      <c r="F896" s="1"/>
      <c r="AM896" s="1"/>
    </row>
    <row r="897" ht="14.25" customHeight="1">
      <c r="B897" s="1"/>
      <c r="F897" s="1"/>
      <c r="AM897" s="1"/>
    </row>
    <row r="898" ht="14.25" customHeight="1">
      <c r="B898" s="1"/>
      <c r="F898" s="1"/>
      <c r="AM898" s="1"/>
    </row>
    <row r="899" ht="14.25" customHeight="1">
      <c r="B899" s="1"/>
      <c r="F899" s="1"/>
      <c r="AM899" s="1"/>
    </row>
    <row r="900" ht="14.25" customHeight="1">
      <c r="B900" s="1"/>
      <c r="F900" s="1"/>
      <c r="AM900" s="1"/>
    </row>
    <row r="901" ht="14.25" customHeight="1">
      <c r="B901" s="1"/>
      <c r="F901" s="1"/>
      <c r="AM901" s="1"/>
    </row>
    <row r="902" ht="14.25" customHeight="1">
      <c r="B902" s="1"/>
      <c r="F902" s="1"/>
      <c r="AM902" s="1"/>
    </row>
    <row r="903" ht="14.25" customHeight="1">
      <c r="B903" s="1"/>
      <c r="F903" s="1"/>
      <c r="AM903" s="1"/>
    </row>
    <row r="904" ht="14.25" customHeight="1">
      <c r="B904" s="1"/>
      <c r="F904" s="1"/>
      <c r="AM904" s="1"/>
    </row>
    <row r="905" ht="14.25" customHeight="1">
      <c r="B905" s="1"/>
      <c r="F905" s="1"/>
      <c r="AM905" s="1"/>
    </row>
    <row r="906" ht="14.25" customHeight="1">
      <c r="B906" s="1"/>
      <c r="F906" s="1"/>
      <c r="AM906" s="1"/>
    </row>
    <row r="907" ht="14.25" customHeight="1">
      <c r="B907" s="1"/>
      <c r="F907" s="1"/>
      <c r="AM907" s="1"/>
    </row>
    <row r="908" ht="14.25" customHeight="1">
      <c r="B908" s="1"/>
      <c r="F908" s="1"/>
      <c r="AM908" s="1"/>
    </row>
    <row r="909" ht="14.25" customHeight="1">
      <c r="B909" s="1"/>
      <c r="F909" s="1"/>
      <c r="AM909" s="1"/>
    </row>
    <row r="910" ht="14.25" customHeight="1">
      <c r="B910" s="1"/>
      <c r="F910" s="1"/>
      <c r="AM910" s="1"/>
    </row>
    <row r="911" ht="14.25" customHeight="1">
      <c r="B911" s="1"/>
      <c r="F911" s="1"/>
      <c r="AM911" s="1"/>
    </row>
    <row r="912" ht="14.25" customHeight="1">
      <c r="B912" s="1"/>
      <c r="F912" s="1"/>
      <c r="AM912" s="1"/>
    </row>
    <row r="913" ht="14.25" customHeight="1">
      <c r="B913" s="1"/>
      <c r="F913" s="1"/>
      <c r="AM913" s="1"/>
    </row>
    <row r="914" ht="14.25" customHeight="1">
      <c r="B914" s="1"/>
      <c r="F914" s="1"/>
      <c r="AM914" s="1"/>
    </row>
    <row r="915" ht="14.25" customHeight="1">
      <c r="B915" s="1"/>
      <c r="F915" s="1"/>
      <c r="AM915" s="1"/>
    </row>
    <row r="916" ht="14.25" customHeight="1">
      <c r="B916" s="1"/>
      <c r="F916" s="1"/>
      <c r="AM916" s="1"/>
    </row>
    <row r="917" ht="14.25" customHeight="1">
      <c r="B917" s="1"/>
      <c r="F917" s="1"/>
      <c r="AM917" s="1"/>
    </row>
    <row r="918" ht="14.25" customHeight="1">
      <c r="B918" s="1"/>
      <c r="F918" s="1"/>
      <c r="AM918" s="1"/>
    </row>
    <row r="919" ht="14.25" customHeight="1">
      <c r="B919" s="1"/>
      <c r="F919" s="1"/>
      <c r="AM919" s="1"/>
    </row>
    <row r="920" ht="14.25" customHeight="1">
      <c r="B920" s="1"/>
      <c r="F920" s="1"/>
      <c r="AM920" s="1"/>
    </row>
    <row r="921" ht="14.25" customHeight="1">
      <c r="B921" s="1"/>
      <c r="F921" s="1"/>
      <c r="AM921" s="1"/>
    </row>
    <row r="922" ht="14.25" customHeight="1">
      <c r="B922" s="1"/>
      <c r="F922" s="1"/>
      <c r="AM922" s="1"/>
    </row>
    <row r="923" ht="14.25" customHeight="1">
      <c r="B923" s="1"/>
      <c r="F923" s="1"/>
      <c r="AM923" s="1"/>
    </row>
    <row r="924" ht="14.25" customHeight="1">
      <c r="B924" s="1"/>
      <c r="F924" s="1"/>
      <c r="AM924" s="1"/>
    </row>
    <row r="925" ht="14.25" customHeight="1">
      <c r="B925" s="1"/>
      <c r="F925" s="1"/>
      <c r="AM925" s="1"/>
    </row>
    <row r="926" ht="14.25" customHeight="1">
      <c r="B926" s="1"/>
      <c r="F926" s="1"/>
      <c r="AM926" s="1"/>
    </row>
    <row r="927" ht="14.25" customHeight="1">
      <c r="B927" s="1"/>
      <c r="F927" s="1"/>
      <c r="AM927" s="1"/>
    </row>
    <row r="928" ht="14.25" customHeight="1">
      <c r="B928" s="1"/>
      <c r="F928" s="1"/>
      <c r="AM928" s="1"/>
    </row>
    <row r="929" ht="14.25" customHeight="1">
      <c r="B929" s="1"/>
      <c r="F929" s="1"/>
      <c r="AM929" s="1"/>
    </row>
    <row r="930" ht="14.25" customHeight="1">
      <c r="B930" s="1"/>
      <c r="F930" s="1"/>
      <c r="AM930" s="1"/>
    </row>
    <row r="931" ht="14.25" customHeight="1">
      <c r="B931" s="1"/>
      <c r="F931" s="1"/>
      <c r="AM931" s="1"/>
    </row>
    <row r="932" ht="14.25" customHeight="1">
      <c r="B932" s="1"/>
      <c r="F932" s="1"/>
      <c r="AM932" s="1"/>
    </row>
    <row r="933" ht="14.25" customHeight="1">
      <c r="B933" s="1"/>
      <c r="F933" s="1"/>
      <c r="AM933" s="1"/>
    </row>
    <row r="934" ht="14.25" customHeight="1">
      <c r="B934" s="1"/>
      <c r="F934" s="1"/>
      <c r="AM934" s="1"/>
    </row>
    <row r="935" ht="14.25" customHeight="1">
      <c r="B935" s="1"/>
      <c r="F935" s="1"/>
      <c r="AM935" s="1"/>
    </row>
    <row r="936" ht="14.25" customHeight="1">
      <c r="B936" s="1"/>
      <c r="F936" s="1"/>
      <c r="AM936" s="1"/>
    </row>
    <row r="937" ht="14.25" customHeight="1">
      <c r="B937" s="1"/>
      <c r="F937" s="1"/>
      <c r="AM937" s="1"/>
    </row>
    <row r="938" ht="14.25" customHeight="1">
      <c r="B938" s="1"/>
      <c r="F938" s="1"/>
      <c r="AM938" s="1"/>
    </row>
    <row r="939" ht="14.25" customHeight="1">
      <c r="B939" s="1"/>
      <c r="F939" s="1"/>
      <c r="AM939" s="1"/>
    </row>
    <row r="940" ht="14.25" customHeight="1">
      <c r="B940" s="1"/>
      <c r="F940" s="1"/>
      <c r="AM940" s="1"/>
    </row>
    <row r="941" ht="14.25" customHeight="1">
      <c r="B941" s="1"/>
      <c r="F941" s="1"/>
      <c r="AM941" s="1"/>
    </row>
    <row r="942" ht="14.25" customHeight="1">
      <c r="B942" s="1"/>
      <c r="F942" s="1"/>
      <c r="AM942" s="1"/>
    </row>
    <row r="943" ht="14.25" customHeight="1">
      <c r="B943" s="1"/>
      <c r="F943" s="1"/>
      <c r="AM943" s="1"/>
    </row>
    <row r="944" ht="14.25" customHeight="1">
      <c r="B944" s="1"/>
      <c r="F944" s="1"/>
      <c r="AM944" s="1"/>
    </row>
    <row r="945" ht="14.25" customHeight="1">
      <c r="B945" s="1"/>
      <c r="F945" s="1"/>
      <c r="AM945" s="1"/>
    </row>
    <row r="946" ht="14.25" customHeight="1">
      <c r="B946" s="1"/>
      <c r="F946" s="1"/>
      <c r="AM946" s="1"/>
    </row>
    <row r="947" ht="14.25" customHeight="1">
      <c r="B947" s="1"/>
      <c r="F947" s="1"/>
      <c r="AM947" s="1"/>
    </row>
    <row r="948" ht="14.25" customHeight="1">
      <c r="B948" s="1"/>
      <c r="F948" s="1"/>
      <c r="AM948" s="1"/>
    </row>
    <row r="949" ht="14.25" customHeight="1">
      <c r="B949" s="1"/>
      <c r="F949" s="1"/>
      <c r="AM949" s="1"/>
    </row>
    <row r="950" ht="14.25" customHeight="1">
      <c r="B950" s="1"/>
      <c r="F950" s="1"/>
      <c r="AM950" s="1"/>
    </row>
    <row r="951" ht="14.25" customHeight="1">
      <c r="B951" s="1"/>
      <c r="F951" s="1"/>
      <c r="AM951" s="1"/>
    </row>
    <row r="952" ht="14.25" customHeight="1">
      <c r="B952" s="1"/>
      <c r="F952" s="1"/>
      <c r="AM952" s="1"/>
    </row>
    <row r="953" ht="14.25" customHeight="1">
      <c r="B953" s="1"/>
      <c r="F953" s="1"/>
      <c r="AM953" s="1"/>
    </row>
    <row r="954" ht="14.25" customHeight="1">
      <c r="B954" s="1"/>
      <c r="F954" s="1"/>
      <c r="AM954" s="1"/>
    </row>
    <row r="955" ht="14.25" customHeight="1">
      <c r="B955" s="1"/>
      <c r="F955" s="1"/>
      <c r="AM955" s="1"/>
    </row>
    <row r="956" ht="14.25" customHeight="1">
      <c r="B956" s="1"/>
      <c r="F956" s="1"/>
      <c r="AM956" s="1"/>
    </row>
    <row r="957" ht="14.25" customHeight="1">
      <c r="B957" s="1"/>
      <c r="F957" s="1"/>
      <c r="AM957" s="1"/>
    </row>
    <row r="958" ht="14.25" customHeight="1">
      <c r="B958" s="1"/>
      <c r="F958" s="1"/>
      <c r="AM958" s="1"/>
    </row>
    <row r="959" ht="14.25" customHeight="1">
      <c r="B959" s="1"/>
      <c r="F959" s="1"/>
      <c r="AM959" s="1"/>
    </row>
    <row r="960" ht="14.25" customHeight="1">
      <c r="B960" s="1"/>
      <c r="F960" s="1"/>
      <c r="AM960" s="1"/>
    </row>
    <row r="961" ht="14.25" customHeight="1">
      <c r="B961" s="1"/>
      <c r="F961" s="1"/>
      <c r="AM961" s="1"/>
    </row>
    <row r="962" ht="14.25" customHeight="1">
      <c r="B962" s="1"/>
      <c r="F962" s="1"/>
      <c r="AM962" s="1"/>
    </row>
    <row r="963" ht="14.25" customHeight="1">
      <c r="B963" s="1"/>
      <c r="F963" s="1"/>
      <c r="AM963" s="1"/>
    </row>
    <row r="964" ht="14.25" customHeight="1">
      <c r="B964" s="1"/>
      <c r="F964" s="1"/>
      <c r="AM964" s="1"/>
    </row>
    <row r="965" ht="14.25" customHeight="1">
      <c r="B965" s="1"/>
      <c r="F965" s="1"/>
      <c r="AM965" s="1"/>
    </row>
    <row r="966" ht="14.25" customHeight="1">
      <c r="B966" s="1"/>
      <c r="F966" s="1"/>
      <c r="AM966" s="1"/>
    </row>
    <row r="967" ht="14.25" customHeight="1">
      <c r="B967" s="1"/>
      <c r="F967" s="1"/>
      <c r="AM967" s="1"/>
    </row>
    <row r="968" ht="14.25" customHeight="1">
      <c r="B968" s="1"/>
      <c r="F968" s="1"/>
      <c r="AM968" s="1"/>
    </row>
    <row r="969" ht="14.25" customHeight="1">
      <c r="B969" s="1"/>
      <c r="F969" s="1"/>
      <c r="AM969" s="1"/>
    </row>
    <row r="970" ht="14.25" customHeight="1">
      <c r="B970" s="1"/>
      <c r="F970" s="1"/>
      <c r="AM970" s="1"/>
    </row>
    <row r="971" ht="14.25" customHeight="1">
      <c r="B971" s="1"/>
      <c r="F971" s="1"/>
      <c r="AM971" s="1"/>
    </row>
    <row r="972" ht="14.25" customHeight="1">
      <c r="B972" s="1"/>
      <c r="F972" s="1"/>
      <c r="AM972" s="1"/>
    </row>
    <row r="973" ht="14.25" customHeight="1">
      <c r="B973" s="1"/>
      <c r="F973" s="1"/>
      <c r="AM973" s="1"/>
    </row>
    <row r="974" ht="14.25" customHeight="1">
      <c r="B974" s="1"/>
      <c r="F974" s="1"/>
      <c r="AM974" s="1"/>
    </row>
    <row r="975" ht="14.25" customHeight="1">
      <c r="B975" s="1"/>
      <c r="F975" s="1"/>
      <c r="AM975" s="1"/>
    </row>
    <row r="976" ht="14.25" customHeight="1">
      <c r="B976" s="1"/>
      <c r="F976" s="1"/>
      <c r="AM976" s="1"/>
    </row>
    <row r="977" ht="14.25" customHeight="1">
      <c r="B977" s="1"/>
      <c r="F977" s="1"/>
      <c r="AM977" s="1"/>
    </row>
    <row r="978" ht="14.25" customHeight="1">
      <c r="B978" s="1"/>
      <c r="F978" s="1"/>
      <c r="AM978" s="1"/>
    </row>
    <row r="979" ht="14.25" customHeight="1">
      <c r="B979" s="1"/>
      <c r="F979" s="1"/>
      <c r="AM979" s="1"/>
    </row>
    <row r="980" ht="14.25" customHeight="1">
      <c r="B980" s="1"/>
      <c r="F980" s="1"/>
      <c r="AM980" s="1"/>
    </row>
    <row r="981" ht="14.25" customHeight="1">
      <c r="B981" s="1"/>
      <c r="F981" s="1"/>
      <c r="AM981" s="1"/>
    </row>
    <row r="982" ht="14.25" customHeight="1">
      <c r="B982" s="1"/>
      <c r="F982" s="1"/>
      <c r="AM982" s="1"/>
    </row>
    <row r="983" ht="14.25" customHeight="1">
      <c r="B983" s="1"/>
      <c r="F983" s="1"/>
      <c r="AM983" s="1"/>
    </row>
    <row r="984" ht="14.25" customHeight="1">
      <c r="B984" s="1"/>
      <c r="F984" s="1"/>
      <c r="AM984" s="1"/>
    </row>
    <row r="985" ht="14.25" customHeight="1">
      <c r="B985" s="1"/>
      <c r="F985" s="1"/>
      <c r="AM985" s="1"/>
    </row>
    <row r="986" ht="14.25" customHeight="1">
      <c r="B986" s="1"/>
      <c r="F986" s="1"/>
      <c r="AM986" s="1"/>
    </row>
    <row r="987" ht="14.25" customHeight="1">
      <c r="B987" s="1"/>
      <c r="F987" s="1"/>
      <c r="AM987" s="1"/>
    </row>
    <row r="988" ht="14.25" customHeight="1">
      <c r="B988" s="1"/>
      <c r="F988" s="1"/>
      <c r="AM988" s="1"/>
    </row>
    <row r="989" ht="14.25" customHeight="1">
      <c r="B989" s="1"/>
      <c r="F989" s="1"/>
      <c r="AM989" s="1"/>
    </row>
    <row r="990" ht="14.25" customHeight="1">
      <c r="B990" s="1"/>
      <c r="F990" s="1"/>
      <c r="AM990" s="1"/>
    </row>
    <row r="991" ht="14.25" customHeight="1">
      <c r="B991" s="1"/>
      <c r="F991" s="1"/>
      <c r="AM991" s="1"/>
    </row>
    <row r="992" ht="14.25" customHeight="1">
      <c r="B992" s="1"/>
      <c r="F992" s="1"/>
      <c r="AM992" s="1"/>
    </row>
    <row r="993" ht="14.25" customHeight="1">
      <c r="B993" s="1"/>
      <c r="F993" s="1"/>
      <c r="AM993" s="1"/>
    </row>
    <row r="994" ht="14.25" customHeight="1">
      <c r="B994" s="1"/>
      <c r="F994" s="1"/>
      <c r="AM994" s="1"/>
    </row>
    <row r="995" ht="14.25" customHeight="1">
      <c r="B995" s="1"/>
      <c r="F995" s="1"/>
      <c r="AM995" s="1"/>
    </row>
    <row r="996" ht="14.25" customHeight="1">
      <c r="B996" s="1"/>
      <c r="F996" s="1"/>
      <c r="AM996" s="1"/>
    </row>
    <row r="997" ht="14.25" customHeight="1">
      <c r="B997" s="1"/>
      <c r="F997" s="1"/>
      <c r="AM997" s="1"/>
    </row>
    <row r="998" ht="14.25" customHeight="1">
      <c r="B998" s="1"/>
      <c r="F998" s="1"/>
      <c r="AM998" s="1"/>
    </row>
    <row r="999" ht="14.25" customHeight="1">
      <c r="B999" s="1"/>
      <c r="F999" s="1"/>
      <c r="AM999" s="1"/>
    </row>
    <row r="1000" ht="14.25" customHeight="1">
      <c r="B1000" s="1"/>
      <c r="F1000" s="1"/>
      <c r="AM1000" s="1"/>
    </row>
  </sheetData>
  <mergeCells count="68">
    <mergeCell ref="H15:O15"/>
    <mergeCell ref="P15:W15"/>
    <mergeCell ref="I17:P17"/>
    <mergeCell ref="I18:J18"/>
    <mergeCell ref="K18:P18"/>
    <mergeCell ref="I20:AH20"/>
    <mergeCell ref="I21:J21"/>
    <mergeCell ref="U21:Y21"/>
    <mergeCell ref="W24:AG24"/>
    <mergeCell ref="W25:AG25"/>
    <mergeCell ref="W26:AG26"/>
    <mergeCell ref="W27:AG27"/>
    <mergeCell ref="W28:AG28"/>
    <mergeCell ref="W29:AG29"/>
    <mergeCell ref="K21:P21"/>
    <mergeCell ref="R21:T21"/>
    <mergeCell ref="AA21:AB22"/>
    <mergeCell ref="AC21:AH22"/>
    <mergeCell ref="I22:J22"/>
    <mergeCell ref="K22:P22"/>
    <mergeCell ref="I23:J23"/>
    <mergeCell ref="K23:P23"/>
    <mergeCell ref="S23:T23"/>
    <mergeCell ref="I24:J24"/>
    <mergeCell ref="K24:P24"/>
    <mergeCell ref="I26:P26"/>
    <mergeCell ref="I27:J28"/>
    <mergeCell ref="K27:P27"/>
    <mergeCell ref="R32:S32"/>
    <mergeCell ref="R33:S33"/>
    <mergeCell ref="I33:J33"/>
    <mergeCell ref="I34:J34"/>
    <mergeCell ref="K34:P34"/>
    <mergeCell ref="I35:J35"/>
    <mergeCell ref="K35:P35"/>
    <mergeCell ref="K28:P28"/>
    <mergeCell ref="I31:Y31"/>
    <mergeCell ref="I32:J32"/>
    <mergeCell ref="K32:P32"/>
    <mergeCell ref="T32:Y32"/>
    <mergeCell ref="K33:P33"/>
    <mergeCell ref="T33:Y33"/>
    <mergeCell ref="H3:AM6"/>
    <mergeCell ref="H7:W7"/>
    <mergeCell ref="X7:AE7"/>
    <mergeCell ref="AF7:AM7"/>
    <mergeCell ref="H8:O8"/>
    <mergeCell ref="P8:W8"/>
    <mergeCell ref="X8:AE8"/>
    <mergeCell ref="AF8:AM8"/>
    <mergeCell ref="H9:AM9"/>
    <mergeCell ref="H10:AM10"/>
    <mergeCell ref="H11:AM11"/>
    <mergeCell ref="I12:J12"/>
    <mergeCell ref="L12:M12"/>
    <mergeCell ref="P12:S12"/>
    <mergeCell ref="X12:AM12"/>
    <mergeCell ref="H13:AM13"/>
    <mergeCell ref="H14:AE14"/>
    <mergeCell ref="AF14:AM14"/>
    <mergeCell ref="H1:O1"/>
    <mergeCell ref="P1:W1"/>
    <mergeCell ref="X1:AE1"/>
    <mergeCell ref="AF1:AM1"/>
    <mergeCell ref="B3:B15"/>
    <mergeCell ref="C3:C15"/>
    <mergeCell ref="E3:E6"/>
    <mergeCell ref="X15:AE15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39.0" ySplit="15.0" topLeftCell="AN16" activePane="bottomRight" state="frozen"/>
      <selection activeCell="AN1" sqref="AN1" pane="topRight"/>
      <selection activeCell="A16" sqref="A16" pane="bottomLeft"/>
      <selection activeCell="AN16" sqref="AN16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5.5"/>
  </cols>
  <sheetData>
    <row r="1" ht="14.25" customHeight="1">
      <c r="B1" s="1"/>
      <c r="F1" s="1"/>
      <c r="H1" s="120">
        <v>3.0</v>
      </c>
      <c r="I1" s="121"/>
      <c r="J1" s="121"/>
      <c r="K1" s="121"/>
      <c r="L1" s="121"/>
      <c r="M1" s="121"/>
      <c r="N1" s="121"/>
      <c r="O1" s="122"/>
      <c r="P1" s="120">
        <v>2.0</v>
      </c>
      <c r="Q1" s="121"/>
      <c r="R1" s="121"/>
      <c r="S1" s="121"/>
      <c r="T1" s="121"/>
      <c r="U1" s="121"/>
      <c r="V1" s="121"/>
      <c r="W1" s="122"/>
      <c r="X1" s="120">
        <v>1.0</v>
      </c>
      <c r="Y1" s="121"/>
      <c r="Z1" s="121"/>
      <c r="AA1" s="121"/>
      <c r="AB1" s="121"/>
      <c r="AC1" s="121"/>
      <c r="AD1" s="121"/>
      <c r="AE1" s="122"/>
      <c r="AF1" s="120">
        <v>0.0</v>
      </c>
      <c r="AG1" s="121"/>
      <c r="AH1" s="121"/>
      <c r="AI1" s="121"/>
      <c r="AJ1" s="121"/>
      <c r="AK1" s="121"/>
      <c r="AL1" s="121"/>
      <c r="AM1" s="122"/>
    </row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8" t="s">
        <v>238</v>
      </c>
      <c r="C3" s="142" t="s">
        <v>239</v>
      </c>
      <c r="D3" s="51" t="str">
        <f t="shared" ref="D3:D15" si="2">DEC2HEX(A3*4, 3)</f>
        <v>000</v>
      </c>
      <c r="E3" s="48" t="s">
        <v>83</v>
      </c>
      <c r="F3" s="49" t="s">
        <v>87</v>
      </c>
      <c r="G3" s="50"/>
      <c r="H3" s="51" t="s">
        <v>240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5"/>
      <c r="D4" s="61" t="str">
        <f t="shared" si="2"/>
        <v>004</v>
      </c>
      <c r="E4" s="55"/>
      <c r="F4" s="56" t="s">
        <v>87</v>
      </c>
      <c r="G4" s="27"/>
      <c r="H4" s="55"/>
      <c r="AM4" s="57"/>
    </row>
    <row r="5" ht="14.25" customHeight="1">
      <c r="A5" s="1">
        <v>2.0</v>
      </c>
      <c r="B5" s="55"/>
      <c r="D5" s="61" t="str">
        <f t="shared" si="2"/>
        <v>008</v>
      </c>
      <c r="E5" s="55"/>
      <c r="F5" s="56" t="s">
        <v>87</v>
      </c>
      <c r="G5" s="27"/>
      <c r="H5" s="55"/>
      <c r="AM5" s="57"/>
    </row>
    <row r="6" ht="14.25" customHeight="1">
      <c r="A6" s="1">
        <v>3.0</v>
      </c>
      <c r="B6" s="55"/>
      <c r="D6" s="61" t="str">
        <f t="shared" si="2"/>
        <v>00C</v>
      </c>
      <c r="E6" s="55"/>
      <c r="F6" s="56" t="s">
        <v>87</v>
      </c>
      <c r="G6" s="2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5"/>
      <c r="D7" s="61" t="str">
        <f t="shared" si="2"/>
        <v>010</v>
      </c>
      <c r="E7" s="61" t="s">
        <v>89</v>
      </c>
      <c r="F7" s="56" t="s">
        <v>87</v>
      </c>
      <c r="G7" s="27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5"/>
      <c r="D8" s="61" t="str">
        <f t="shared" si="2"/>
        <v>014</v>
      </c>
      <c r="E8" s="61" t="s">
        <v>92</v>
      </c>
      <c r="F8" s="56" t="s">
        <v>87</v>
      </c>
      <c r="G8" s="27"/>
      <c r="H8" s="62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64"/>
    </row>
    <row r="9" ht="14.25" customHeight="1">
      <c r="A9" s="1">
        <v>6.0</v>
      </c>
      <c r="B9" s="55"/>
      <c r="D9" s="61" t="str">
        <f t="shared" si="2"/>
        <v>018</v>
      </c>
      <c r="E9" s="72" t="s">
        <v>96</v>
      </c>
      <c r="F9" s="56" t="s">
        <v>84</v>
      </c>
      <c r="G9" s="27"/>
      <c r="H9" s="6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64"/>
    </row>
    <row r="10" ht="14.25" customHeight="1">
      <c r="A10" s="1">
        <v>7.0</v>
      </c>
      <c r="B10" s="55"/>
      <c r="D10" s="61" t="str">
        <f t="shared" si="2"/>
        <v>01C</v>
      </c>
      <c r="E10" s="72" t="s">
        <v>96</v>
      </c>
      <c r="F10" s="73" t="s">
        <v>84</v>
      </c>
      <c r="G10" s="27"/>
      <c r="H10" s="6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4"/>
    </row>
    <row r="11" ht="14.25" customHeight="1">
      <c r="A11" s="1">
        <v>8.0</v>
      </c>
      <c r="B11" s="55"/>
      <c r="D11" s="61" t="str">
        <f t="shared" si="2"/>
        <v>020</v>
      </c>
      <c r="E11" s="72" t="s">
        <v>186</v>
      </c>
      <c r="F11" s="73" t="s">
        <v>84</v>
      </c>
      <c r="G11" s="27"/>
      <c r="H11" s="143" t="s">
        <v>187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64"/>
    </row>
    <row r="12" ht="14.25" customHeight="1">
      <c r="A12" s="1">
        <v>9.0</v>
      </c>
      <c r="B12" s="55"/>
      <c r="D12" s="61" t="str">
        <f t="shared" si="2"/>
        <v>024</v>
      </c>
      <c r="E12" s="61" t="s">
        <v>126</v>
      </c>
      <c r="F12" s="56" t="s">
        <v>84</v>
      </c>
      <c r="G12" s="27"/>
      <c r="H12" s="123" t="s">
        <v>127</v>
      </c>
      <c r="I12" s="89"/>
      <c r="J12" s="32"/>
      <c r="K12" s="32"/>
      <c r="L12" s="32"/>
      <c r="M12" s="33"/>
      <c r="N12" s="88" t="s">
        <v>190</v>
      </c>
      <c r="O12" s="145" t="s">
        <v>191</v>
      </c>
      <c r="P12" s="62"/>
      <c r="Q12" s="32"/>
      <c r="R12" s="32"/>
      <c r="S12" s="32"/>
      <c r="T12" s="32"/>
      <c r="U12" s="33"/>
      <c r="V12" s="88" t="s">
        <v>241</v>
      </c>
      <c r="W12" s="145" t="s">
        <v>242</v>
      </c>
      <c r="X12" s="146" t="s">
        <v>243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64"/>
    </row>
    <row r="13" ht="14.25" customHeight="1">
      <c r="A13" s="1">
        <v>10.0</v>
      </c>
      <c r="B13" s="55"/>
      <c r="D13" s="61" t="str">
        <f t="shared" si="2"/>
        <v>028</v>
      </c>
      <c r="E13" s="61"/>
      <c r="F13" s="56"/>
      <c r="G13" s="27"/>
      <c r="H13" s="6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64"/>
    </row>
    <row r="14" ht="14.25" customHeight="1">
      <c r="A14" s="1">
        <v>11.0</v>
      </c>
      <c r="B14" s="55"/>
      <c r="D14" s="61" t="str">
        <f t="shared" si="2"/>
        <v>02C</v>
      </c>
      <c r="E14" s="72" t="s">
        <v>193</v>
      </c>
      <c r="F14" s="73" t="s">
        <v>84</v>
      </c>
      <c r="G14" s="27"/>
      <c r="H14" s="6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3"/>
      <c r="AF14" s="63" t="s">
        <v>244</v>
      </c>
      <c r="AG14" s="32"/>
      <c r="AH14" s="32"/>
      <c r="AI14" s="32"/>
      <c r="AJ14" s="32"/>
      <c r="AK14" s="32"/>
      <c r="AL14" s="32"/>
      <c r="AM14" s="64"/>
    </row>
    <row r="15" ht="14.25" customHeight="1">
      <c r="A15" s="1">
        <v>12.0</v>
      </c>
      <c r="B15" s="78"/>
      <c r="C15" s="105"/>
      <c r="D15" s="90" t="str">
        <f t="shared" si="2"/>
        <v>030</v>
      </c>
      <c r="E15" s="90" t="s">
        <v>137</v>
      </c>
      <c r="F15" s="81" t="s">
        <v>87</v>
      </c>
      <c r="G15" s="82"/>
      <c r="H15" s="179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48" t="s">
        <v>245</v>
      </c>
      <c r="Y15" s="93"/>
      <c r="Z15" s="93"/>
      <c r="AA15" s="93"/>
      <c r="AB15" s="93"/>
      <c r="AC15" s="93"/>
      <c r="AD15" s="93"/>
      <c r="AE15" s="94"/>
      <c r="AF15" s="125" t="s">
        <v>198</v>
      </c>
      <c r="AG15" s="125" t="s">
        <v>199</v>
      </c>
      <c r="AH15" s="125" t="s">
        <v>200</v>
      </c>
      <c r="AI15" s="125" t="s">
        <v>201</v>
      </c>
      <c r="AJ15" s="125" t="s">
        <v>149</v>
      </c>
      <c r="AK15" s="125"/>
      <c r="AL15" s="125"/>
      <c r="AM15" s="127" t="s">
        <v>150</v>
      </c>
    </row>
    <row r="16" ht="14.25" customHeight="1">
      <c r="B16" s="1"/>
      <c r="F16" s="1"/>
      <c r="AM16" s="1"/>
    </row>
    <row r="17" ht="14.25" customHeight="1">
      <c r="B17" s="1"/>
      <c r="F17" s="1"/>
      <c r="I17" s="137" t="s">
        <v>246</v>
      </c>
      <c r="J17" s="108"/>
      <c r="K17" s="108"/>
      <c r="L17" s="108"/>
      <c r="M17" s="108"/>
      <c r="N17" s="108"/>
      <c r="O17" s="108"/>
      <c r="P17" s="109"/>
      <c r="AM17" s="1"/>
    </row>
    <row r="18" ht="14.25" customHeight="1">
      <c r="B18" s="1"/>
      <c r="F18" s="1"/>
      <c r="I18" s="149" t="s">
        <v>203</v>
      </c>
      <c r="J18" s="150"/>
      <c r="K18" s="151" t="s">
        <v>247</v>
      </c>
      <c r="L18" s="108"/>
      <c r="M18" s="108"/>
      <c r="N18" s="108"/>
      <c r="O18" s="108"/>
      <c r="P18" s="109"/>
      <c r="AM18" s="1"/>
    </row>
    <row r="19" ht="14.25" customHeight="1">
      <c r="B19" s="1"/>
      <c r="F19" s="1"/>
      <c r="AM19" s="1"/>
    </row>
    <row r="20" ht="14.25" customHeight="1">
      <c r="B20" s="1"/>
      <c r="F20" s="1"/>
      <c r="I20" s="107" t="s">
        <v>248</v>
      </c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9"/>
      <c r="AM20" s="1"/>
    </row>
    <row r="21" ht="14.25" customHeight="1">
      <c r="B21" s="1"/>
      <c r="F21" s="1"/>
      <c r="I21" s="128" t="s">
        <v>249</v>
      </c>
      <c r="J21" s="129"/>
      <c r="K21" s="138" t="s">
        <v>207</v>
      </c>
      <c r="L21" s="112"/>
      <c r="M21" s="112"/>
      <c r="N21" s="112"/>
      <c r="O21" s="112"/>
      <c r="P21" s="113"/>
      <c r="R21" s="149" t="s">
        <v>160</v>
      </c>
      <c r="S21" s="108"/>
      <c r="T21" s="150"/>
      <c r="U21" s="152" t="s">
        <v>161</v>
      </c>
      <c r="V21" s="108"/>
      <c r="W21" s="108"/>
      <c r="X21" s="108"/>
      <c r="Y21" s="109"/>
      <c r="AA21" s="132" t="s">
        <v>250</v>
      </c>
      <c r="AB21" s="101"/>
      <c r="AC21" s="102" t="s">
        <v>157</v>
      </c>
      <c r="AD21" s="52"/>
      <c r="AE21" s="52"/>
      <c r="AF21" s="52"/>
      <c r="AG21" s="52"/>
      <c r="AH21" s="53"/>
      <c r="AM21" s="1"/>
    </row>
    <row r="22" ht="14.25" customHeight="1">
      <c r="B22" s="1"/>
      <c r="F22" s="1"/>
      <c r="I22" s="133" t="s">
        <v>251</v>
      </c>
      <c r="J22" s="33"/>
      <c r="K22" s="139" t="s">
        <v>214</v>
      </c>
      <c r="L22" s="32"/>
      <c r="M22" s="32"/>
      <c r="N22" s="32"/>
      <c r="O22" s="32"/>
      <c r="P22" s="64"/>
      <c r="R22" s="27"/>
      <c r="S22" s="27"/>
      <c r="T22" s="27"/>
      <c r="U22" s="27"/>
      <c r="V22" s="27"/>
      <c r="W22" s="27"/>
      <c r="X22" s="27"/>
      <c r="Y22" s="27"/>
      <c r="AA22" s="78"/>
      <c r="AB22" s="103"/>
      <c r="AC22" s="104"/>
      <c r="AD22" s="105"/>
      <c r="AE22" s="105"/>
      <c r="AF22" s="105"/>
      <c r="AG22" s="105"/>
      <c r="AH22" s="106"/>
      <c r="AM22" s="1"/>
    </row>
    <row r="23" ht="14.25" customHeight="1">
      <c r="B23" s="1"/>
      <c r="F23" s="1"/>
      <c r="I23" s="140" t="s">
        <v>252</v>
      </c>
      <c r="J23" s="94"/>
      <c r="K23" s="117" t="s">
        <v>216</v>
      </c>
      <c r="L23" s="93"/>
      <c r="M23" s="93"/>
      <c r="N23" s="93"/>
      <c r="O23" s="93"/>
      <c r="P23" s="96"/>
      <c r="R23" s="27"/>
      <c r="S23" s="27"/>
      <c r="AM23" s="1"/>
    </row>
    <row r="24" ht="14.25" customHeight="1">
      <c r="A24" s="161"/>
      <c r="B24" s="1"/>
      <c r="F24" s="1"/>
      <c r="K24" s="162"/>
      <c r="L24" s="163"/>
      <c r="M24" s="163"/>
      <c r="N24" s="163"/>
      <c r="O24" s="163"/>
      <c r="P24" s="163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M24" s="1"/>
    </row>
    <row r="25" ht="14.25" customHeight="1">
      <c r="B25" s="1"/>
      <c r="F25" s="1"/>
      <c r="I25" s="165" t="s">
        <v>253</v>
      </c>
      <c r="J25" s="98"/>
      <c r="K25" s="98"/>
      <c r="L25" s="98"/>
      <c r="M25" s="98"/>
      <c r="N25" s="98"/>
      <c r="O25" s="98"/>
      <c r="P25" s="99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M25" s="1"/>
    </row>
    <row r="26" ht="17.25" customHeight="1">
      <c r="B26" s="1"/>
      <c r="F26" s="1"/>
      <c r="I26" s="110" t="s">
        <v>254</v>
      </c>
      <c r="J26" s="101"/>
      <c r="K26" s="171" t="s">
        <v>255</v>
      </c>
      <c r="L26" s="112"/>
      <c r="M26" s="112"/>
      <c r="N26" s="112"/>
      <c r="O26" s="112"/>
      <c r="P26" s="113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M26" s="1"/>
    </row>
    <row r="27" ht="16.5" customHeight="1">
      <c r="B27" s="1"/>
      <c r="F27" s="1"/>
      <c r="I27" s="78"/>
      <c r="J27" s="103"/>
      <c r="K27" s="172" t="s">
        <v>256</v>
      </c>
      <c r="L27" s="93"/>
      <c r="M27" s="93"/>
      <c r="N27" s="93"/>
      <c r="O27" s="93"/>
      <c r="P27" s="96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M27" s="1"/>
    </row>
    <row r="28" ht="14.25" customHeight="1">
      <c r="B28" s="1"/>
      <c r="F28" s="1"/>
      <c r="K28" s="162"/>
      <c r="L28" s="163"/>
      <c r="M28" s="163"/>
      <c r="N28" s="163"/>
      <c r="O28" s="163"/>
      <c r="P28" s="163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M28" s="1"/>
    </row>
    <row r="29" ht="14.25" customHeight="1">
      <c r="B29" s="1"/>
      <c r="F29" s="1"/>
      <c r="K29" s="162"/>
      <c r="L29" s="163"/>
      <c r="M29" s="163"/>
      <c r="N29" s="163"/>
      <c r="O29" s="163"/>
      <c r="P29" s="163"/>
      <c r="AM29" s="1"/>
    </row>
    <row r="30" ht="14.25" customHeight="1">
      <c r="B30" s="1"/>
      <c r="F30" s="1"/>
      <c r="I30" s="137" t="s">
        <v>257</v>
      </c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9"/>
      <c r="AM30" s="1"/>
    </row>
    <row r="31" ht="16.5" customHeight="1">
      <c r="A31" s="161"/>
      <c r="B31" s="1"/>
      <c r="F31" s="1"/>
      <c r="I31" s="128" t="s">
        <v>229</v>
      </c>
      <c r="J31" s="129"/>
      <c r="K31" s="138" t="s">
        <v>230</v>
      </c>
      <c r="L31" s="112"/>
      <c r="M31" s="112"/>
      <c r="N31" s="112"/>
      <c r="O31" s="112"/>
      <c r="P31" s="113"/>
      <c r="R31" s="128" t="s">
        <v>169</v>
      </c>
      <c r="S31" s="129"/>
      <c r="T31" s="138" t="s">
        <v>170</v>
      </c>
      <c r="U31" s="112"/>
      <c r="V31" s="112"/>
      <c r="W31" s="112"/>
      <c r="X31" s="112"/>
      <c r="Y31" s="113"/>
      <c r="AM31" s="1"/>
    </row>
    <row r="32" ht="14.25" customHeight="1">
      <c r="A32" s="161"/>
      <c r="B32" s="1"/>
      <c r="F32" s="1"/>
      <c r="I32" s="133" t="s">
        <v>231</v>
      </c>
      <c r="J32" s="33"/>
      <c r="K32" s="139" t="s">
        <v>232</v>
      </c>
      <c r="L32" s="32"/>
      <c r="M32" s="32"/>
      <c r="N32" s="32"/>
      <c r="O32" s="32"/>
      <c r="P32" s="64"/>
      <c r="R32" s="140" t="s">
        <v>175</v>
      </c>
      <c r="S32" s="94"/>
      <c r="T32" s="141" t="s">
        <v>258</v>
      </c>
      <c r="U32" s="93"/>
      <c r="V32" s="93"/>
      <c r="W32" s="93"/>
      <c r="X32" s="93"/>
      <c r="Y32" s="96"/>
      <c r="AM32" s="1"/>
    </row>
    <row r="33" ht="14.25" customHeight="1">
      <c r="B33" s="1"/>
      <c r="F33" s="1"/>
      <c r="I33" s="133" t="s">
        <v>234</v>
      </c>
      <c r="J33" s="33"/>
      <c r="K33" s="178" t="s">
        <v>235</v>
      </c>
      <c r="L33" s="32"/>
      <c r="M33" s="32"/>
      <c r="N33" s="32"/>
      <c r="O33" s="32"/>
      <c r="P33" s="64"/>
      <c r="R33" s="27"/>
      <c r="S33" s="27"/>
      <c r="T33" s="27"/>
      <c r="U33" s="27"/>
      <c r="V33" s="27"/>
      <c r="W33" s="27"/>
      <c r="X33" s="27"/>
      <c r="Y33" s="27"/>
      <c r="AM33" s="1"/>
    </row>
    <row r="34" ht="14.25" customHeight="1">
      <c r="B34" s="1"/>
      <c r="F34" s="1"/>
      <c r="I34" s="140" t="s">
        <v>236</v>
      </c>
      <c r="J34" s="94"/>
      <c r="K34" s="134" t="s">
        <v>237</v>
      </c>
      <c r="L34" s="93"/>
      <c r="M34" s="93"/>
      <c r="N34" s="93"/>
      <c r="O34" s="93"/>
      <c r="P34" s="96"/>
      <c r="R34" s="27"/>
      <c r="S34" s="27"/>
      <c r="T34" s="27"/>
      <c r="U34" s="27"/>
      <c r="V34" s="27"/>
      <c r="W34" s="27"/>
      <c r="X34" s="27"/>
      <c r="Y34" s="27"/>
      <c r="AA34" s="27"/>
      <c r="AB34" s="27"/>
      <c r="AC34" s="27"/>
      <c r="AD34" s="27"/>
      <c r="AE34" s="27"/>
      <c r="AF34" s="27"/>
      <c r="AG34" s="27"/>
      <c r="AH34" s="27"/>
      <c r="AM34" s="1"/>
    </row>
    <row r="35" ht="14.25" customHeight="1">
      <c r="B35" s="1"/>
      <c r="F35" s="1"/>
      <c r="AA35" s="27"/>
      <c r="AB35" s="27"/>
      <c r="AC35" s="27"/>
      <c r="AD35" s="27"/>
      <c r="AE35" s="27"/>
      <c r="AF35" s="27"/>
      <c r="AG35" s="27"/>
      <c r="AH35" s="27"/>
      <c r="AM35" s="1"/>
    </row>
    <row r="36" ht="14.25" customHeight="1">
      <c r="B36" s="1"/>
      <c r="F36" s="1"/>
      <c r="AM36" s="1"/>
    </row>
    <row r="37" ht="14.25" customHeight="1">
      <c r="B37" s="1"/>
      <c r="F37" s="1"/>
      <c r="AM37" s="1"/>
    </row>
    <row r="38" ht="14.25" customHeight="1">
      <c r="B38" s="1"/>
      <c r="F38" s="1"/>
      <c r="AM38" s="1"/>
    </row>
    <row r="39" ht="14.25" customHeight="1">
      <c r="B39" s="1"/>
      <c r="F39" s="1"/>
      <c r="AM39" s="1"/>
    </row>
    <row r="40" ht="14.25" customHeight="1">
      <c r="B40" s="1"/>
      <c r="F40" s="1"/>
      <c r="AM40" s="1"/>
    </row>
    <row r="41" ht="14.25" customHeight="1">
      <c r="B41" s="1"/>
      <c r="F41" s="1"/>
      <c r="AM41" s="1"/>
    </row>
    <row r="42" ht="14.25" customHeight="1">
      <c r="B42" s="1"/>
      <c r="F42" s="1"/>
      <c r="AM42" s="1"/>
    </row>
    <row r="43" ht="14.25" customHeight="1">
      <c r="B43" s="1"/>
      <c r="F43" s="1"/>
      <c r="AM43" s="1"/>
    </row>
    <row r="44" ht="14.25" customHeight="1">
      <c r="B44" s="1"/>
      <c r="F44" s="1"/>
      <c r="AM44" s="1"/>
    </row>
    <row r="45" ht="14.25" customHeight="1">
      <c r="B45" s="1"/>
      <c r="F45" s="1"/>
      <c r="AM45" s="1"/>
    </row>
    <row r="46" ht="14.25" customHeight="1">
      <c r="B46" s="1"/>
      <c r="F46" s="1"/>
      <c r="AM46" s="1"/>
    </row>
    <row r="47" ht="14.25" customHeight="1">
      <c r="B47" s="1"/>
      <c r="F47" s="1"/>
      <c r="AM47" s="1"/>
    </row>
    <row r="48" ht="14.25" customHeight="1">
      <c r="B48" s="1"/>
      <c r="F48" s="1"/>
      <c r="AM48" s="1"/>
    </row>
    <row r="49" ht="14.25" customHeight="1">
      <c r="B49" s="1"/>
      <c r="F49" s="1"/>
      <c r="AM49" s="1"/>
    </row>
    <row r="50" ht="14.25" customHeight="1">
      <c r="B50" s="1"/>
      <c r="F50" s="1"/>
      <c r="AM50" s="1"/>
    </row>
    <row r="51" ht="14.25" customHeight="1">
      <c r="B51" s="1"/>
      <c r="F51" s="1"/>
      <c r="AM51" s="1"/>
    </row>
    <row r="52" ht="14.25" customHeight="1">
      <c r="B52" s="1"/>
      <c r="F52" s="1"/>
      <c r="AM52" s="1"/>
    </row>
    <row r="53" ht="14.25" customHeight="1">
      <c r="B53" s="1"/>
      <c r="F53" s="1"/>
      <c r="AM53" s="1"/>
    </row>
    <row r="54" ht="14.25" customHeight="1">
      <c r="B54" s="1"/>
      <c r="F54" s="1"/>
      <c r="AM54" s="1"/>
    </row>
    <row r="55" ht="14.25" customHeight="1">
      <c r="B55" s="1"/>
      <c r="F55" s="1"/>
      <c r="AM55" s="1"/>
    </row>
    <row r="56" ht="14.25" customHeight="1">
      <c r="B56" s="1"/>
      <c r="F56" s="1"/>
      <c r="AM56" s="1"/>
    </row>
    <row r="57" ht="14.25" customHeight="1">
      <c r="B57" s="1"/>
      <c r="F57" s="1"/>
      <c r="AM57" s="1"/>
    </row>
    <row r="58" ht="14.25" customHeight="1">
      <c r="B58" s="1"/>
      <c r="F58" s="1"/>
      <c r="AM58" s="1"/>
    </row>
    <row r="59" ht="14.25" customHeight="1">
      <c r="B59" s="1"/>
      <c r="F59" s="1"/>
      <c r="AM59" s="1"/>
    </row>
    <row r="60" ht="14.25" customHeight="1">
      <c r="B60" s="1"/>
      <c r="F60" s="1"/>
      <c r="AM60" s="1"/>
    </row>
    <row r="61" ht="14.25" customHeight="1">
      <c r="B61" s="1"/>
      <c r="F61" s="1"/>
      <c r="AM61" s="1"/>
    </row>
    <row r="62" ht="14.25" customHeight="1">
      <c r="B62" s="1"/>
      <c r="F62" s="1"/>
      <c r="AM62" s="1"/>
    </row>
    <row r="63" ht="14.25" customHeight="1">
      <c r="B63" s="1"/>
      <c r="F63" s="1"/>
      <c r="AM63" s="1"/>
    </row>
    <row r="64" ht="14.25" customHeight="1">
      <c r="B64" s="1"/>
      <c r="F64" s="1"/>
      <c r="AM64" s="1"/>
    </row>
    <row r="65" ht="14.25" customHeight="1">
      <c r="B65" s="1"/>
      <c r="F65" s="1"/>
      <c r="AM65" s="1"/>
    </row>
    <row r="66" ht="14.25" customHeight="1">
      <c r="B66" s="1"/>
      <c r="F66" s="1"/>
      <c r="AM66" s="1"/>
    </row>
    <row r="67" ht="14.25" customHeight="1">
      <c r="B67" s="1"/>
      <c r="F67" s="1"/>
      <c r="AM67" s="1"/>
    </row>
    <row r="68" ht="14.25" customHeight="1">
      <c r="B68" s="1"/>
      <c r="F68" s="1"/>
      <c r="AM68" s="1"/>
    </row>
    <row r="69" ht="14.25" customHeight="1">
      <c r="B69" s="1"/>
      <c r="F69" s="1"/>
      <c r="AM69" s="1"/>
    </row>
    <row r="70" ht="14.25" customHeight="1">
      <c r="B70" s="1"/>
      <c r="F70" s="1"/>
      <c r="AM70" s="1"/>
    </row>
    <row r="71" ht="14.25" customHeight="1">
      <c r="B71" s="1"/>
      <c r="F71" s="1"/>
      <c r="AM71" s="1"/>
    </row>
    <row r="72" ht="14.25" customHeight="1">
      <c r="B72" s="1"/>
      <c r="F72" s="1"/>
      <c r="AM72" s="1"/>
    </row>
    <row r="73" ht="14.25" customHeight="1">
      <c r="B73" s="1"/>
      <c r="F73" s="1"/>
      <c r="AM73" s="1"/>
    </row>
    <row r="74" ht="14.25" customHeight="1">
      <c r="B74" s="1"/>
      <c r="F74" s="1"/>
      <c r="AM74" s="1"/>
    </row>
    <row r="75" ht="14.25" customHeight="1">
      <c r="B75" s="1"/>
      <c r="F75" s="1"/>
      <c r="AM75" s="1"/>
    </row>
    <row r="76" ht="14.25" customHeight="1">
      <c r="B76" s="1"/>
      <c r="F76" s="1"/>
      <c r="AM76" s="1"/>
    </row>
    <row r="77" ht="14.25" customHeight="1">
      <c r="B77" s="1"/>
      <c r="F77" s="1"/>
      <c r="AM77" s="1"/>
    </row>
    <row r="78" ht="14.25" customHeight="1">
      <c r="B78" s="1"/>
      <c r="F78" s="1"/>
      <c r="AM78" s="1"/>
    </row>
    <row r="79" ht="14.25" customHeight="1">
      <c r="B79" s="1"/>
      <c r="F79" s="1"/>
      <c r="AM79" s="1"/>
    </row>
    <row r="80" ht="14.25" customHeight="1">
      <c r="B80" s="1"/>
      <c r="F80" s="1"/>
      <c r="AM80" s="1"/>
    </row>
    <row r="81" ht="14.25" customHeight="1">
      <c r="B81" s="1"/>
      <c r="F81" s="1"/>
      <c r="AM81" s="1"/>
    </row>
    <row r="82" ht="14.25" customHeight="1">
      <c r="B82" s="1"/>
      <c r="F82" s="1"/>
      <c r="AM82" s="1"/>
    </row>
    <row r="83" ht="14.25" customHeight="1">
      <c r="B83" s="1"/>
      <c r="F83" s="1"/>
      <c r="AM83" s="1"/>
    </row>
    <row r="84" ht="14.25" customHeight="1">
      <c r="B84" s="1"/>
      <c r="F84" s="1"/>
      <c r="AM84" s="1"/>
    </row>
    <row r="85" ht="14.25" customHeight="1">
      <c r="B85" s="1"/>
      <c r="F85" s="1"/>
      <c r="AM85" s="1"/>
    </row>
    <row r="86" ht="14.25" customHeight="1">
      <c r="B86" s="1"/>
      <c r="F86" s="1"/>
      <c r="AM86" s="1"/>
    </row>
    <row r="87" ht="14.25" customHeight="1">
      <c r="B87" s="1"/>
      <c r="F87" s="1"/>
      <c r="AM87" s="1"/>
    </row>
    <row r="88" ht="14.25" customHeight="1">
      <c r="B88" s="1"/>
      <c r="F88" s="1"/>
      <c r="AM88" s="1"/>
    </row>
    <row r="89" ht="14.25" customHeight="1">
      <c r="B89" s="1"/>
      <c r="F89" s="1"/>
      <c r="AM89" s="1"/>
    </row>
    <row r="90" ht="14.25" customHeight="1">
      <c r="B90" s="1"/>
      <c r="F90" s="1"/>
      <c r="AM90" s="1"/>
    </row>
    <row r="91" ht="14.25" customHeight="1">
      <c r="B91" s="1"/>
      <c r="F91" s="1"/>
      <c r="AM91" s="1"/>
    </row>
    <row r="92" ht="14.25" customHeight="1">
      <c r="B92" s="1"/>
      <c r="F92" s="1"/>
      <c r="AM92" s="1"/>
    </row>
    <row r="93" ht="14.25" customHeight="1">
      <c r="B93" s="1"/>
      <c r="F93" s="1"/>
      <c r="AM93" s="1"/>
    </row>
    <row r="94" ht="14.25" customHeight="1">
      <c r="B94" s="1"/>
      <c r="F94" s="1"/>
      <c r="AM94" s="1"/>
    </row>
    <row r="95" ht="14.25" customHeight="1">
      <c r="B95" s="1"/>
      <c r="F95" s="1"/>
      <c r="AM95" s="1"/>
    </row>
    <row r="96" ht="14.25" customHeight="1">
      <c r="B96" s="1"/>
      <c r="F96" s="1"/>
      <c r="AM96" s="1"/>
    </row>
    <row r="97" ht="14.25" customHeight="1">
      <c r="B97" s="1"/>
      <c r="F97" s="1"/>
      <c r="AM97" s="1"/>
    </row>
    <row r="98" ht="14.25" customHeight="1">
      <c r="B98" s="1"/>
      <c r="F98" s="1"/>
      <c r="AM98" s="1"/>
    </row>
    <row r="99" ht="14.25" customHeight="1">
      <c r="B99" s="1"/>
      <c r="F99" s="1"/>
      <c r="AM99" s="1"/>
    </row>
    <row r="100" ht="14.25" customHeight="1">
      <c r="B100" s="1"/>
      <c r="F100" s="1"/>
      <c r="AM100" s="1"/>
    </row>
    <row r="101" ht="14.25" customHeight="1">
      <c r="B101" s="1"/>
      <c r="F101" s="1"/>
      <c r="AM101" s="1"/>
    </row>
    <row r="102" ht="14.25" customHeight="1">
      <c r="B102" s="1"/>
      <c r="F102" s="1"/>
      <c r="AM102" s="1"/>
    </row>
    <row r="103" ht="14.25" customHeight="1">
      <c r="B103" s="1"/>
      <c r="F103" s="1"/>
      <c r="AM103" s="1"/>
    </row>
    <row r="104" ht="14.25" customHeight="1">
      <c r="B104" s="1"/>
      <c r="F104" s="1"/>
      <c r="AM104" s="1"/>
    </row>
    <row r="105" ht="14.25" customHeight="1">
      <c r="B105" s="1"/>
      <c r="F105" s="1"/>
      <c r="AM105" s="1"/>
    </row>
    <row r="106" ht="14.25" customHeight="1">
      <c r="B106" s="1"/>
      <c r="F106" s="1"/>
      <c r="AM106" s="1"/>
    </row>
    <row r="107" ht="14.25" customHeight="1">
      <c r="B107" s="1"/>
      <c r="F107" s="1"/>
      <c r="AM107" s="1"/>
    </row>
    <row r="108" ht="14.25" customHeight="1">
      <c r="B108" s="1"/>
      <c r="F108" s="1"/>
      <c r="AM108" s="1"/>
    </row>
    <row r="109" ht="14.25" customHeight="1">
      <c r="B109" s="1"/>
      <c r="F109" s="1"/>
      <c r="AM109" s="1"/>
    </row>
    <row r="110" ht="14.25" customHeight="1">
      <c r="B110" s="1"/>
      <c r="F110" s="1"/>
      <c r="AM110" s="1"/>
    </row>
    <row r="111" ht="14.25" customHeight="1">
      <c r="B111" s="1"/>
      <c r="F111" s="1"/>
      <c r="AM111" s="1"/>
    </row>
    <row r="112" ht="14.25" customHeight="1">
      <c r="B112" s="1"/>
      <c r="F112" s="1"/>
      <c r="AM112" s="1"/>
    </row>
    <row r="113" ht="14.25" customHeight="1">
      <c r="B113" s="1"/>
      <c r="F113" s="1"/>
      <c r="AM113" s="1"/>
    </row>
    <row r="114" ht="14.25" customHeight="1">
      <c r="B114" s="1"/>
      <c r="F114" s="1"/>
      <c r="AM114" s="1"/>
    </row>
    <row r="115" ht="14.25" customHeight="1">
      <c r="B115" s="1"/>
      <c r="F115" s="1"/>
      <c r="AM115" s="1"/>
    </row>
    <row r="116" ht="14.25" customHeight="1">
      <c r="B116" s="1"/>
      <c r="F116" s="1"/>
      <c r="AM116" s="1"/>
    </row>
    <row r="117" ht="14.25" customHeight="1">
      <c r="B117" s="1"/>
      <c r="F117" s="1"/>
      <c r="AM117" s="1"/>
    </row>
    <row r="118" ht="14.25" customHeight="1">
      <c r="B118" s="1"/>
      <c r="F118" s="1"/>
      <c r="AM118" s="1"/>
    </row>
    <row r="119" ht="14.25" customHeight="1">
      <c r="B119" s="1"/>
      <c r="F119" s="1"/>
      <c r="AM119" s="1"/>
    </row>
    <row r="120" ht="14.25" customHeight="1">
      <c r="B120" s="1"/>
      <c r="F120" s="1"/>
      <c r="AM120" s="1"/>
    </row>
    <row r="121" ht="14.25" customHeight="1">
      <c r="B121" s="1"/>
      <c r="F121" s="1"/>
      <c r="AM121" s="1"/>
    </row>
    <row r="122" ht="14.25" customHeight="1">
      <c r="B122" s="1"/>
      <c r="F122" s="1"/>
      <c r="AM122" s="1"/>
    </row>
    <row r="123" ht="14.25" customHeight="1">
      <c r="B123" s="1"/>
      <c r="F123" s="1"/>
      <c r="AM123" s="1"/>
    </row>
    <row r="124" ht="14.25" customHeight="1">
      <c r="B124" s="1"/>
      <c r="F124" s="1"/>
      <c r="AM124" s="1"/>
    </row>
    <row r="125" ht="14.25" customHeight="1">
      <c r="B125" s="1"/>
      <c r="F125" s="1"/>
      <c r="AM125" s="1"/>
    </row>
    <row r="126" ht="14.25" customHeight="1">
      <c r="B126" s="1"/>
      <c r="F126" s="1"/>
      <c r="AM126" s="1"/>
    </row>
    <row r="127" ht="14.25" customHeight="1">
      <c r="B127" s="1"/>
      <c r="F127" s="1"/>
      <c r="AM127" s="1"/>
    </row>
    <row r="128" ht="14.25" customHeight="1">
      <c r="B128" s="1"/>
      <c r="F128" s="1"/>
      <c r="AM128" s="1"/>
    </row>
    <row r="129" ht="14.25" customHeight="1">
      <c r="B129" s="1"/>
      <c r="F129" s="1"/>
      <c r="AM129" s="1"/>
    </row>
    <row r="130" ht="14.25" customHeight="1">
      <c r="B130" s="1"/>
      <c r="F130" s="1"/>
      <c r="AM130" s="1"/>
    </row>
    <row r="131" ht="14.25" customHeight="1">
      <c r="B131" s="1"/>
      <c r="F131" s="1"/>
      <c r="AM131" s="1"/>
    </row>
    <row r="132" ht="14.25" customHeight="1">
      <c r="B132" s="1"/>
      <c r="F132" s="1"/>
      <c r="AM132" s="1"/>
    </row>
    <row r="133" ht="14.25" customHeight="1">
      <c r="B133" s="1"/>
      <c r="F133" s="1"/>
      <c r="AM133" s="1"/>
    </row>
    <row r="134" ht="14.25" customHeight="1">
      <c r="B134" s="1"/>
      <c r="F134" s="1"/>
      <c r="AM134" s="1"/>
    </row>
    <row r="135" ht="14.25" customHeight="1">
      <c r="B135" s="1"/>
      <c r="F135" s="1"/>
      <c r="AM135" s="1"/>
    </row>
    <row r="136" ht="14.25" customHeight="1">
      <c r="B136" s="1"/>
      <c r="F136" s="1"/>
      <c r="AM136" s="1"/>
    </row>
    <row r="137" ht="14.25" customHeight="1">
      <c r="B137" s="1"/>
      <c r="F137" s="1"/>
      <c r="AM137" s="1"/>
    </row>
    <row r="138" ht="14.25" customHeight="1">
      <c r="B138" s="1"/>
      <c r="F138" s="1"/>
      <c r="AM138" s="1"/>
    </row>
    <row r="139" ht="14.25" customHeight="1">
      <c r="B139" s="1"/>
      <c r="F139" s="1"/>
      <c r="AM139" s="1"/>
    </row>
    <row r="140" ht="14.25" customHeight="1">
      <c r="B140" s="1"/>
      <c r="F140" s="1"/>
      <c r="AM140" s="1"/>
    </row>
    <row r="141" ht="14.25" customHeight="1">
      <c r="B141" s="1"/>
      <c r="F141" s="1"/>
      <c r="AM141" s="1"/>
    </row>
    <row r="142" ht="14.25" customHeight="1">
      <c r="B142" s="1"/>
      <c r="F142" s="1"/>
      <c r="AM142" s="1"/>
    </row>
    <row r="143" ht="14.25" customHeight="1">
      <c r="B143" s="1"/>
      <c r="F143" s="1"/>
      <c r="AM143" s="1"/>
    </row>
    <row r="144" ht="14.25" customHeight="1">
      <c r="B144" s="1"/>
      <c r="F144" s="1"/>
      <c r="AM144" s="1"/>
    </row>
    <row r="145" ht="14.25" customHeight="1">
      <c r="B145" s="1"/>
      <c r="F145" s="1"/>
      <c r="AM145" s="1"/>
    </row>
    <row r="146" ht="14.25" customHeight="1">
      <c r="B146" s="1"/>
      <c r="F146" s="1"/>
      <c r="AM146" s="1"/>
    </row>
    <row r="147" ht="14.25" customHeight="1">
      <c r="B147" s="1"/>
      <c r="F147" s="1"/>
      <c r="AM147" s="1"/>
    </row>
    <row r="148" ht="14.25" customHeight="1">
      <c r="B148" s="1"/>
      <c r="F148" s="1"/>
      <c r="AM148" s="1"/>
    </row>
    <row r="149" ht="14.25" customHeight="1">
      <c r="B149" s="1"/>
      <c r="F149" s="1"/>
      <c r="AM149" s="1"/>
    </row>
    <row r="150" ht="14.25" customHeight="1">
      <c r="B150" s="1"/>
      <c r="F150" s="1"/>
      <c r="AM150" s="1"/>
    </row>
    <row r="151" ht="14.25" customHeight="1">
      <c r="B151" s="1"/>
      <c r="F151" s="1"/>
      <c r="AM151" s="1"/>
    </row>
    <row r="152" ht="14.25" customHeight="1">
      <c r="B152" s="1"/>
      <c r="F152" s="1"/>
      <c r="AM152" s="1"/>
    </row>
    <row r="153" ht="14.25" customHeight="1">
      <c r="B153" s="1"/>
      <c r="F153" s="1"/>
      <c r="AM153" s="1"/>
    </row>
    <row r="154" ht="14.25" customHeight="1">
      <c r="B154" s="1"/>
      <c r="F154" s="1"/>
      <c r="AM154" s="1"/>
    </row>
    <row r="155" ht="14.25" customHeight="1">
      <c r="B155" s="1"/>
      <c r="F155" s="1"/>
      <c r="AM155" s="1"/>
    </row>
    <row r="156" ht="14.25" customHeight="1">
      <c r="B156" s="1"/>
      <c r="F156" s="1"/>
      <c r="AM156" s="1"/>
    </row>
    <row r="157" ht="14.25" customHeight="1">
      <c r="B157" s="1"/>
      <c r="F157" s="1"/>
      <c r="AM157" s="1"/>
    </row>
    <row r="158" ht="14.25" customHeight="1">
      <c r="B158" s="1"/>
      <c r="F158" s="1"/>
      <c r="AM158" s="1"/>
    </row>
    <row r="159" ht="14.25" customHeight="1">
      <c r="B159" s="1"/>
      <c r="F159" s="1"/>
      <c r="AM159" s="1"/>
    </row>
    <row r="160" ht="14.25" customHeight="1">
      <c r="B160" s="1"/>
      <c r="F160" s="1"/>
      <c r="AM160" s="1"/>
    </row>
    <row r="161" ht="14.25" customHeight="1">
      <c r="B161" s="1"/>
      <c r="F161" s="1"/>
      <c r="AM161" s="1"/>
    </row>
    <row r="162" ht="14.25" customHeight="1">
      <c r="B162" s="1"/>
      <c r="F162" s="1"/>
      <c r="AM162" s="1"/>
    </row>
    <row r="163" ht="14.25" customHeight="1">
      <c r="B163" s="1"/>
      <c r="F163" s="1"/>
      <c r="AM163" s="1"/>
    </row>
    <row r="164" ht="14.25" customHeight="1">
      <c r="B164" s="1"/>
      <c r="F164" s="1"/>
      <c r="AM164" s="1"/>
    </row>
    <row r="165" ht="14.25" customHeight="1">
      <c r="B165" s="1"/>
      <c r="F165" s="1"/>
      <c r="AM165" s="1"/>
    </row>
    <row r="166" ht="14.25" customHeight="1">
      <c r="B166" s="1"/>
      <c r="F166" s="1"/>
      <c r="AM166" s="1"/>
    </row>
    <row r="167" ht="14.25" customHeight="1">
      <c r="B167" s="1"/>
      <c r="F167" s="1"/>
      <c r="AM167" s="1"/>
    </row>
    <row r="168" ht="14.25" customHeight="1">
      <c r="B168" s="1"/>
      <c r="F168" s="1"/>
      <c r="AM168" s="1"/>
    </row>
    <row r="169" ht="14.25" customHeight="1">
      <c r="B169" s="1"/>
      <c r="F169" s="1"/>
      <c r="AM169" s="1"/>
    </row>
    <row r="170" ht="14.25" customHeight="1">
      <c r="B170" s="1"/>
      <c r="F170" s="1"/>
      <c r="AM170" s="1"/>
    </row>
    <row r="171" ht="14.25" customHeight="1">
      <c r="B171" s="1"/>
      <c r="F171" s="1"/>
      <c r="AM171" s="1"/>
    </row>
    <row r="172" ht="14.25" customHeight="1">
      <c r="B172" s="1"/>
      <c r="F172" s="1"/>
      <c r="AM172" s="1"/>
    </row>
    <row r="173" ht="14.25" customHeight="1">
      <c r="B173" s="1"/>
      <c r="F173" s="1"/>
      <c r="AM173" s="1"/>
    </row>
    <row r="174" ht="14.25" customHeight="1">
      <c r="B174" s="1"/>
      <c r="F174" s="1"/>
      <c r="AM174" s="1"/>
    </row>
    <row r="175" ht="14.25" customHeight="1">
      <c r="B175" s="1"/>
      <c r="F175" s="1"/>
      <c r="AM175" s="1"/>
    </row>
    <row r="176" ht="14.25" customHeight="1">
      <c r="B176" s="1"/>
      <c r="F176" s="1"/>
      <c r="AM176" s="1"/>
    </row>
    <row r="177" ht="14.25" customHeight="1">
      <c r="B177" s="1"/>
      <c r="F177" s="1"/>
      <c r="AM177" s="1"/>
    </row>
    <row r="178" ht="14.25" customHeight="1">
      <c r="B178" s="1"/>
      <c r="F178" s="1"/>
      <c r="AM178" s="1"/>
    </row>
    <row r="179" ht="14.25" customHeight="1">
      <c r="B179" s="1"/>
      <c r="F179" s="1"/>
      <c r="AM179" s="1"/>
    </row>
    <row r="180" ht="14.25" customHeight="1">
      <c r="B180" s="1"/>
      <c r="F180" s="1"/>
      <c r="AM180" s="1"/>
    </row>
    <row r="181" ht="14.25" customHeight="1">
      <c r="B181" s="1"/>
      <c r="F181" s="1"/>
      <c r="AM181" s="1"/>
    </row>
    <row r="182" ht="14.25" customHeight="1">
      <c r="B182" s="1"/>
      <c r="F182" s="1"/>
      <c r="AM182" s="1"/>
    </row>
    <row r="183" ht="14.25" customHeight="1">
      <c r="B183" s="1"/>
      <c r="F183" s="1"/>
      <c r="AM183" s="1"/>
    </row>
    <row r="184" ht="14.25" customHeight="1">
      <c r="B184" s="1"/>
      <c r="F184" s="1"/>
      <c r="AM184" s="1"/>
    </row>
    <row r="185" ht="14.25" customHeight="1">
      <c r="B185" s="1"/>
      <c r="F185" s="1"/>
      <c r="AM185" s="1"/>
    </row>
    <row r="186" ht="14.25" customHeight="1">
      <c r="B186" s="1"/>
      <c r="F186" s="1"/>
      <c r="AM186" s="1"/>
    </row>
    <row r="187" ht="14.25" customHeight="1">
      <c r="B187" s="1"/>
      <c r="F187" s="1"/>
      <c r="AM187" s="1"/>
    </row>
    <row r="188" ht="14.25" customHeight="1">
      <c r="B188" s="1"/>
      <c r="F188" s="1"/>
      <c r="AM188" s="1"/>
    </row>
    <row r="189" ht="14.25" customHeight="1">
      <c r="B189" s="1"/>
      <c r="F189" s="1"/>
      <c r="AM189" s="1"/>
    </row>
    <row r="190" ht="14.25" customHeight="1">
      <c r="B190" s="1"/>
      <c r="F190" s="1"/>
      <c r="AM190" s="1"/>
    </row>
    <row r="191" ht="14.25" customHeight="1">
      <c r="B191" s="1"/>
      <c r="F191" s="1"/>
      <c r="AM191" s="1"/>
    </row>
    <row r="192" ht="14.25" customHeight="1">
      <c r="B192" s="1"/>
      <c r="F192" s="1"/>
      <c r="AM192" s="1"/>
    </row>
    <row r="193" ht="14.25" customHeight="1">
      <c r="B193" s="1"/>
      <c r="F193" s="1"/>
      <c r="AM193" s="1"/>
    </row>
    <row r="194" ht="14.25" customHeight="1">
      <c r="B194" s="1"/>
      <c r="F194" s="1"/>
      <c r="AM194" s="1"/>
    </row>
    <row r="195" ht="14.25" customHeight="1">
      <c r="B195" s="1"/>
      <c r="F195" s="1"/>
      <c r="AM195" s="1"/>
    </row>
    <row r="196" ht="14.25" customHeight="1">
      <c r="B196" s="1"/>
      <c r="F196" s="1"/>
      <c r="AM196" s="1"/>
    </row>
    <row r="197" ht="14.25" customHeight="1">
      <c r="B197" s="1"/>
      <c r="F197" s="1"/>
      <c r="AM197" s="1"/>
    </row>
    <row r="198" ht="14.25" customHeight="1">
      <c r="B198" s="1"/>
      <c r="F198" s="1"/>
      <c r="AM198" s="1"/>
    </row>
    <row r="199" ht="14.25" customHeight="1">
      <c r="B199" s="1"/>
      <c r="F199" s="1"/>
      <c r="AM199" s="1"/>
    </row>
    <row r="200" ht="14.25" customHeight="1">
      <c r="B200" s="1"/>
      <c r="F200" s="1"/>
      <c r="AM200" s="1"/>
    </row>
    <row r="201" ht="14.25" customHeight="1">
      <c r="B201" s="1"/>
      <c r="F201" s="1"/>
      <c r="AM201" s="1"/>
    </row>
    <row r="202" ht="14.25" customHeight="1">
      <c r="B202" s="1"/>
      <c r="F202" s="1"/>
      <c r="AM202" s="1"/>
    </row>
    <row r="203" ht="14.25" customHeight="1">
      <c r="B203" s="1"/>
      <c r="F203" s="1"/>
      <c r="AM203" s="1"/>
    </row>
    <row r="204" ht="14.25" customHeight="1">
      <c r="B204" s="1"/>
      <c r="F204" s="1"/>
      <c r="AM204" s="1"/>
    </row>
    <row r="205" ht="14.25" customHeight="1">
      <c r="B205" s="1"/>
      <c r="F205" s="1"/>
      <c r="AM205" s="1"/>
    </row>
    <row r="206" ht="14.25" customHeight="1">
      <c r="B206" s="1"/>
      <c r="F206" s="1"/>
      <c r="AM206" s="1"/>
    </row>
    <row r="207" ht="14.25" customHeight="1">
      <c r="B207" s="1"/>
      <c r="F207" s="1"/>
      <c r="AM207" s="1"/>
    </row>
    <row r="208" ht="14.25" customHeight="1">
      <c r="B208" s="1"/>
      <c r="F208" s="1"/>
      <c r="AM208" s="1"/>
    </row>
    <row r="209" ht="14.25" customHeight="1">
      <c r="B209" s="1"/>
      <c r="F209" s="1"/>
      <c r="AM209" s="1"/>
    </row>
    <row r="210" ht="14.25" customHeight="1">
      <c r="B210" s="1"/>
      <c r="F210" s="1"/>
      <c r="AM210" s="1"/>
    </row>
    <row r="211" ht="14.25" customHeight="1">
      <c r="B211" s="1"/>
      <c r="F211" s="1"/>
      <c r="AM211" s="1"/>
    </row>
    <row r="212" ht="14.25" customHeight="1">
      <c r="B212" s="1"/>
      <c r="F212" s="1"/>
      <c r="AM212" s="1"/>
    </row>
    <row r="213" ht="14.25" customHeight="1">
      <c r="B213" s="1"/>
      <c r="F213" s="1"/>
      <c r="AM213" s="1"/>
    </row>
    <row r="214" ht="14.25" customHeight="1">
      <c r="B214" s="1"/>
      <c r="F214" s="1"/>
      <c r="AM214" s="1"/>
    </row>
    <row r="215" ht="14.25" customHeight="1">
      <c r="B215" s="1"/>
      <c r="F215" s="1"/>
      <c r="AM215" s="1"/>
    </row>
    <row r="216" ht="14.25" customHeight="1">
      <c r="B216" s="1"/>
      <c r="F216" s="1"/>
      <c r="AM216" s="1"/>
    </row>
    <row r="217" ht="14.25" customHeight="1">
      <c r="B217" s="1"/>
      <c r="F217" s="1"/>
      <c r="AM217" s="1"/>
    </row>
    <row r="218" ht="14.25" customHeight="1">
      <c r="B218" s="1"/>
      <c r="F218" s="1"/>
      <c r="AM218" s="1"/>
    </row>
    <row r="219" ht="14.25" customHeight="1">
      <c r="B219" s="1"/>
      <c r="F219" s="1"/>
      <c r="AM219" s="1"/>
    </row>
    <row r="220" ht="14.25" customHeight="1">
      <c r="B220" s="1"/>
      <c r="F220" s="1"/>
      <c r="AM220" s="1"/>
    </row>
    <row r="221" ht="14.25" customHeight="1">
      <c r="B221" s="1"/>
      <c r="F221" s="1"/>
      <c r="AM221" s="1"/>
    </row>
    <row r="222" ht="14.25" customHeight="1">
      <c r="B222" s="1"/>
      <c r="F222" s="1"/>
      <c r="AM222" s="1"/>
    </row>
    <row r="223" ht="14.25" customHeight="1">
      <c r="B223" s="1"/>
      <c r="F223" s="1"/>
      <c r="AM223" s="1"/>
    </row>
    <row r="224" ht="14.25" customHeight="1">
      <c r="B224" s="1"/>
      <c r="F224" s="1"/>
      <c r="AM224" s="1"/>
    </row>
    <row r="225" ht="14.25" customHeight="1">
      <c r="B225" s="1"/>
      <c r="F225" s="1"/>
      <c r="AM225" s="1"/>
    </row>
    <row r="226" ht="14.25" customHeight="1">
      <c r="B226" s="1"/>
      <c r="F226" s="1"/>
      <c r="AM226" s="1"/>
    </row>
    <row r="227" ht="14.25" customHeight="1">
      <c r="B227" s="1"/>
      <c r="F227" s="1"/>
      <c r="AM227" s="1"/>
    </row>
    <row r="228" ht="14.25" customHeight="1">
      <c r="B228" s="1"/>
      <c r="F228" s="1"/>
      <c r="AM228" s="1"/>
    </row>
    <row r="229" ht="14.25" customHeight="1">
      <c r="B229" s="1"/>
      <c r="F229" s="1"/>
      <c r="AM229" s="1"/>
    </row>
    <row r="230" ht="14.25" customHeight="1">
      <c r="B230" s="1"/>
      <c r="F230" s="1"/>
      <c r="AM230" s="1"/>
    </row>
    <row r="231" ht="14.25" customHeight="1">
      <c r="B231" s="1"/>
      <c r="F231" s="1"/>
      <c r="AM231" s="1"/>
    </row>
    <row r="232" ht="14.25" customHeight="1">
      <c r="B232" s="1"/>
      <c r="F232" s="1"/>
      <c r="AM232" s="1"/>
    </row>
    <row r="233" ht="14.25" customHeight="1">
      <c r="B233" s="1"/>
      <c r="F233" s="1"/>
      <c r="AM233" s="1"/>
    </row>
    <row r="234" ht="14.25" customHeight="1">
      <c r="B234" s="1"/>
      <c r="F234" s="1"/>
      <c r="AM234" s="1"/>
    </row>
    <row r="235" ht="14.25" customHeight="1">
      <c r="B235" s="1"/>
      <c r="F235" s="1"/>
      <c r="AM235" s="1"/>
    </row>
    <row r="236" ht="14.25" customHeight="1">
      <c r="B236" s="1"/>
      <c r="F236" s="1"/>
      <c r="AM236" s="1"/>
    </row>
    <row r="237" ht="14.25" customHeight="1">
      <c r="B237" s="1"/>
      <c r="F237" s="1"/>
      <c r="AM237" s="1"/>
    </row>
    <row r="238" ht="14.25" customHeight="1">
      <c r="B238" s="1"/>
      <c r="F238" s="1"/>
      <c r="AM238" s="1"/>
    </row>
    <row r="239" ht="14.25" customHeight="1">
      <c r="B239" s="1"/>
      <c r="F239" s="1"/>
      <c r="AM239" s="1"/>
    </row>
    <row r="240" ht="14.25" customHeight="1">
      <c r="B240" s="1"/>
      <c r="F240" s="1"/>
      <c r="AM240" s="1"/>
    </row>
    <row r="241" ht="14.25" customHeight="1">
      <c r="B241" s="1"/>
      <c r="F241" s="1"/>
      <c r="AM241" s="1"/>
    </row>
    <row r="242" ht="14.25" customHeight="1">
      <c r="B242" s="1"/>
      <c r="F242" s="1"/>
      <c r="AM242" s="1"/>
    </row>
    <row r="243" ht="14.25" customHeight="1">
      <c r="B243" s="1"/>
      <c r="F243" s="1"/>
      <c r="AM243" s="1"/>
    </row>
    <row r="244" ht="14.25" customHeight="1">
      <c r="B244" s="1"/>
      <c r="F244" s="1"/>
      <c r="AM244" s="1"/>
    </row>
    <row r="245" ht="14.25" customHeight="1">
      <c r="B245" s="1"/>
      <c r="F245" s="1"/>
      <c r="AM245" s="1"/>
    </row>
    <row r="246" ht="14.25" customHeight="1">
      <c r="B246" s="1"/>
      <c r="F246" s="1"/>
      <c r="AM246" s="1"/>
    </row>
    <row r="247" ht="14.25" customHeight="1">
      <c r="B247" s="1"/>
      <c r="F247" s="1"/>
      <c r="AM247" s="1"/>
    </row>
    <row r="248" ht="14.25" customHeight="1">
      <c r="B248" s="1"/>
      <c r="F248" s="1"/>
      <c r="AM248" s="1"/>
    </row>
    <row r="249" ht="14.25" customHeight="1">
      <c r="B249" s="1"/>
      <c r="F249" s="1"/>
      <c r="AM249" s="1"/>
    </row>
    <row r="250" ht="14.25" customHeight="1">
      <c r="B250" s="1"/>
      <c r="F250" s="1"/>
      <c r="AM250" s="1"/>
    </row>
    <row r="251" ht="14.25" customHeight="1">
      <c r="B251" s="1"/>
      <c r="F251" s="1"/>
      <c r="AM251" s="1"/>
    </row>
    <row r="252" ht="14.25" customHeight="1">
      <c r="B252" s="1"/>
      <c r="F252" s="1"/>
      <c r="AM252" s="1"/>
    </row>
    <row r="253" ht="14.25" customHeight="1">
      <c r="B253" s="1"/>
      <c r="F253" s="1"/>
      <c r="AM253" s="1"/>
    </row>
    <row r="254" ht="14.25" customHeight="1">
      <c r="B254" s="1"/>
      <c r="F254" s="1"/>
      <c r="AM254" s="1"/>
    </row>
    <row r="255" ht="14.25" customHeight="1">
      <c r="B255" s="1"/>
      <c r="F255" s="1"/>
      <c r="AM255" s="1"/>
    </row>
    <row r="256" ht="14.25" customHeight="1">
      <c r="B256" s="1"/>
      <c r="F256" s="1"/>
      <c r="AM256" s="1"/>
    </row>
    <row r="257" ht="14.25" customHeight="1">
      <c r="B257" s="1"/>
      <c r="F257" s="1"/>
      <c r="AM257" s="1"/>
    </row>
    <row r="258" ht="14.25" customHeight="1">
      <c r="B258" s="1"/>
      <c r="F258" s="1"/>
      <c r="AM258" s="1"/>
    </row>
    <row r="259" ht="14.25" customHeight="1">
      <c r="B259" s="1"/>
      <c r="F259" s="1"/>
      <c r="AM259" s="1"/>
    </row>
    <row r="260" ht="14.25" customHeight="1">
      <c r="B260" s="1"/>
      <c r="F260" s="1"/>
      <c r="AM260" s="1"/>
    </row>
    <row r="261" ht="14.25" customHeight="1">
      <c r="B261" s="1"/>
      <c r="F261" s="1"/>
      <c r="AM261" s="1"/>
    </row>
    <row r="262" ht="14.25" customHeight="1">
      <c r="B262" s="1"/>
      <c r="F262" s="1"/>
      <c r="AM262" s="1"/>
    </row>
    <row r="263" ht="14.25" customHeight="1">
      <c r="B263" s="1"/>
      <c r="F263" s="1"/>
      <c r="AM263" s="1"/>
    </row>
    <row r="264" ht="14.25" customHeight="1">
      <c r="B264" s="1"/>
      <c r="F264" s="1"/>
      <c r="AM264" s="1"/>
    </row>
    <row r="265" ht="14.25" customHeight="1">
      <c r="B265" s="1"/>
      <c r="F265" s="1"/>
      <c r="AM265" s="1"/>
    </row>
    <row r="266" ht="14.25" customHeight="1">
      <c r="B266" s="1"/>
      <c r="F266" s="1"/>
      <c r="AM266" s="1"/>
    </row>
    <row r="267" ht="14.25" customHeight="1">
      <c r="B267" s="1"/>
      <c r="F267" s="1"/>
      <c r="AM267" s="1"/>
    </row>
    <row r="268" ht="14.25" customHeight="1">
      <c r="B268" s="1"/>
      <c r="F268" s="1"/>
      <c r="AM268" s="1"/>
    </row>
    <row r="269" ht="14.25" customHeight="1">
      <c r="B269" s="1"/>
      <c r="F269" s="1"/>
      <c r="AM269" s="1"/>
    </row>
    <row r="270" ht="14.25" customHeight="1">
      <c r="B270" s="1"/>
      <c r="F270" s="1"/>
      <c r="AM270" s="1"/>
    </row>
    <row r="271" ht="14.25" customHeight="1">
      <c r="B271" s="1"/>
      <c r="F271" s="1"/>
      <c r="AM271" s="1"/>
    </row>
    <row r="272" ht="14.25" customHeight="1">
      <c r="B272" s="1"/>
      <c r="F272" s="1"/>
      <c r="AM272" s="1"/>
    </row>
    <row r="273" ht="14.25" customHeight="1">
      <c r="B273" s="1"/>
      <c r="F273" s="1"/>
      <c r="AM273" s="1"/>
    </row>
    <row r="274" ht="14.25" customHeight="1">
      <c r="B274" s="1"/>
      <c r="F274" s="1"/>
      <c r="AM274" s="1"/>
    </row>
    <row r="275" ht="14.25" customHeight="1">
      <c r="B275" s="1"/>
      <c r="F275" s="1"/>
      <c r="AM275" s="1"/>
    </row>
    <row r="276" ht="14.25" customHeight="1">
      <c r="B276" s="1"/>
      <c r="F276" s="1"/>
      <c r="AM276" s="1"/>
    </row>
    <row r="277" ht="14.25" customHeight="1">
      <c r="B277" s="1"/>
      <c r="F277" s="1"/>
      <c r="AM277" s="1"/>
    </row>
    <row r="278" ht="14.25" customHeight="1">
      <c r="B278" s="1"/>
      <c r="F278" s="1"/>
      <c r="AM278" s="1"/>
    </row>
    <row r="279" ht="14.25" customHeight="1">
      <c r="B279" s="1"/>
      <c r="F279" s="1"/>
      <c r="AM279" s="1"/>
    </row>
    <row r="280" ht="14.25" customHeight="1">
      <c r="B280" s="1"/>
      <c r="F280" s="1"/>
      <c r="AM280" s="1"/>
    </row>
    <row r="281" ht="14.25" customHeight="1">
      <c r="B281" s="1"/>
      <c r="F281" s="1"/>
      <c r="AM281" s="1"/>
    </row>
    <row r="282" ht="14.25" customHeight="1">
      <c r="B282" s="1"/>
      <c r="F282" s="1"/>
      <c r="AM282" s="1"/>
    </row>
    <row r="283" ht="14.25" customHeight="1">
      <c r="B283" s="1"/>
      <c r="F283" s="1"/>
      <c r="AM283" s="1"/>
    </row>
    <row r="284" ht="14.25" customHeight="1">
      <c r="B284" s="1"/>
      <c r="F284" s="1"/>
      <c r="AM284" s="1"/>
    </row>
    <row r="285" ht="14.25" customHeight="1">
      <c r="B285" s="1"/>
      <c r="F285" s="1"/>
      <c r="AM285" s="1"/>
    </row>
    <row r="286" ht="14.25" customHeight="1">
      <c r="B286" s="1"/>
      <c r="F286" s="1"/>
      <c r="AM286" s="1"/>
    </row>
    <row r="287" ht="14.25" customHeight="1">
      <c r="B287" s="1"/>
      <c r="F287" s="1"/>
      <c r="AM287" s="1"/>
    </row>
    <row r="288" ht="14.25" customHeight="1">
      <c r="B288" s="1"/>
      <c r="F288" s="1"/>
      <c r="AM288" s="1"/>
    </row>
    <row r="289" ht="14.25" customHeight="1">
      <c r="B289" s="1"/>
      <c r="F289" s="1"/>
      <c r="AM289" s="1"/>
    </row>
    <row r="290" ht="14.25" customHeight="1">
      <c r="B290" s="1"/>
      <c r="F290" s="1"/>
      <c r="AM290" s="1"/>
    </row>
    <row r="291" ht="14.25" customHeight="1">
      <c r="B291" s="1"/>
      <c r="F291" s="1"/>
      <c r="AM291" s="1"/>
    </row>
    <row r="292" ht="14.25" customHeight="1">
      <c r="B292" s="1"/>
      <c r="F292" s="1"/>
      <c r="AM292" s="1"/>
    </row>
    <row r="293" ht="14.25" customHeight="1">
      <c r="B293" s="1"/>
      <c r="F293" s="1"/>
      <c r="AM293" s="1"/>
    </row>
    <row r="294" ht="14.25" customHeight="1">
      <c r="B294" s="1"/>
      <c r="F294" s="1"/>
      <c r="AM294" s="1"/>
    </row>
    <row r="295" ht="14.25" customHeight="1">
      <c r="B295" s="1"/>
      <c r="F295" s="1"/>
      <c r="AM295" s="1"/>
    </row>
    <row r="296" ht="14.25" customHeight="1">
      <c r="B296" s="1"/>
      <c r="F296" s="1"/>
      <c r="AM296" s="1"/>
    </row>
    <row r="297" ht="14.25" customHeight="1">
      <c r="B297" s="1"/>
      <c r="F297" s="1"/>
      <c r="AM297" s="1"/>
    </row>
    <row r="298" ht="14.25" customHeight="1">
      <c r="B298" s="1"/>
      <c r="F298" s="1"/>
      <c r="AM298" s="1"/>
    </row>
    <row r="299" ht="14.25" customHeight="1">
      <c r="B299" s="1"/>
      <c r="F299" s="1"/>
      <c r="AM299" s="1"/>
    </row>
    <row r="300" ht="14.25" customHeight="1">
      <c r="B300" s="1"/>
      <c r="F300" s="1"/>
      <c r="AM300" s="1"/>
    </row>
    <row r="301" ht="14.25" customHeight="1">
      <c r="B301" s="1"/>
      <c r="F301" s="1"/>
      <c r="AM301" s="1"/>
    </row>
    <row r="302" ht="14.25" customHeight="1">
      <c r="B302" s="1"/>
      <c r="F302" s="1"/>
      <c r="AM302" s="1"/>
    </row>
    <row r="303" ht="14.25" customHeight="1">
      <c r="B303" s="1"/>
      <c r="F303" s="1"/>
      <c r="AM303" s="1"/>
    </row>
    <row r="304" ht="14.25" customHeight="1">
      <c r="B304" s="1"/>
      <c r="F304" s="1"/>
      <c r="AM304" s="1"/>
    </row>
    <row r="305" ht="14.25" customHeight="1">
      <c r="B305" s="1"/>
      <c r="F305" s="1"/>
      <c r="AM305" s="1"/>
    </row>
    <row r="306" ht="14.25" customHeight="1">
      <c r="B306" s="1"/>
      <c r="F306" s="1"/>
      <c r="AM306" s="1"/>
    </row>
    <row r="307" ht="14.25" customHeight="1">
      <c r="B307" s="1"/>
      <c r="F307" s="1"/>
      <c r="AM307" s="1"/>
    </row>
    <row r="308" ht="14.25" customHeight="1">
      <c r="B308" s="1"/>
      <c r="F308" s="1"/>
      <c r="AM308" s="1"/>
    </row>
    <row r="309" ht="14.25" customHeight="1">
      <c r="B309" s="1"/>
      <c r="F309" s="1"/>
      <c r="AM309" s="1"/>
    </row>
    <row r="310" ht="14.25" customHeight="1">
      <c r="B310" s="1"/>
      <c r="F310" s="1"/>
      <c r="AM310" s="1"/>
    </row>
    <row r="311" ht="14.25" customHeight="1">
      <c r="B311" s="1"/>
      <c r="F311" s="1"/>
      <c r="AM311" s="1"/>
    </row>
    <row r="312" ht="14.25" customHeight="1">
      <c r="B312" s="1"/>
      <c r="F312" s="1"/>
      <c r="AM312" s="1"/>
    </row>
    <row r="313" ht="14.25" customHeight="1">
      <c r="B313" s="1"/>
      <c r="F313" s="1"/>
      <c r="AM313" s="1"/>
    </row>
    <row r="314" ht="14.25" customHeight="1">
      <c r="B314" s="1"/>
      <c r="F314" s="1"/>
      <c r="AM314" s="1"/>
    </row>
    <row r="315" ht="14.25" customHeight="1">
      <c r="B315" s="1"/>
      <c r="F315" s="1"/>
      <c r="AM315" s="1"/>
    </row>
    <row r="316" ht="14.25" customHeight="1">
      <c r="B316" s="1"/>
      <c r="F316" s="1"/>
      <c r="AM316" s="1"/>
    </row>
    <row r="317" ht="14.25" customHeight="1">
      <c r="B317" s="1"/>
      <c r="F317" s="1"/>
      <c r="AM317" s="1"/>
    </row>
    <row r="318" ht="14.25" customHeight="1">
      <c r="B318" s="1"/>
      <c r="F318" s="1"/>
      <c r="AM318" s="1"/>
    </row>
    <row r="319" ht="14.25" customHeight="1">
      <c r="B319" s="1"/>
      <c r="F319" s="1"/>
      <c r="AM319" s="1"/>
    </row>
    <row r="320" ht="14.25" customHeight="1">
      <c r="B320" s="1"/>
      <c r="F320" s="1"/>
      <c r="AM320" s="1"/>
    </row>
    <row r="321" ht="14.25" customHeight="1">
      <c r="B321" s="1"/>
      <c r="F321" s="1"/>
      <c r="AM321" s="1"/>
    </row>
    <row r="322" ht="14.25" customHeight="1">
      <c r="B322" s="1"/>
      <c r="F322" s="1"/>
      <c r="AM322" s="1"/>
    </row>
    <row r="323" ht="14.25" customHeight="1">
      <c r="B323" s="1"/>
      <c r="F323" s="1"/>
      <c r="AM323" s="1"/>
    </row>
    <row r="324" ht="14.25" customHeight="1">
      <c r="B324" s="1"/>
      <c r="F324" s="1"/>
      <c r="AM324" s="1"/>
    </row>
    <row r="325" ht="14.25" customHeight="1">
      <c r="B325" s="1"/>
      <c r="F325" s="1"/>
      <c r="AM325" s="1"/>
    </row>
    <row r="326" ht="14.25" customHeight="1">
      <c r="B326" s="1"/>
      <c r="F326" s="1"/>
      <c r="AM326" s="1"/>
    </row>
    <row r="327" ht="14.25" customHeight="1">
      <c r="B327" s="1"/>
      <c r="F327" s="1"/>
      <c r="AM327" s="1"/>
    </row>
    <row r="328" ht="14.25" customHeight="1">
      <c r="B328" s="1"/>
      <c r="F328" s="1"/>
      <c r="AM328" s="1"/>
    </row>
    <row r="329" ht="14.25" customHeight="1">
      <c r="B329" s="1"/>
      <c r="F329" s="1"/>
      <c r="AM329" s="1"/>
    </row>
    <row r="330" ht="14.25" customHeight="1">
      <c r="B330" s="1"/>
      <c r="F330" s="1"/>
      <c r="AM330" s="1"/>
    </row>
    <row r="331" ht="14.25" customHeight="1">
      <c r="B331" s="1"/>
      <c r="F331" s="1"/>
      <c r="AM331" s="1"/>
    </row>
    <row r="332" ht="14.25" customHeight="1">
      <c r="B332" s="1"/>
      <c r="F332" s="1"/>
      <c r="AM332" s="1"/>
    </row>
    <row r="333" ht="14.25" customHeight="1">
      <c r="B333" s="1"/>
      <c r="F333" s="1"/>
      <c r="AM333" s="1"/>
    </row>
    <row r="334" ht="14.25" customHeight="1">
      <c r="B334" s="1"/>
      <c r="F334" s="1"/>
      <c r="AM334" s="1"/>
    </row>
    <row r="335" ht="14.25" customHeight="1">
      <c r="B335" s="1"/>
      <c r="F335" s="1"/>
      <c r="AM335" s="1"/>
    </row>
    <row r="336" ht="14.25" customHeight="1">
      <c r="B336" s="1"/>
      <c r="F336" s="1"/>
      <c r="AM336" s="1"/>
    </row>
    <row r="337" ht="14.25" customHeight="1">
      <c r="B337" s="1"/>
      <c r="F337" s="1"/>
      <c r="AM337" s="1"/>
    </row>
    <row r="338" ht="14.25" customHeight="1">
      <c r="B338" s="1"/>
      <c r="F338" s="1"/>
      <c r="AM338" s="1"/>
    </row>
    <row r="339" ht="14.25" customHeight="1">
      <c r="B339" s="1"/>
      <c r="F339" s="1"/>
      <c r="AM339" s="1"/>
    </row>
    <row r="340" ht="14.25" customHeight="1">
      <c r="B340" s="1"/>
      <c r="F340" s="1"/>
      <c r="AM340" s="1"/>
    </row>
    <row r="341" ht="14.25" customHeight="1">
      <c r="B341" s="1"/>
      <c r="F341" s="1"/>
      <c r="AM341" s="1"/>
    </row>
    <row r="342" ht="14.25" customHeight="1">
      <c r="B342" s="1"/>
      <c r="F342" s="1"/>
      <c r="AM342" s="1"/>
    </row>
    <row r="343" ht="14.25" customHeight="1">
      <c r="B343" s="1"/>
      <c r="F343" s="1"/>
      <c r="AM343" s="1"/>
    </row>
    <row r="344" ht="14.25" customHeight="1">
      <c r="B344" s="1"/>
      <c r="F344" s="1"/>
      <c r="AM344" s="1"/>
    </row>
    <row r="345" ht="14.25" customHeight="1">
      <c r="B345" s="1"/>
      <c r="F345" s="1"/>
      <c r="AM345" s="1"/>
    </row>
    <row r="346" ht="14.25" customHeight="1">
      <c r="B346" s="1"/>
      <c r="F346" s="1"/>
      <c r="AM346" s="1"/>
    </row>
    <row r="347" ht="14.25" customHeight="1">
      <c r="B347" s="1"/>
      <c r="F347" s="1"/>
      <c r="AM347" s="1"/>
    </row>
    <row r="348" ht="14.25" customHeight="1">
      <c r="B348" s="1"/>
      <c r="F348" s="1"/>
      <c r="AM348" s="1"/>
    </row>
    <row r="349" ht="14.25" customHeight="1">
      <c r="B349" s="1"/>
      <c r="F349" s="1"/>
      <c r="AM349" s="1"/>
    </row>
    <row r="350" ht="14.25" customHeight="1">
      <c r="B350" s="1"/>
      <c r="F350" s="1"/>
      <c r="AM350" s="1"/>
    </row>
    <row r="351" ht="14.25" customHeight="1">
      <c r="B351" s="1"/>
      <c r="F351" s="1"/>
      <c r="AM351" s="1"/>
    </row>
    <row r="352" ht="14.25" customHeight="1">
      <c r="B352" s="1"/>
      <c r="F352" s="1"/>
      <c r="AM352" s="1"/>
    </row>
    <row r="353" ht="14.25" customHeight="1">
      <c r="B353" s="1"/>
      <c r="F353" s="1"/>
      <c r="AM353" s="1"/>
    </row>
    <row r="354" ht="14.25" customHeight="1">
      <c r="B354" s="1"/>
      <c r="F354" s="1"/>
      <c r="AM354" s="1"/>
    </row>
    <row r="355" ht="14.25" customHeight="1">
      <c r="B355" s="1"/>
      <c r="F355" s="1"/>
      <c r="AM355" s="1"/>
    </row>
    <row r="356" ht="14.25" customHeight="1">
      <c r="B356" s="1"/>
      <c r="F356" s="1"/>
      <c r="AM356" s="1"/>
    </row>
    <row r="357" ht="14.25" customHeight="1">
      <c r="B357" s="1"/>
      <c r="F357" s="1"/>
      <c r="AM357" s="1"/>
    </row>
    <row r="358" ht="14.25" customHeight="1">
      <c r="B358" s="1"/>
      <c r="F358" s="1"/>
      <c r="AM358" s="1"/>
    </row>
    <row r="359" ht="14.25" customHeight="1">
      <c r="B359" s="1"/>
      <c r="F359" s="1"/>
      <c r="AM359" s="1"/>
    </row>
    <row r="360" ht="14.25" customHeight="1">
      <c r="B360" s="1"/>
      <c r="F360" s="1"/>
      <c r="AM360" s="1"/>
    </row>
    <row r="361" ht="14.25" customHeight="1">
      <c r="B361" s="1"/>
      <c r="F361" s="1"/>
      <c r="AM361" s="1"/>
    </row>
    <row r="362" ht="14.25" customHeight="1">
      <c r="B362" s="1"/>
      <c r="F362" s="1"/>
      <c r="AM362" s="1"/>
    </row>
    <row r="363" ht="14.25" customHeight="1">
      <c r="B363" s="1"/>
      <c r="F363" s="1"/>
      <c r="AM363" s="1"/>
    </row>
    <row r="364" ht="14.25" customHeight="1">
      <c r="B364" s="1"/>
      <c r="F364" s="1"/>
      <c r="AM364" s="1"/>
    </row>
    <row r="365" ht="14.25" customHeight="1">
      <c r="B365" s="1"/>
      <c r="F365" s="1"/>
      <c r="AM365" s="1"/>
    </row>
    <row r="366" ht="14.25" customHeight="1">
      <c r="B366" s="1"/>
      <c r="F366" s="1"/>
      <c r="AM366" s="1"/>
    </row>
    <row r="367" ht="14.25" customHeight="1">
      <c r="B367" s="1"/>
      <c r="F367" s="1"/>
      <c r="AM367" s="1"/>
    </row>
    <row r="368" ht="14.25" customHeight="1">
      <c r="B368" s="1"/>
      <c r="F368" s="1"/>
      <c r="AM368" s="1"/>
    </row>
    <row r="369" ht="14.25" customHeight="1">
      <c r="B369" s="1"/>
      <c r="F369" s="1"/>
      <c r="AM369" s="1"/>
    </row>
    <row r="370" ht="14.25" customHeight="1">
      <c r="B370" s="1"/>
      <c r="F370" s="1"/>
      <c r="AM370" s="1"/>
    </row>
    <row r="371" ht="14.25" customHeight="1">
      <c r="B371" s="1"/>
      <c r="F371" s="1"/>
      <c r="AM371" s="1"/>
    </row>
    <row r="372" ht="14.25" customHeight="1">
      <c r="B372" s="1"/>
      <c r="F372" s="1"/>
      <c r="AM372" s="1"/>
    </row>
    <row r="373" ht="14.25" customHeight="1">
      <c r="B373" s="1"/>
      <c r="F373" s="1"/>
      <c r="AM373" s="1"/>
    </row>
    <row r="374" ht="14.25" customHeight="1">
      <c r="B374" s="1"/>
      <c r="F374" s="1"/>
      <c r="AM374" s="1"/>
    </row>
    <row r="375" ht="14.25" customHeight="1">
      <c r="B375" s="1"/>
      <c r="F375" s="1"/>
      <c r="AM375" s="1"/>
    </row>
    <row r="376" ht="14.25" customHeight="1">
      <c r="B376" s="1"/>
      <c r="F376" s="1"/>
      <c r="AM376" s="1"/>
    </row>
    <row r="377" ht="14.25" customHeight="1">
      <c r="B377" s="1"/>
      <c r="F377" s="1"/>
      <c r="AM377" s="1"/>
    </row>
    <row r="378" ht="14.25" customHeight="1">
      <c r="B378" s="1"/>
      <c r="F378" s="1"/>
      <c r="AM378" s="1"/>
    </row>
    <row r="379" ht="14.25" customHeight="1">
      <c r="B379" s="1"/>
      <c r="F379" s="1"/>
      <c r="AM379" s="1"/>
    </row>
    <row r="380" ht="14.25" customHeight="1">
      <c r="B380" s="1"/>
      <c r="F380" s="1"/>
      <c r="AM380" s="1"/>
    </row>
    <row r="381" ht="14.25" customHeight="1">
      <c r="B381" s="1"/>
      <c r="F381" s="1"/>
      <c r="AM381" s="1"/>
    </row>
    <row r="382" ht="14.25" customHeight="1">
      <c r="B382" s="1"/>
      <c r="F382" s="1"/>
      <c r="AM382" s="1"/>
    </row>
    <row r="383" ht="14.25" customHeight="1">
      <c r="B383" s="1"/>
      <c r="F383" s="1"/>
      <c r="AM383" s="1"/>
    </row>
    <row r="384" ht="14.25" customHeight="1">
      <c r="B384" s="1"/>
      <c r="F384" s="1"/>
      <c r="AM384" s="1"/>
    </row>
    <row r="385" ht="14.25" customHeight="1">
      <c r="B385" s="1"/>
      <c r="F385" s="1"/>
      <c r="AM385" s="1"/>
    </row>
    <row r="386" ht="14.25" customHeight="1">
      <c r="B386" s="1"/>
      <c r="F386" s="1"/>
      <c r="AM386" s="1"/>
    </row>
    <row r="387" ht="14.25" customHeight="1">
      <c r="B387" s="1"/>
      <c r="F387" s="1"/>
      <c r="AM387" s="1"/>
    </row>
    <row r="388" ht="14.25" customHeight="1">
      <c r="B388" s="1"/>
      <c r="F388" s="1"/>
      <c r="AM388" s="1"/>
    </row>
    <row r="389" ht="14.25" customHeight="1">
      <c r="B389" s="1"/>
      <c r="F389" s="1"/>
      <c r="AM389" s="1"/>
    </row>
    <row r="390" ht="14.25" customHeight="1">
      <c r="B390" s="1"/>
      <c r="F390" s="1"/>
      <c r="AM390" s="1"/>
    </row>
    <row r="391" ht="14.25" customHeight="1">
      <c r="B391" s="1"/>
      <c r="F391" s="1"/>
      <c r="AM391" s="1"/>
    </row>
    <row r="392" ht="14.25" customHeight="1">
      <c r="B392" s="1"/>
      <c r="F392" s="1"/>
      <c r="AM392" s="1"/>
    </row>
    <row r="393" ht="14.25" customHeight="1">
      <c r="B393" s="1"/>
      <c r="F393" s="1"/>
      <c r="AM393" s="1"/>
    </row>
    <row r="394" ht="14.25" customHeight="1">
      <c r="B394" s="1"/>
      <c r="F394" s="1"/>
      <c r="AM394" s="1"/>
    </row>
    <row r="395" ht="14.25" customHeight="1">
      <c r="B395" s="1"/>
      <c r="F395" s="1"/>
      <c r="AM395" s="1"/>
    </row>
    <row r="396" ht="14.25" customHeight="1">
      <c r="B396" s="1"/>
      <c r="F396" s="1"/>
      <c r="AM396" s="1"/>
    </row>
    <row r="397" ht="14.25" customHeight="1">
      <c r="B397" s="1"/>
      <c r="F397" s="1"/>
      <c r="AM397" s="1"/>
    </row>
    <row r="398" ht="14.25" customHeight="1">
      <c r="B398" s="1"/>
      <c r="F398" s="1"/>
      <c r="AM398" s="1"/>
    </row>
    <row r="399" ht="14.25" customHeight="1">
      <c r="B399" s="1"/>
      <c r="F399" s="1"/>
      <c r="AM399" s="1"/>
    </row>
    <row r="400" ht="14.25" customHeight="1">
      <c r="B400" s="1"/>
      <c r="F400" s="1"/>
      <c r="AM400" s="1"/>
    </row>
    <row r="401" ht="14.25" customHeight="1">
      <c r="B401" s="1"/>
      <c r="F401" s="1"/>
      <c r="AM401" s="1"/>
    </row>
    <row r="402" ht="14.25" customHeight="1">
      <c r="B402" s="1"/>
      <c r="F402" s="1"/>
      <c r="AM402" s="1"/>
    </row>
    <row r="403" ht="14.25" customHeight="1">
      <c r="B403" s="1"/>
      <c r="F403" s="1"/>
      <c r="AM403" s="1"/>
    </row>
    <row r="404" ht="14.25" customHeight="1">
      <c r="B404" s="1"/>
      <c r="F404" s="1"/>
      <c r="AM404" s="1"/>
    </row>
    <row r="405" ht="14.25" customHeight="1">
      <c r="B405" s="1"/>
      <c r="F405" s="1"/>
      <c r="AM405" s="1"/>
    </row>
    <row r="406" ht="14.25" customHeight="1">
      <c r="B406" s="1"/>
      <c r="F406" s="1"/>
      <c r="AM406" s="1"/>
    </row>
    <row r="407" ht="14.25" customHeight="1">
      <c r="B407" s="1"/>
      <c r="F407" s="1"/>
      <c r="AM407" s="1"/>
    </row>
    <row r="408" ht="14.25" customHeight="1">
      <c r="B408" s="1"/>
      <c r="F408" s="1"/>
      <c r="AM408" s="1"/>
    </row>
    <row r="409" ht="14.25" customHeight="1">
      <c r="B409" s="1"/>
      <c r="F409" s="1"/>
      <c r="AM409" s="1"/>
    </row>
    <row r="410" ht="14.25" customHeight="1">
      <c r="B410" s="1"/>
      <c r="F410" s="1"/>
      <c r="AM410" s="1"/>
    </row>
    <row r="411" ht="14.25" customHeight="1">
      <c r="B411" s="1"/>
      <c r="F411" s="1"/>
      <c r="AM411" s="1"/>
    </row>
    <row r="412" ht="14.25" customHeight="1">
      <c r="B412" s="1"/>
      <c r="F412" s="1"/>
      <c r="AM412" s="1"/>
    </row>
    <row r="413" ht="14.25" customHeight="1">
      <c r="B413" s="1"/>
      <c r="F413" s="1"/>
      <c r="AM413" s="1"/>
    </row>
    <row r="414" ht="14.25" customHeight="1">
      <c r="B414" s="1"/>
      <c r="F414" s="1"/>
      <c r="AM414" s="1"/>
    </row>
    <row r="415" ht="14.25" customHeight="1">
      <c r="B415" s="1"/>
      <c r="F415" s="1"/>
      <c r="AM415" s="1"/>
    </row>
    <row r="416" ht="14.25" customHeight="1">
      <c r="B416" s="1"/>
      <c r="F416" s="1"/>
      <c r="AM416" s="1"/>
    </row>
    <row r="417" ht="14.25" customHeight="1">
      <c r="B417" s="1"/>
      <c r="F417" s="1"/>
      <c r="AM417" s="1"/>
    </row>
    <row r="418" ht="14.25" customHeight="1">
      <c r="B418" s="1"/>
      <c r="F418" s="1"/>
      <c r="AM418" s="1"/>
    </row>
    <row r="419" ht="14.25" customHeight="1">
      <c r="B419" s="1"/>
      <c r="F419" s="1"/>
      <c r="AM419" s="1"/>
    </row>
    <row r="420" ht="14.25" customHeight="1">
      <c r="B420" s="1"/>
      <c r="F420" s="1"/>
      <c r="AM420" s="1"/>
    </row>
    <row r="421" ht="14.25" customHeight="1">
      <c r="B421" s="1"/>
      <c r="F421" s="1"/>
      <c r="AM421" s="1"/>
    </row>
    <row r="422" ht="14.25" customHeight="1">
      <c r="B422" s="1"/>
      <c r="F422" s="1"/>
      <c r="AM422" s="1"/>
    </row>
    <row r="423" ht="14.25" customHeight="1">
      <c r="B423" s="1"/>
      <c r="F423" s="1"/>
      <c r="AM423" s="1"/>
    </row>
    <row r="424" ht="14.25" customHeight="1">
      <c r="B424" s="1"/>
      <c r="F424" s="1"/>
      <c r="AM424" s="1"/>
    </row>
    <row r="425" ht="14.25" customHeight="1">
      <c r="B425" s="1"/>
      <c r="F425" s="1"/>
      <c r="AM425" s="1"/>
    </row>
    <row r="426" ht="14.25" customHeight="1">
      <c r="B426" s="1"/>
      <c r="F426" s="1"/>
      <c r="AM426" s="1"/>
    </row>
    <row r="427" ht="14.25" customHeight="1">
      <c r="B427" s="1"/>
      <c r="F427" s="1"/>
      <c r="AM427" s="1"/>
    </row>
    <row r="428" ht="14.25" customHeight="1">
      <c r="B428" s="1"/>
      <c r="F428" s="1"/>
      <c r="AM428" s="1"/>
    </row>
    <row r="429" ht="14.25" customHeight="1">
      <c r="B429" s="1"/>
      <c r="F429" s="1"/>
      <c r="AM429" s="1"/>
    </row>
    <row r="430" ht="14.25" customHeight="1">
      <c r="B430" s="1"/>
      <c r="F430" s="1"/>
      <c r="AM430" s="1"/>
    </row>
    <row r="431" ht="14.25" customHeight="1">
      <c r="B431" s="1"/>
      <c r="F431" s="1"/>
      <c r="AM431" s="1"/>
    </row>
    <row r="432" ht="14.25" customHeight="1">
      <c r="B432" s="1"/>
      <c r="F432" s="1"/>
      <c r="AM432" s="1"/>
    </row>
    <row r="433" ht="14.25" customHeight="1">
      <c r="B433" s="1"/>
      <c r="F433" s="1"/>
      <c r="AM433" s="1"/>
    </row>
    <row r="434" ht="14.25" customHeight="1">
      <c r="B434" s="1"/>
      <c r="F434" s="1"/>
      <c r="AM434" s="1"/>
    </row>
    <row r="435" ht="14.25" customHeight="1">
      <c r="B435" s="1"/>
      <c r="F435" s="1"/>
      <c r="AM435" s="1"/>
    </row>
    <row r="436" ht="14.25" customHeight="1">
      <c r="B436" s="1"/>
      <c r="F436" s="1"/>
      <c r="AM436" s="1"/>
    </row>
    <row r="437" ht="14.25" customHeight="1">
      <c r="B437" s="1"/>
      <c r="F437" s="1"/>
      <c r="AM437" s="1"/>
    </row>
    <row r="438" ht="14.25" customHeight="1">
      <c r="B438" s="1"/>
      <c r="F438" s="1"/>
      <c r="AM438" s="1"/>
    </row>
    <row r="439" ht="14.25" customHeight="1">
      <c r="B439" s="1"/>
      <c r="F439" s="1"/>
      <c r="AM439" s="1"/>
    </row>
    <row r="440" ht="14.25" customHeight="1">
      <c r="B440" s="1"/>
      <c r="F440" s="1"/>
      <c r="AM440" s="1"/>
    </row>
    <row r="441" ht="14.25" customHeight="1">
      <c r="B441" s="1"/>
      <c r="F441" s="1"/>
      <c r="AM441" s="1"/>
    </row>
    <row r="442" ht="14.25" customHeight="1">
      <c r="B442" s="1"/>
      <c r="F442" s="1"/>
      <c r="AM442" s="1"/>
    </row>
    <row r="443" ht="14.25" customHeight="1">
      <c r="B443" s="1"/>
      <c r="F443" s="1"/>
      <c r="AM443" s="1"/>
    </row>
    <row r="444" ht="14.25" customHeight="1">
      <c r="B444" s="1"/>
      <c r="F444" s="1"/>
      <c r="AM444" s="1"/>
    </row>
    <row r="445" ht="14.25" customHeight="1">
      <c r="B445" s="1"/>
      <c r="F445" s="1"/>
      <c r="AM445" s="1"/>
    </row>
    <row r="446" ht="14.25" customHeight="1">
      <c r="B446" s="1"/>
      <c r="F446" s="1"/>
      <c r="AM446" s="1"/>
    </row>
    <row r="447" ht="14.25" customHeight="1">
      <c r="B447" s="1"/>
      <c r="F447" s="1"/>
      <c r="AM447" s="1"/>
    </row>
    <row r="448" ht="14.25" customHeight="1">
      <c r="B448" s="1"/>
      <c r="F448" s="1"/>
      <c r="AM448" s="1"/>
    </row>
    <row r="449" ht="14.25" customHeight="1">
      <c r="B449" s="1"/>
      <c r="F449" s="1"/>
      <c r="AM449" s="1"/>
    </row>
    <row r="450" ht="14.25" customHeight="1">
      <c r="B450" s="1"/>
      <c r="F450" s="1"/>
      <c r="AM450" s="1"/>
    </row>
    <row r="451" ht="14.25" customHeight="1">
      <c r="B451" s="1"/>
      <c r="F451" s="1"/>
      <c r="AM451" s="1"/>
    </row>
    <row r="452" ht="14.25" customHeight="1">
      <c r="B452" s="1"/>
      <c r="F452" s="1"/>
      <c r="AM452" s="1"/>
    </row>
    <row r="453" ht="14.25" customHeight="1">
      <c r="B453" s="1"/>
      <c r="F453" s="1"/>
      <c r="AM453" s="1"/>
    </row>
    <row r="454" ht="14.25" customHeight="1">
      <c r="B454" s="1"/>
      <c r="F454" s="1"/>
      <c r="AM454" s="1"/>
    </row>
    <row r="455" ht="14.25" customHeight="1">
      <c r="B455" s="1"/>
      <c r="F455" s="1"/>
      <c r="AM455" s="1"/>
    </row>
    <row r="456" ht="14.25" customHeight="1">
      <c r="B456" s="1"/>
      <c r="F456" s="1"/>
      <c r="AM456" s="1"/>
    </row>
    <row r="457" ht="14.25" customHeight="1">
      <c r="B457" s="1"/>
      <c r="F457" s="1"/>
      <c r="AM457" s="1"/>
    </row>
    <row r="458" ht="14.25" customHeight="1">
      <c r="B458" s="1"/>
      <c r="F458" s="1"/>
      <c r="AM458" s="1"/>
    </row>
    <row r="459" ht="14.25" customHeight="1">
      <c r="B459" s="1"/>
      <c r="F459" s="1"/>
      <c r="AM459" s="1"/>
    </row>
    <row r="460" ht="14.25" customHeight="1">
      <c r="B460" s="1"/>
      <c r="F460" s="1"/>
      <c r="AM460" s="1"/>
    </row>
    <row r="461" ht="14.25" customHeight="1">
      <c r="B461" s="1"/>
      <c r="F461" s="1"/>
      <c r="AM461" s="1"/>
    </row>
    <row r="462" ht="14.25" customHeight="1">
      <c r="B462" s="1"/>
      <c r="F462" s="1"/>
      <c r="AM462" s="1"/>
    </row>
    <row r="463" ht="14.25" customHeight="1">
      <c r="B463" s="1"/>
      <c r="F463" s="1"/>
      <c r="AM463" s="1"/>
    </row>
    <row r="464" ht="14.25" customHeight="1">
      <c r="B464" s="1"/>
      <c r="F464" s="1"/>
      <c r="AM464" s="1"/>
    </row>
    <row r="465" ht="14.25" customHeight="1">
      <c r="B465" s="1"/>
      <c r="F465" s="1"/>
      <c r="AM465" s="1"/>
    </row>
    <row r="466" ht="14.25" customHeight="1">
      <c r="B466" s="1"/>
      <c r="F466" s="1"/>
      <c r="AM466" s="1"/>
    </row>
    <row r="467" ht="14.25" customHeight="1">
      <c r="B467" s="1"/>
      <c r="F467" s="1"/>
      <c r="AM467" s="1"/>
    </row>
    <row r="468" ht="14.25" customHeight="1">
      <c r="B468" s="1"/>
      <c r="F468" s="1"/>
      <c r="AM468" s="1"/>
    </row>
    <row r="469" ht="14.25" customHeight="1">
      <c r="B469" s="1"/>
      <c r="F469" s="1"/>
      <c r="AM469" s="1"/>
    </row>
    <row r="470" ht="14.25" customHeight="1">
      <c r="B470" s="1"/>
      <c r="F470" s="1"/>
      <c r="AM470" s="1"/>
    </row>
    <row r="471" ht="14.25" customHeight="1">
      <c r="B471" s="1"/>
      <c r="F471" s="1"/>
      <c r="AM471" s="1"/>
    </row>
    <row r="472" ht="14.25" customHeight="1">
      <c r="B472" s="1"/>
      <c r="F472" s="1"/>
      <c r="AM472" s="1"/>
    </row>
    <row r="473" ht="14.25" customHeight="1">
      <c r="B473" s="1"/>
      <c r="F473" s="1"/>
      <c r="AM473" s="1"/>
    </row>
    <row r="474" ht="14.25" customHeight="1">
      <c r="B474" s="1"/>
      <c r="F474" s="1"/>
      <c r="AM474" s="1"/>
    </row>
    <row r="475" ht="14.25" customHeight="1">
      <c r="B475" s="1"/>
      <c r="F475" s="1"/>
      <c r="AM475" s="1"/>
    </row>
    <row r="476" ht="14.25" customHeight="1">
      <c r="B476" s="1"/>
      <c r="F476" s="1"/>
      <c r="AM476" s="1"/>
    </row>
    <row r="477" ht="14.25" customHeight="1">
      <c r="B477" s="1"/>
      <c r="F477" s="1"/>
      <c r="AM477" s="1"/>
    </row>
    <row r="478" ht="14.25" customHeight="1">
      <c r="B478" s="1"/>
      <c r="F478" s="1"/>
      <c r="AM478" s="1"/>
    </row>
    <row r="479" ht="14.25" customHeight="1">
      <c r="B479" s="1"/>
      <c r="F479" s="1"/>
      <c r="AM479" s="1"/>
    </row>
    <row r="480" ht="14.25" customHeight="1">
      <c r="B480" s="1"/>
      <c r="F480" s="1"/>
      <c r="AM480" s="1"/>
    </row>
    <row r="481" ht="14.25" customHeight="1">
      <c r="B481" s="1"/>
      <c r="F481" s="1"/>
      <c r="AM481" s="1"/>
    </row>
    <row r="482" ht="14.25" customHeight="1">
      <c r="B482" s="1"/>
      <c r="F482" s="1"/>
      <c r="AM482" s="1"/>
    </row>
    <row r="483" ht="14.25" customHeight="1">
      <c r="B483" s="1"/>
      <c r="F483" s="1"/>
      <c r="AM483" s="1"/>
    </row>
    <row r="484" ht="14.25" customHeight="1">
      <c r="B484" s="1"/>
      <c r="F484" s="1"/>
      <c r="AM484" s="1"/>
    </row>
    <row r="485" ht="14.25" customHeight="1">
      <c r="B485" s="1"/>
      <c r="F485" s="1"/>
      <c r="AM485" s="1"/>
    </row>
    <row r="486" ht="14.25" customHeight="1">
      <c r="B486" s="1"/>
      <c r="F486" s="1"/>
      <c r="AM486" s="1"/>
    </row>
    <row r="487" ht="14.25" customHeight="1">
      <c r="B487" s="1"/>
      <c r="F487" s="1"/>
      <c r="AM487" s="1"/>
    </row>
    <row r="488" ht="14.25" customHeight="1">
      <c r="B488" s="1"/>
      <c r="F488" s="1"/>
      <c r="AM488" s="1"/>
    </row>
    <row r="489" ht="14.25" customHeight="1">
      <c r="B489" s="1"/>
      <c r="F489" s="1"/>
      <c r="AM489" s="1"/>
    </row>
    <row r="490" ht="14.25" customHeight="1">
      <c r="B490" s="1"/>
      <c r="F490" s="1"/>
      <c r="AM490" s="1"/>
    </row>
    <row r="491" ht="14.25" customHeight="1">
      <c r="B491" s="1"/>
      <c r="F491" s="1"/>
      <c r="AM491" s="1"/>
    </row>
    <row r="492" ht="14.25" customHeight="1">
      <c r="B492" s="1"/>
      <c r="F492" s="1"/>
      <c r="AM492" s="1"/>
    </row>
    <row r="493" ht="14.25" customHeight="1">
      <c r="B493" s="1"/>
      <c r="F493" s="1"/>
      <c r="AM493" s="1"/>
    </row>
    <row r="494" ht="14.25" customHeight="1">
      <c r="B494" s="1"/>
      <c r="F494" s="1"/>
      <c r="AM494" s="1"/>
    </row>
    <row r="495" ht="14.25" customHeight="1">
      <c r="B495" s="1"/>
      <c r="F495" s="1"/>
      <c r="AM495" s="1"/>
    </row>
    <row r="496" ht="14.25" customHeight="1">
      <c r="B496" s="1"/>
      <c r="F496" s="1"/>
      <c r="AM496" s="1"/>
    </row>
    <row r="497" ht="14.25" customHeight="1">
      <c r="B497" s="1"/>
      <c r="F497" s="1"/>
      <c r="AM497" s="1"/>
    </row>
    <row r="498" ht="14.25" customHeight="1">
      <c r="B498" s="1"/>
      <c r="F498" s="1"/>
      <c r="AM498" s="1"/>
    </row>
    <row r="499" ht="14.25" customHeight="1">
      <c r="B499" s="1"/>
      <c r="F499" s="1"/>
      <c r="AM499" s="1"/>
    </row>
    <row r="500" ht="14.25" customHeight="1">
      <c r="B500" s="1"/>
      <c r="F500" s="1"/>
      <c r="AM500" s="1"/>
    </row>
    <row r="501" ht="14.25" customHeight="1">
      <c r="B501" s="1"/>
      <c r="F501" s="1"/>
      <c r="AM501" s="1"/>
    </row>
    <row r="502" ht="14.25" customHeight="1">
      <c r="B502" s="1"/>
      <c r="F502" s="1"/>
      <c r="AM502" s="1"/>
    </row>
    <row r="503" ht="14.25" customHeight="1">
      <c r="B503" s="1"/>
      <c r="F503" s="1"/>
      <c r="AM503" s="1"/>
    </row>
    <row r="504" ht="14.25" customHeight="1">
      <c r="B504" s="1"/>
      <c r="F504" s="1"/>
      <c r="AM504" s="1"/>
    </row>
    <row r="505" ht="14.25" customHeight="1">
      <c r="B505" s="1"/>
      <c r="F505" s="1"/>
      <c r="AM505" s="1"/>
    </row>
    <row r="506" ht="14.25" customHeight="1">
      <c r="B506" s="1"/>
      <c r="F506" s="1"/>
      <c r="AM506" s="1"/>
    </row>
    <row r="507" ht="14.25" customHeight="1">
      <c r="B507" s="1"/>
      <c r="F507" s="1"/>
      <c r="AM507" s="1"/>
    </row>
    <row r="508" ht="14.25" customHeight="1">
      <c r="B508" s="1"/>
      <c r="F508" s="1"/>
      <c r="AM508" s="1"/>
    </row>
    <row r="509" ht="14.25" customHeight="1">
      <c r="B509" s="1"/>
      <c r="F509" s="1"/>
      <c r="AM509" s="1"/>
    </row>
    <row r="510" ht="14.25" customHeight="1">
      <c r="B510" s="1"/>
      <c r="F510" s="1"/>
      <c r="AM510" s="1"/>
    </row>
    <row r="511" ht="14.25" customHeight="1">
      <c r="B511" s="1"/>
      <c r="F511" s="1"/>
      <c r="AM511" s="1"/>
    </row>
    <row r="512" ht="14.25" customHeight="1">
      <c r="B512" s="1"/>
      <c r="F512" s="1"/>
      <c r="AM512" s="1"/>
    </row>
    <row r="513" ht="14.25" customHeight="1">
      <c r="B513" s="1"/>
      <c r="F513" s="1"/>
      <c r="AM513" s="1"/>
    </row>
    <row r="514" ht="14.25" customHeight="1">
      <c r="B514" s="1"/>
      <c r="F514" s="1"/>
      <c r="AM514" s="1"/>
    </row>
    <row r="515" ht="14.25" customHeight="1">
      <c r="B515" s="1"/>
      <c r="F515" s="1"/>
      <c r="AM515" s="1"/>
    </row>
    <row r="516" ht="14.25" customHeight="1">
      <c r="B516" s="1"/>
      <c r="F516" s="1"/>
      <c r="AM516" s="1"/>
    </row>
    <row r="517" ht="14.25" customHeight="1">
      <c r="B517" s="1"/>
      <c r="F517" s="1"/>
      <c r="AM517" s="1"/>
    </row>
    <row r="518" ht="14.25" customHeight="1">
      <c r="B518" s="1"/>
      <c r="F518" s="1"/>
      <c r="AM518" s="1"/>
    </row>
    <row r="519" ht="14.25" customHeight="1">
      <c r="B519" s="1"/>
      <c r="F519" s="1"/>
      <c r="AM519" s="1"/>
    </row>
    <row r="520" ht="14.25" customHeight="1">
      <c r="B520" s="1"/>
      <c r="F520" s="1"/>
      <c r="AM520" s="1"/>
    </row>
    <row r="521" ht="14.25" customHeight="1">
      <c r="B521" s="1"/>
      <c r="F521" s="1"/>
      <c r="AM521" s="1"/>
    </row>
    <row r="522" ht="14.25" customHeight="1">
      <c r="B522" s="1"/>
      <c r="F522" s="1"/>
      <c r="AM522" s="1"/>
    </row>
    <row r="523" ht="14.25" customHeight="1">
      <c r="B523" s="1"/>
      <c r="F523" s="1"/>
      <c r="AM523" s="1"/>
    </row>
    <row r="524" ht="14.25" customHeight="1">
      <c r="B524" s="1"/>
      <c r="F524" s="1"/>
      <c r="AM524" s="1"/>
    </row>
    <row r="525" ht="14.25" customHeight="1">
      <c r="B525" s="1"/>
      <c r="F525" s="1"/>
      <c r="AM525" s="1"/>
    </row>
    <row r="526" ht="14.25" customHeight="1">
      <c r="B526" s="1"/>
      <c r="F526" s="1"/>
      <c r="AM526" s="1"/>
    </row>
    <row r="527" ht="14.25" customHeight="1">
      <c r="B527" s="1"/>
      <c r="F527" s="1"/>
      <c r="AM527" s="1"/>
    </row>
    <row r="528" ht="14.25" customHeight="1">
      <c r="B528" s="1"/>
      <c r="F528" s="1"/>
      <c r="AM528" s="1"/>
    </row>
    <row r="529" ht="14.25" customHeight="1">
      <c r="B529" s="1"/>
      <c r="F529" s="1"/>
      <c r="AM529" s="1"/>
    </row>
    <row r="530" ht="14.25" customHeight="1">
      <c r="B530" s="1"/>
      <c r="F530" s="1"/>
      <c r="AM530" s="1"/>
    </row>
    <row r="531" ht="14.25" customHeight="1">
      <c r="B531" s="1"/>
      <c r="F531" s="1"/>
      <c r="AM531" s="1"/>
    </row>
    <row r="532" ht="14.25" customHeight="1">
      <c r="B532" s="1"/>
      <c r="F532" s="1"/>
      <c r="AM532" s="1"/>
    </row>
    <row r="533" ht="14.25" customHeight="1">
      <c r="B533" s="1"/>
      <c r="F533" s="1"/>
      <c r="AM533" s="1"/>
    </row>
    <row r="534" ht="14.25" customHeight="1">
      <c r="B534" s="1"/>
      <c r="F534" s="1"/>
      <c r="AM534" s="1"/>
    </row>
    <row r="535" ht="14.25" customHeight="1">
      <c r="B535" s="1"/>
      <c r="F535" s="1"/>
      <c r="AM535" s="1"/>
    </row>
    <row r="536" ht="14.25" customHeight="1">
      <c r="B536" s="1"/>
      <c r="F536" s="1"/>
      <c r="AM536" s="1"/>
    </row>
    <row r="537" ht="14.25" customHeight="1">
      <c r="B537" s="1"/>
      <c r="F537" s="1"/>
      <c r="AM537" s="1"/>
    </row>
    <row r="538" ht="14.25" customHeight="1">
      <c r="B538" s="1"/>
      <c r="F538" s="1"/>
      <c r="AM538" s="1"/>
    </row>
    <row r="539" ht="14.25" customHeight="1">
      <c r="B539" s="1"/>
      <c r="F539" s="1"/>
      <c r="AM539" s="1"/>
    </row>
    <row r="540" ht="14.25" customHeight="1">
      <c r="B540" s="1"/>
      <c r="F540" s="1"/>
      <c r="AM540" s="1"/>
    </row>
    <row r="541" ht="14.25" customHeight="1">
      <c r="B541" s="1"/>
      <c r="F541" s="1"/>
      <c r="AM541" s="1"/>
    </row>
    <row r="542" ht="14.25" customHeight="1">
      <c r="B542" s="1"/>
      <c r="F542" s="1"/>
      <c r="AM542" s="1"/>
    </row>
    <row r="543" ht="14.25" customHeight="1">
      <c r="B543" s="1"/>
      <c r="F543" s="1"/>
      <c r="AM543" s="1"/>
    </row>
    <row r="544" ht="14.25" customHeight="1">
      <c r="B544" s="1"/>
      <c r="F544" s="1"/>
      <c r="AM544" s="1"/>
    </row>
    <row r="545" ht="14.25" customHeight="1">
      <c r="B545" s="1"/>
      <c r="F545" s="1"/>
      <c r="AM545" s="1"/>
    </row>
    <row r="546" ht="14.25" customHeight="1">
      <c r="B546" s="1"/>
      <c r="F546" s="1"/>
      <c r="AM546" s="1"/>
    </row>
    <row r="547" ht="14.25" customHeight="1">
      <c r="B547" s="1"/>
      <c r="F547" s="1"/>
      <c r="AM547" s="1"/>
    </row>
    <row r="548" ht="14.25" customHeight="1">
      <c r="B548" s="1"/>
      <c r="F548" s="1"/>
      <c r="AM548" s="1"/>
    </row>
    <row r="549" ht="14.25" customHeight="1">
      <c r="B549" s="1"/>
      <c r="F549" s="1"/>
      <c r="AM549" s="1"/>
    </row>
    <row r="550" ht="14.25" customHeight="1">
      <c r="B550" s="1"/>
      <c r="F550" s="1"/>
      <c r="AM550" s="1"/>
    </row>
    <row r="551" ht="14.25" customHeight="1">
      <c r="B551" s="1"/>
      <c r="F551" s="1"/>
      <c r="AM551" s="1"/>
    </row>
    <row r="552" ht="14.25" customHeight="1">
      <c r="B552" s="1"/>
      <c r="F552" s="1"/>
      <c r="AM552" s="1"/>
    </row>
    <row r="553" ht="14.25" customHeight="1">
      <c r="B553" s="1"/>
      <c r="F553" s="1"/>
      <c r="AM553" s="1"/>
    </row>
    <row r="554" ht="14.25" customHeight="1">
      <c r="B554" s="1"/>
      <c r="F554" s="1"/>
      <c r="AM554" s="1"/>
    </row>
    <row r="555" ht="14.25" customHeight="1">
      <c r="B555" s="1"/>
      <c r="F555" s="1"/>
      <c r="AM555" s="1"/>
    </row>
    <row r="556" ht="14.25" customHeight="1">
      <c r="B556" s="1"/>
      <c r="F556" s="1"/>
      <c r="AM556" s="1"/>
    </row>
    <row r="557" ht="14.25" customHeight="1">
      <c r="B557" s="1"/>
      <c r="F557" s="1"/>
      <c r="AM557" s="1"/>
    </row>
    <row r="558" ht="14.25" customHeight="1">
      <c r="B558" s="1"/>
      <c r="F558" s="1"/>
      <c r="AM558" s="1"/>
    </row>
    <row r="559" ht="14.25" customHeight="1">
      <c r="B559" s="1"/>
      <c r="F559" s="1"/>
      <c r="AM559" s="1"/>
    </row>
    <row r="560" ht="14.25" customHeight="1">
      <c r="B560" s="1"/>
      <c r="F560" s="1"/>
      <c r="AM560" s="1"/>
    </row>
    <row r="561" ht="14.25" customHeight="1">
      <c r="B561" s="1"/>
      <c r="F561" s="1"/>
      <c r="AM561" s="1"/>
    </row>
    <row r="562" ht="14.25" customHeight="1">
      <c r="B562" s="1"/>
      <c r="F562" s="1"/>
      <c r="AM562" s="1"/>
    </row>
    <row r="563" ht="14.25" customHeight="1">
      <c r="B563" s="1"/>
      <c r="F563" s="1"/>
      <c r="AM563" s="1"/>
    </row>
    <row r="564" ht="14.25" customHeight="1">
      <c r="B564" s="1"/>
      <c r="F564" s="1"/>
      <c r="AM564" s="1"/>
    </row>
    <row r="565" ht="14.25" customHeight="1">
      <c r="B565" s="1"/>
      <c r="F565" s="1"/>
      <c r="AM565" s="1"/>
    </row>
    <row r="566" ht="14.25" customHeight="1">
      <c r="B566" s="1"/>
      <c r="F566" s="1"/>
      <c r="AM566" s="1"/>
    </row>
    <row r="567" ht="14.25" customHeight="1">
      <c r="B567" s="1"/>
      <c r="F567" s="1"/>
      <c r="AM567" s="1"/>
    </row>
    <row r="568" ht="14.25" customHeight="1">
      <c r="B568" s="1"/>
      <c r="F568" s="1"/>
      <c r="AM568" s="1"/>
    </row>
    <row r="569" ht="14.25" customHeight="1">
      <c r="B569" s="1"/>
      <c r="F569" s="1"/>
      <c r="AM569" s="1"/>
    </row>
    <row r="570" ht="14.25" customHeight="1">
      <c r="B570" s="1"/>
      <c r="F570" s="1"/>
      <c r="AM570" s="1"/>
    </row>
    <row r="571" ht="14.25" customHeight="1">
      <c r="B571" s="1"/>
      <c r="F571" s="1"/>
      <c r="AM571" s="1"/>
    </row>
    <row r="572" ht="14.25" customHeight="1">
      <c r="B572" s="1"/>
      <c r="F572" s="1"/>
      <c r="AM572" s="1"/>
    </row>
    <row r="573" ht="14.25" customHeight="1">
      <c r="B573" s="1"/>
      <c r="F573" s="1"/>
      <c r="AM573" s="1"/>
    </row>
    <row r="574" ht="14.25" customHeight="1">
      <c r="B574" s="1"/>
      <c r="F574" s="1"/>
      <c r="AM574" s="1"/>
    </row>
    <row r="575" ht="14.25" customHeight="1">
      <c r="B575" s="1"/>
      <c r="F575" s="1"/>
      <c r="AM575" s="1"/>
    </row>
    <row r="576" ht="14.25" customHeight="1">
      <c r="B576" s="1"/>
      <c r="F576" s="1"/>
      <c r="AM576" s="1"/>
    </row>
    <row r="577" ht="14.25" customHeight="1">
      <c r="B577" s="1"/>
      <c r="F577" s="1"/>
      <c r="AM577" s="1"/>
    </row>
    <row r="578" ht="14.25" customHeight="1">
      <c r="B578" s="1"/>
      <c r="F578" s="1"/>
      <c r="AM578" s="1"/>
    </row>
    <row r="579" ht="14.25" customHeight="1">
      <c r="B579" s="1"/>
      <c r="F579" s="1"/>
      <c r="AM579" s="1"/>
    </row>
    <row r="580" ht="14.25" customHeight="1">
      <c r="B580" s="1"/>
      <c r="F580" s="1"/>
      <c r="AM580" s="1"/>
    </row>
    <row r="581" ht="14.25" customHeight="1">
      <c r="B581" s="1"/>
      <c r="F581" s="1"/>
      <c r="AM581" s="1"/>
    </row>
    <row r="582" ht="14.25" customHeight="1">
      <c r="B582" s="1"/>
      <c r="F582" s="1"/>
      <c r="AM582" s="1"/>
    </row>
    <row r="583" ht="14.25" customHeight="1">
      <c r="B583" s="1"/>
      <c r="F583" s="1"/>
      <c r="AM583" s="1"/>
    </row>
    <row r="584" ht="14.25" customHeight="1">
      <c r="B584" s="1"/>
      <c r="F584" s="1"/>
      <c r="AM584" s="1"/>
    </row>
    <row r="585" ht="14.25" customHeight="1">
      <c r="B585" s="1"/>
      <c r="F585" s="1"/>
      <c r="AM585" s="1"/>
    </row>
    <row r="586" ht="14.25" customHeight="1">
      <c r="B586" s="1"/>
      <c r="F586" s="1"/>
      <c r="AM586" s="1"/>
    </row>
    <row r="587" ht="14.25" customHeight="1">
      <c r="B587" s="1"/>
      <c r="F587" s="1"/>
      <c r="AM587" s="1"/>
    </row>
    <row r="588" ht="14.25" customHeight="1">
      <c r="B588" s="1"/>
      <c r="F588" s="1"/>
      <c r="AM588" s="1"/>
    </row>
    <row r="589" ht="14.25" customHeight="1">
      <c r="B589" s="1"/>
      <c r="F589" s="1"/>
      <c r="AM589" s="1"/>
    </row>
    <row r="590" ht="14.25" customHeight="1">
      <c r="B590" s="1"/>
      <c r="F590" s="1"/>
      <c r="AM590" s="1"/>
    </row>
    <row r="591" ht="14.25" customHeight="1">
      <c r="B591" s="1"/>
      <c r="F591" s="1"/>
      <c r="AM591" s="1"/>
    </row>
    <row r="592" ht="14.25" customHeight="1">
      <c r="B592" s="1"/>
      <c r="F592" s="1"/>
      <c r="AM592" s="1"/>
    </row>
    <row r="593" ht="14.25" customHeight="1">
      <c r="B593" s="1"/>
      <c r="F593" s="1"/>
      <c r="AM593" s="1"/>
    </row>
    <row r="594" ht="14.25" customHeight="1">
      <c r="B594" s="1"/>
      <c r="F594" s="1"/>
      <c r="AM594" s="1"/>
    </row>
    <row r="595" ht="14.25" customHeight="1">
      <c r="B595" s="1"/>
      <c r="F595" s="1"/>
      <c r="AM595" s="1"/>
    </row>
    <row r="596" ht="14.25" customHeight="1">
      <c r="B596" s="1"/>
      <c r="F596" s="1"/>
      <c r="AM596" s="1"/>
    </row>
    <row r="597" ht="14.25" customHeight="1">
      <c r="B597" s="1"/>
      <c r="F597" s="1"/>
      <c r="AM597" s="1"/>
    </row>
    <row r="598" ht="14.25" customHeight="1">
      <c r="B598" s="1"/>
      <c r="F598" s="1"/>
      <c r="AM598" s="1"/>
    </row>
    <row r="599" ht="14.25" customHeight="1">
      <c r="B599" s="1"/>
      <c r="F599" s="1"/>
      <c r="AM599" s="1"/>
    </row>
    <row r="600" ht="14.25" customHeight="1">
      <c r="B600" s="1"/>
      <c r="F600" s="1"/>
      <c r="AM600" s="1"/>
    </row>
    <row r="601" ht="14.25" customHeight="1">
      <c r="B601" s="1"/>
      <c r="F601" s="1"/>
      <c r="AM601" s="1"/>
    </row>
    <row r="602" ht="14.25" customHeight="1">
      <c r="B602" s="1"/>
      <c r="F602" s="1"/>
      <c r="AM602" s="1"/>
    </row>
    <row r="603" ht="14.25" customHeight="1">
      <c r="B603" s="1"/>
      <c r="F603" s="1"/>
      <c r="AM603" s="1"/>
    </row>
    <row r="604" ht="14.25" customHeight="1">
      <c r="B604" s="1"/>
      <c r="F604" s="1"/>
      <c r="AM604" s="1"/>
    </row>
    <row r="605" ht="14.25" customHeight="1">
      <c r="B605" s="1"/>
      <c r="F605" s="1"/>
      <c r="AM605" s="1"/>
    </row>
    <row r="606" ht="14.25" customHeight="1">
      <c r="B606" s="1"/>
      <c r="F606" s="1"/>
      <c r="AM606" s="1"/>
    </row>
    <row r="607" ht="14.25" customHeight="1">
      <c r="B607" s="1"/>
      <c r="F607" s="1"/>
      <c r="AM607" s="1"/>
    </row>
    <row r="608" ht="14.25" customHeight="1">
      <c r="B608" s="1"/>
      <c r="F608" s="1"/>
      <c r="AM608" s="1"/>
    </row>
    <row r="609" ht="14.25" customHeight="1">
      <c r="B609" s="1"/>
      <c r="F609" s="1"/>
      <c r="AM609" s="1"/>
    </row>
    <row r="610" ht="14.25" customHeight="1">
      <c r="B610" s="1"/>
      <c r="F610" s="1"/>
      <c r="AM610" s="1"/>
    </row>
    <row r="611" ht="14.25" customHeight="1">
      <c r="B611" s="1"/>
      <c r="F611" s="1"/>
      <c r="AM611" s="1"/>
    </row>
    <row r="612" ht="14.25" customHeight="1">
      <c r="B612" s="1"/>
      <c r="F612" s="1"/>
      <c r="AM612" s="1"/>
    </row>
    <row r="613" ht="14.25" customHeight="1">
      <c r="B613" s="1"/>
      <c r="F613" s="1"/>
      <c r="AM613" s="1"/>
    </row>
    <row r="614" ht="14.25" customHeight="1">
      <c r="B614" s="1"/>
      <c r="F614" s="1"/>
      <c r="AM614" s="1"/>
    </row>
    <row r="615" ht="14.25" customHeight="1">
      <c r="B615" s="1"/>
      <c r="F615" s="1"/>
      <c r="AM615" s="1"/>
    </row>
    <row r="616" ht="14.25" customHeight="1">
      <c r="B616" s="1"/>
      <c r="F616" s="1"/>
      <c r="AM616" s="1"/>
    </row>
    <row r="617" ht="14.25" customHeight="1">
      <c r="B617" s="1"/>
      <c r="F617" s="1"/>
      <c r="AM617" s="1"/>
    </row>
    <row r="618" ht="14.25" customHeight="1">
      <c r="B618" s="1"/>
      <c r="F618" s="1"/>
      <c r="AM618" s="1"/>
    </row>
    <row r="619" ht="14.25" customHeight="1">
      <c r="B619" s="1"/>
      <c r="F619" s="1"/>
      <c r="AM619" s="1"/>
    </row>
    <row r="620" ht="14.25" customHeight="1">
      <c r="B620" s="1"/>
      <c r="F620" s="1"/>
      <c r="AM620" s="1"/>
    </row>
    <row r="621" ht="14.25" customHeight="1">
      <c r="B621" s="1"/>
      <c r="F621" s="1"/>
      <c r="AM621" s="1"/>
    </row>
    <row r="622" ht="14.25" customHeight="1">
      <c r="B622" s="1"/>
      <c r="F622" s="1"/>
      <c r="AM622" s="1"/>
    </row>
    <row r="623" ht="14.25" customHeight="1">
      <c r="B623" s="1"/>
      <c r="F623" s="1"/>
      <c r="AM623" s="1"/>
    </row>
    <row r="624" ht="14.25" customHeight="1">
      <c r="B624" s="1"/>
      <c r="F624" s="1"/>
      <c r="AM624" s="1"/>
    </row>
    <row r="625" ht="14.25" customHeight="1">
      <c r="B625" s="1"/>
      <c r="F625" s="1"/>
      <c r="AM625" s="1"/>
    </row>
    <row r="626" ht="14.25" customHeight="1">
      <c r="B626" s="1"/>
      <c r="F626" s="1"/>
      <c r="AM626" s="1"/>
    </row>
    <row r="627" ht="14.25" customHeight="1">
      <c r="B627" s="1"/>
      <c r="F627" s="1"/>
      <c r="AM627" s="1"/>
    </row>
    <row r="628" ht="14.25" customHeight="1">
      <c r="B628" s="1"/>
      <c r="F628" s="1"/>
      <c r="AM628" s="1"/>
    </row>
    <row r="629" ht="14.25" customHeight="1">
      <c r="B629" s="1"/>
      <c r="F629" s="1"/>
      <c r="AM629" s="1"/>
    </row>
    <row r="630" ht="14.25" customHeight="1">
      <c r="B630" s="1"/>
      <c r="F630" s="1"/>
      <c r="AM630" s="1"/>
    </row>
    <row r="631" ht="14.25" customHeight="1">
      <c r="B631" s="1"/>
      <c r="F631" s="1"/>
      <c r="AM631" s="1"/>
    </row>
    <row r="632" ht="14.25" customHeight="1">
      <c r="B632" s="1"/>
      <c r="F632" s="1"/>
      <c r="AM632" s="1"/>
    </row>
    <row r="633" ht="14.25" customHeight="1">
      <c r="B633" s="1"/>
      <c r="F633" s="1"/>
      <c r="AM633" s="1"/>
    </row>
    <row r="634" ht="14.25" customHeight="1">
      <c r="B634" s="1"/>
      <c r="F634" s="1"/>
      <c r="AM634" s="1"/>
    </row>
    <row r="635" ht="14.25" customHeight="1">
      <c r="B635" s="1"/>
      <c r="F635" s="1"/>
      <c r="AM635" s="1"/>
    </row>
    <row r="636" ht="14.25" customHeight="1">
      <c r="B636" s="1"/>
      <c r="F636" s="1"/>
      <c r="AM636" s="1"/>
    </row>
    <row r="637" ht="14.25" customHeight="1">
      <c r="B637" s="1"/>
      <c r="F637" s="1"/>
      <c r="AM637" s="1"/>
    </row>
    <row r="638" ht="14.25" customHeight="1">
      <c r="B638" s="1"/>
      <c r="F638" s="1"/>
      <c r="AM638" s="1"/>
    </row>
    <row r="639" ht="14.25" customHeight="1">
      <c r="B639" s="1"/>
      <c r="F639" s="1"/>
      <c r="AM639" s="1"/>
    </row>
    <row r="640" ht="14.25" customHeight="1">
      <c r="B640" s="1"/>
      <c r="F640" s="1"/>
      <c r="AM640" s="1"/>
    </row>
    <row r="641" ht="14.25" customHeight="1">
      <c r="B641" s="1"/>
      <c r="F641" s="1"/>
      <c r="AM641" s="1"/>
    </row>
    <row r="642" ht="14.25" customHeight="1">
      <c r="B642" s="1"/>
      <c r="F642" s="1"/>
      <c r="AM642" s="1"/>
    </row>
    <row r="643" ht="14.25" customHeight="1">
      <c r="B643" s="1"/>
      <c r="F643" s="1"/>
      <c r="AM643" s="1"/>
    </row>
    <row r="644" ht="14.25" customHeight="1">
      <c r="B644" s="1"/>
      <c r="F644" s="1"/>
      <c r="AM644" s="1"/>
    </row>
    <row r="645" ht="14.25" customHeight="1">
      <c r="B645" s="1"/>
      <c r="F645" s="1"/>
      <c r="AM645" s="1"/>
    </row>
    <row r="646" ht="14.25" customHeight="1">
      <c r="B646" s="1"/>
      <c r="F646" s="1"/>
      <c r="AM646" s="1"/>
    </row>
    <row r="647" ht="14.25" customHeight="1">
      <c r="B647" s="1"/>
      <c r="F647" s="1"/>
      <c r="AM647" s="1"/>
    </row>
    <row r="648" ht="14.25" customHeight="1">
      <c r="B648" s="1"/>
      <c r="F648" s="1"/>
      <c r="AM648" s="1"/>
    </row>
    <row r="649" ht="14.25" customHeight="1">
      <c r="B649" s="1"/>
      <c r="F649" s="1"/>
      <c r="AM649" s="1"/>
    </row>
    <row r="650" ht="14.25" customHeight="1">
      <c r="B650" s="1"/>
      <c r="F650" s="1"/>
      <c r="AM650" s="1"/>
    </row>
    <row r="651" ht="14.25" customHeight="1">
      <c r="B651" s="1"/>
      <c r="F651" s="1"/>
      <c r="AM651" s="1"/>
    </row>
    <row r="652" ht="14.25" customHeight="1">
      <c r="B652" s="1"/>
      <c r="F652" s="1"/>
      <c r="AM652" s="1"/>
    </row>
    <row r="653" ht="14.25" customHeight="1">
      <c r="B653" s="1"/>
      <c r="F653" s="1"/>
      <c r="AM653" s="1"/>
    </row>
    <row r="654" ht="14.25" customHeight="1">
      <c r="B654" s="1"/>
      <c r="F654" s="1"/>
      <c r="AM654" s="1"/>
    </row>
    <row r="655" ht="14.25" customHeight="1">
      <c r="B655" s="1"/>
      <c r="F655" s="1"/>
      <c r="AM655" s="1"/>
    </row>
    <row r="656" ht="14.25" customHeight="1">
      <c r="B656" s="1"/>
      <c r="F656" s="1"/>
      <c r="AM656" s="1"/>
    </row>
    <row r="657" ht="14.25" customHeight="1">
      <c r="B657" s="1"/>
      <c r="F657" s="1"/>
      <c r="AM657" s="1"/>
    </row>
    <row r="658" ht="14.25" customHeight="1">
      <c r="B658" s="1"/>
      <c r="F658" s="1"/>
      <c r="AM658" s="1"/>
    </row>
    <row r="659" ht="14.25" customHeight="1">
      <c r="B659" s="1"/>
      <c r="F659" s="1"/>
      <c r="AM659" s="1"/>
    </row>
    <row r="660" ht="14.25" customHeight="1">
      <c r="B660" s="1"/>
      <c r="F660" s="1"/>
      <c r="AM660" s="1"/>
    </row>
    <row r="661" ht="14.25" customHeight="1">
      <c r="B661" s="1"/>
      <c r="F661" s="1"/>
      <c r="AM661" s="1"/>
    </row>
    <row r="662" ht="14.25" customHeight="1">
      <c r="B662" s="1"/>
      <c r="F662" s="1"/>
      <c r="AM662" s="1"/>
    </row>
    <row r="663" ht="14.25" customHeight="1">
      <c r="B663" s="1"/>
      <c r="F663" s="1"/>
      <c r="AM663" s="1"/>
    </row>
    <row r="664" ht="14.25" customHeight="1">
      <c r="B664" s="1"/>
      <c r="F664" s="1"/>
      <c r="AM664" s="1"/>
    </row>
    <row r="665" ht="14.25" customHeight="1">
      <c r="B665" s="1"/>
      <c r="F665" s="1"/>
      <c r="AM665" s="1"/>
    </row>
    <row r="666" ht="14.25" customHeight="1">
      <c r="B666" s="1"/>
      <c r="F666" s="1"/>
      <c r="AM666" s="1"/>
    </row>
    <row r="667" ht="14.25" customHeight="1">
      <c r="B667" s="1"/>
      <c r="F667" s="1"/>
      <c r="AM667" s="1"/>
    </row>
    <row r="668" ht="14.25" customHeight="1">
      <c r="B668" s="1"/>
      <c r="F668" s="1"/>
      <c r="AM668" s="1"/>
    </row>
    <row r="669" ht="14.25" customHeight="1">
      <c r="B669" s="1"/>
      <c r="F669" s="1"/>
      <c r="AM669" s="1"/>
    </row>
    <row r="670" ht="14.25" customHeight="1">
      <c r="B670" s="1"/>
      <c r="F670" s="1"/>
      <c r="AM670" s="1"/>
    </row>
    <row r="671" ht="14.25" customHeight="1">
      <c r="B671" s="1"/>
      <c r="F671" s="1"/>
      <c r="AM671" s="1"/>
    </row>
    <row r="672" ht="14.25" customHeight="1">
      <c r="B672" s="1"/>
      <c r="F672" s="1"/>
      <c r="AM672" s="1"/>
    </row>
    <row r="673" ht="14.25" customHeight="1">
      <c r="B673" s="1"/>
      <c r="F673" s="1"/>
      <c r="AM673" s="1"/>
    </row>
    <row r="674" ht="14.25" customHeight="1">
      <c r="B674" s="1"/>
      <c r="F674" s="1"/>
      <c r="AM674" s="1"/>
    </row>
    <row r="675" ht="14.25" customHeight="1">
      <c r="B675" s="1"/>
      <c r="F675" s="1"/>
      <c r="AM675" s="1"/>
    </row>
    <row r="676" ht="14.25" customHeight="1">
      <c r="B676" s="1"/>
      <c r="F676" s="1"/>
      <c r="AM676" s="1"/>
    </row>
    <row r="677" ht="14.25" customHeight="1">
      <c r="B677" s="1"/>
      <c r="F677" s="1"/>
      <c r="AM677" s="1"/>
    </row>
    <row r="678" ht="14.25" customHeight="1">
      <c r="B678" s="1"/>
      <c r="F678" s="1"/>
      <c r="AM678" s="1"/>
    </row>
    <row r="679" ht="14.25" customHeight="1">
      <c r="B679" s="1"/>
      <c r="F679" s="1"/>
      <c r="AM679" s="1"/>
    </row>
    <row r="680" ht="14.25" customHeight="1">
      <c r="B680" s="1"/>
      <c r="F680" s="1"/>
      <c r="AM680" s="1"/>
    </row>
    <row r="681" ht="14.25" customHeight="1">
      <c r="B681" s="1"/>
      <c r="F681" s="1"/>
      <c r="AM681" s="1"/>
    </row>
    <row r="682" ht="14.25" customHeight="1">
      <c r="B682" s="1"/>
      <c r="F682" s="1"/>
      <c r="AM682" s="1"/>
    </row>
    <row r="683" ht="14.25" customHeight="1">
      <c r="B683" s="1"/>
      <c r="F683" s="1"/>
      <c r="AM683" s="1"/>
    </row>
    <row r="684" ht="14.25" customHeight="1">
      <c r="B684" s="1"/>
      <c r="F684" s="1"/>
      <c r="AM684" s="1"/>
    </row>
    <row r="685" ht="14.25" customHeight="1">
      <c r="B685" s="1"/>
      <c r="F685" s="1"/>
      <c r="AM685" s="1"/>
    </row>
    <row r="686" ht="14.25" customHeight="1">
      <c r="B686" s="1"/>
      <c r="F686" s="1"/>
      <c r="AM686" s="1"/>
    </row>
    <row r="687" ht="14.25" customHeight="1">
      <c r="B687" s="1"/>
      <c r="F687" s="1"/>
      <c r="AM687" s="1"/>
    </row>
    <row r="688" ht="14.25" customHeight="1">
      <c r="B688" s="1"/>
      <c r="F688" s="1"/>
      <c r="AM688" s="1"/>
    </row>
    <row r="689" ht="14.25" customHeight="1">
      <c r="B689" s="1"/>
      <c r="F689" s="1"/>
      <c r="AM689" s="1"/>
    </row>
    <row r="690" ht="14.25" customHeight="1">
      <c r="B690" s="1"/>
      <c r="F690" s="1"/>
      <c r="AM690" s="1"/>
    </row>
    <row r="691" ht="14.25" customHeight="1">
      <c r="B691" s="1"/>
      <c r="F691" s="1"/>
      <c r="AM691" s="1"/>
    </row>
    <row r="692" ht="14.25" customHeight="1">
      <c r="B692" s="1"/>
      <c r="F692" s="1"/>
      <c r="AM692" s="1"/>
    </row>
    <row r="693" ht="14.25" customHeight="1">
      <c r="B693" s="1"/>
      <c r="F693" s="1"/>
      <c r="AM693" s="1"/>
    </row>
    <row r="694" ht="14.25" customHeight="1">
      <c r="B694" s="1"/>
      <c r="F694" s="1"/>
      <c r="AM694" s="1"/>
    </row>
    <row r="695" ht="14.25" customHeight="1">
      <c r="B695" s="1"/>
      <c r="F695" s="1"/>
      <c r="AM695" s="1"/>
    </row>
    <row r="696" ht="14.25" customHeight="1">
      <c r="B696" s="1"/>
      <c r="F696" s="1"/>
      <c r="AM696" s="1"/>
    </row>
    <row r="697" ht="14.25" customHeight="1">
      <c r="B697" s="1"/>
      <c r="F697" s="1"/>
      <c r="AM697" s="1"/>
    </row>
    <row r="698" ht="14.25" customHeight="1">
      <c r="B698" s="1"/>
      <c r="F698" s="1"/>
      <c r="AM698" s="1"/>
    </row>
    <row r="699" ht="14.25" customHeight="1">
      <c r="B699" s="1"/>
      <c r="F699" s="1"/>
      <c r="AM699" s="1"/>
    </row>
    <row r="700" ht="14.25" customHeight="1">
      <c r="B700" s="1"/>
      <c r="F700" s="1"/>
      <c r="AM700" s="1"/>
    </row>
    <row r="701" ht="14.25" customHeight="1">
      <c r="B701" s="1"/>
      <c r="F701" s="1"/>
      <c r="AM701" s="1"/>
    </row>
    <row r="702" ht="14.25" customHeight="1">
      <c r="B702" s="1"/>
      <c r="F702" s="1"/>
      <c r="AM702" s="1"/>
    </row>
    <row r="703" ht="14.25" customHeight="1">
      <c r="B703" s="1"/>
      <c r="F703" s="1"/>
      <c r="AM703" s="1"/>
    </row>
    <row r="704" ht="14.25" customHeight="1">
      <c r="B704" s="1"/>
      <c r="F704" s="1"/>
      <c r="AM704" s="1"/>
    </row>
    <row r="705" ht="14.25" customHeight="1">
      <c r="B705" s="1"/>
      <c r="F705" s="1"/>
      <c r="AM705" s="1"/>
    </row>
    <row r="706" ht="14.25" customHeight="1">
      <c r="B706" s="1"/>
      <c r="F706" s="1"/>
      <c r="AM706" s="1"/>
    </row>
    <row r="707" ht="14.25" customHeight="1">
      <c r="B707" s="1"/>
      <c r="F707" s="1"/>
      <c r="AM707" s="1"/>
    </row>
    <row r="708" ht="14.25" customHeight="1">
      <c r="B708" s="1"/>
      <c r="F708" s="1"/>
      <c r="AM708" s="1"/>
    </row>
    <row r="709" ht="14.25" customHeight="1">
      <c r="B709" s="1"/>
      <c r="F709" s="1"/>
      <c r="AM709" s="1"/>
    </row>
    <row r="710" ht="14.25" customHeight="1">
      <c r="B710" s="1"/>
      <c r="F710" s="1"/>
      <c r="AM710" s="1"/>
    </row>
    <row r="711" ht="14.25" customHeight="1">
      <c r="B711" s="1"/>
      <c r="F711" s="1"/>
      <c r="AM711" s="1"/>
    </row>
    <row r="712" ht="14.25" customHeight="1">
      <c r="B712" s="1"/>
      <c r="F712" s="1"/>
      <c r="AM712" s="1"/>
    </row>
    <row r="713" ht="14.25" customHeight="1">
      <c r="B713" s="1"/>
      <c r="F713" s="1"/>
      <c r="AM713" s="1"/>
    </row>
    <row r="714" ht="14.25" customHeight="1">
      <c r="B714" s="1"/>
      <c r="F714" s="1"/>
      <c r="AM714" s="1"/>
    </row>
    <row r="715" ht="14.25" customHeight="1">
      <c r="B715" s="1"/>
      <c r="F715" s="1"/>
      <c r="AM715" s="1"/>
    </row>
    <row r="716" ht="14.25" customHeight="1">
      <c r="B716" s="1"/>
      <c r="F716" s="1"/>
      <c r="AM716" s="1"/>
    </row>
    <row r="717" ht="14.25" customHeight="1">
      <c r="B717" s="1"/>
      <c r="F717" s="1"/>
      <c r="AM717" s="1"/>
    </row>
    <row r="718" ht="14.25" customHeight="1">
      <c r="B718" s="1"/>
      <c r="F718" s="1"/>
      <c r="AM718" s="1"/>
    </row>
    <row r="719" ht="14.25" customHeight="1">
      <c r="B719" s="1"/>
      <c r="F719" s="1"/>
      <c r="AM719" s="1"/>
    </row>
    <row r="720" ht="14.25" customHeight="1">
      <c r="B720" s="1"/>
      <c r="F720" s="1"/>
      <c r="AM720" s="1"/>
    </row>
    <row r="721" ht="14.25" customHeight="1">
      <c r="B721" s="1"/>
      <c r="F721" s="1"/>
      <c r="AM721" s="1"/>
    </row>
    <row r="722" ht="14.25" customHeight="1">
      <c r="B722" s="1"/>
      <c r="F722" s="1"/>
      <c r="AM722" s="1"/>
    </row>
    <row r="723" ht="14.25" customHeight="1">
      <c r="B723" s="1"/>
      <c r="F723" s="1"/>
      <c r="AM723" s="1"/>
    </row>
    <row r="724" ht="14.25" customHeight="1">
      <c r="B724" s="1"/>
      <c r="F724" s="1"/>
      <c r="AM724" s="1"/>
    </row>
    <row r="725" ht="14.25" customHeight="1">
      <c r="B725" s="1"/>
      <c r="F725" s="1"/>
      <c r="AM725" s="1"/>
    </row>
    <row r="726" ht="14.25" customHeight="1">
      <c r="B726" s="1"/>
      <c r="F726" s="1"/>
      <c r="AM726" s="1"/>
    </row>
    <row r="727" ht="14.25" customHeight="1">
      <c r="B727" s="1"/>
      <c r="F727" s="1"/>
      <c r="AM727" s="1"/>
    </row>
    <row r="728" ht="14.25" customHeight="1">
      <c r="B728" s="1"/>
      <c r="F728" s="1"/>
      <c r="AM728" s="1"/>
    </row>
    <row r="729" ht="14.25" customHeight="1">
      <c r="B729" s="1"/>
      <c r="F729" s="1"/>
      <c r="AM729" s="1"/>
    </row>
    <row r="730" ht="14.25" customHeight="1">
      <c r="B730" s="1"/>
      <c r="F730" s="1"/>
      <c r="AM730" s="1"/>
    </row>
    <row r="731" ht="14.25" customHeight="1">
      <c r="B731" s="1"/>
      <c r="F731" s="1"/>
      <c r="AM731" s="1"/>
    </row>
    <row r="732" ht="14.25" customHeight="1">
      <c r="B732" s="1"/>
      <c r="F732" s="1"/>
      <c r="AM732" s="1"/>
    </row>
    <row r="733" ht="14.25" customHeight="1">
      <c r="B733" s="1"/>
      <c r="F733" s="1"/>
      <c r="AM733" s="1"/>
    </row>
    <row r="734" ht="14.25" customHeight="1">
      <c r="B734" s="1"/>
      <c r="F734" s="1"/>
      <c r="AM734" s="1"/>
    </row>
    <row r="735" ht="14.25" customHeight="1">
      <c r="B735" s="1"/>
      <c r="F735" s="1"/>
      <c r="AM735" s="1"/>
    </row>
    <row r="736" ht="14.25" customHeight="1">
      <c r="B736" s="1"/>
      <c r="F736" s="1"/>
      <c r="AM736" s="1"/>
    </row>
    <row r="737" ht="14.25" customHeight="1">
      <c r="B737" s="1"/>
      <c r="F737" s="1"/>
      <c r="AM737" s="1"/>
    </row>
    <row r="738" ht="14.25" customHeight="1">
      <c r="B738" s="1"/>
      <c r="F738" s="1"/>
      <c r="AM738" s="1"/>
    </row>
    <row r="739" ht="14.25" customHeight="1">
      <c r="B739" s="1"/>
      <c r="F739" s="1"/>
      <c r="AM739" s="1"/>
    </row>
    <row r="740" ht="14.25" customHeight="1">
      <c r="B740" s="1"/>
      <c r="F740" s="1"/>
      <c r="AM740" s="1"/>
    </row>
    <row r="741" ht="14.25" customHeight="1">
      <c r="B741" s="1"/>
      <c r="F741" s="1"/>
      <c r="AM741" s="1"/>
    </row>
    <row r="742" ht="14.25" customHeight="1">
      <c r="B742" s="1"/>
      <c r="F742" s="1"/>
      <c r="AM742" s="1"/>
    </row>
    <row r="743" ht="14.25" customHeight="1">
      <c r="B743" s="1"/>
      <c r="F743" s="1"/>
      <c r="AM743" s="1"/>
    </row>
    <row r="744" ht="14.25" customHeight="1">
      <c r="B744" s="1"/>
      <c r="F744" s="1"/>
      <c r="AM744" s="1"/>
    </row>
    <row r="745" ht="14.25" customHeight="1">
      <c r="B745" s="1"/>
      <c r="F745" s="1"/>
      <c r="AM745" s="1"/>
    </row>
    <row r="746" ht="14.25" customHeight="1">
      <c r="B746" s="1"/>
      <c r="F746" s="1"/>
      <c r="AM746" s="1"/>
    </row>
    <row r="747" ht="14.25" customHeight="1">
      <c r="B747" s="1"/>
      <c r="F747" s="1"/>
      <c r="AM747" s="1"/>
    </row>
    <row r="748" ht="14.25" customHeight="1">
      <c r="B748" s="1"/>
      <c r="F748" s="1"/>
      <c r="AM748" s="1"/>
    </row>
    <row r="749" ht="14.25" customHeight="1">
      <c r="B749" s="1"/>
      <c r="F749" s="1"/>
      <c r="AM749" s="1"/>
    </row>
    <row r="750" ht="14.25" customHeight="1">
      <c r="B750" s="1"/>
      <c r="F750" s="1"/>
      <c r="AM750" s="1"/>
    </row>
    <row r="751" ht="14.25" customHeight="1">
      <c r="B751" s="1"/>
      <c r="F751" s="1"/>
      <c r="AM751" s="1"/>
    </row>
    <row r="752" ht="14.25" customHeight="1">
      <c r="B752" s="1"/>
      <c r="F752" s="1"/>
      <c r="AM752" s="1"/>
    </row>
    <row r="753" ht="14.25" customHeight="1">
      <c r="B753" s="1"/>
      <c r="F753" s="1"/>
      <c r="AM753" s="1"/>
    </row>
    <row r="754" ht="14.25" customHeight="1">
      <c r="B754" s="1"/>
      <c r="F754" s="1"/>
      <c r="AM754" s="1"/>
    </row>
    <row r="755" ht="14.25" customHeight="1">
      <c r="B755" s="1"/>
      <c r="F755" s="1"/>
      <c r="AM755" s="1"/>
    </row>
    <row r="756" ht="14.25" customHeight="1">
      <c r="B756" s="1"/>
      <c r="F756" s="1"/>
      <c r="AM756" s="1"/>
    </row>
    <row r="757" ht="14.25" customHeight="1">
      <c r="B757" s="1"/>
      <c r="F757" s="1"/>
      <c r="AM757" s="1"/>
    </row>
    <row r="758" ht="14.25" customHeight="1">
      <c r="B758" s="1"/>
      <c r="F758" s="1"/>
      <c r="AM758" s="1"/>
    </row>
    <row r="759" ht="14.25" customHeight="1">
      <c r="B759" s="1"/>
      <c r="F759" s="1"/>
      <c r="AM759" s="1"/>
    </row>
    <row r="760" ht="14.25" customHeight="1">
      <c r="B760" s="1"/>
      <c r="F760" s="1"/>
      <c r="AM760" s="1"/>
    </row>
    <row r="761" ht="14.25" customHeight="1">
      <c r="B761" s="1"/>
      <c r="F761" s="1"/>
      <c r="AM761" s="1"/>
    </row>
    <row r="762" ht="14.25" customHeight="1">
      <c r="B762" s="1"/>
      <c r="F762" s="1"/>
      <c r="AM762" s="1"/>
    </row>
    <row r="763" ht="14.25" customHeight="1">
      <c r="B763" s="1"/>
      <c r="F763" s="1"/>
      <c r="AM763" s="1"/>
    </row>
    <row r="764" ht="14.25" customHeight="1">
      <c r="B764" s="1"/>
      <c r="F764" s="1"/>
      <c r="AM764" s="1"/>
    </row>
    <row r="765" ht="14.25" customHeight="1">
      <c r="B765" s="1"/>
      <c r="F765" s="1"/>
      <c r="AM765" s="1"/>
    </row>
    <row r="766" ht="14.25" customHeight="1">
      <c r="B766" s="1"/>
      <c r="F766" s="1"/>
      <c r="AM766" s="1"/>
    </row>
    <row r="767" ht="14.25" customHeight="1">
      <c r="B767" s="1"/>
      <c r="F767" s="1"/>
      <c r="AM767" s="1"/>
    </row>
    <row r="768" ht="14.25" customHeight="1">
      <c r="B768" s="1"/>
      <c r="F768" s="1"/>
      <c r="AM768" s="1"/>
    </row>
    <row r="769" ht="14.25" customHeight="1">
      <c r="B769" s="1"/>
      <c r="F769" s="1"/>
      <c r="AM769" s="1"/>
    </row>
    <row r="770" ht="14.25" customHeight="1">
      <c r="B770" s="1"/>
      <c r="F770" s="1"/>
      <c r="AM770" s="1"/>
    </row>
    <row r="771" ht="14.25" customHeight="1">
      <c r="B771" s="1"/>
      <c r="F771" s="1"/>
      <c r="AM771" s="1"/>
    </row>
    <row r="772" ht="14.25" customHeight="1">
      <c r="B772" s="1"/>
      <c r="F772" s="1"/>
      <c r="AM772" s="1"/>
    </row>
    <row r="773" ht="14.25" customHeight="1">
      <c r="B773" s="1"/>
      <c r="F773" s="1"/>
      <c r="AM773" s="1"/>
    </row>
    <row r="774" ht="14.25" customHeight="1">
      <c r="B774" s="1"/>
      <c r="F774" s="1"/>
      <c r="AM774" s="1"/>
    </row>
    <row r="775" ht="14.25" customHeight="1">
      <c r="B775" s="1"/>
      <c r="F775" s="1"/>
      <c r="AM775" s="1"/>
    </row>
    <row r="776" ht="14.25" customHeight="1">
      <c r="B776" s="1"/>
      <c r="F776" s="1"/>
      <c r="AM776" s="1"/>
    </row>
    <row r="777" ht="14.25" customHeight="1">
      <c r="B777" s="1"/>
      <c r="F777" s="1"/>
      <c r="AM777" s="1"/>
    </row>
    <row r="778" ht="14.25" customHeight="1">
      <c r="B778" s="1"/>
      <c r="F778" s="1"/>
      <c r="AM778" s="1"/>
    </row>
    <row r="779" ht="14.25" customHeight="1">
      <c r="B779" s="1"/>
      <c r="F779" s="1"/>
      <c r="AM779" s="1"/>
    </row>
    <row r="780" ht="14.25" customHeight="1">
      <c r="B780" s="1"/>
      <c r="F780" s="1"/>
      <c r="AM780" s="1"/>
    </row>
    <row r="781" ht="14.25" customHeight="1">
      <c r="B781" s="1"/>
      <c r="F781" s="1"/>
      <c r="AM781" s="1"/>
    </row>
    <row r="782" ht="14.25" customHeight="1">
      <c r="B782" s="1"/>
      <c r="F782" s="1"/>
      <c r="AM782" s="1"/>
    </row>
    <row r="783" ht="14.25" customHeight="1">
      <c r="B783" s="1"/>
      <c r="F783" s="1"/>
      <c r="AM783" s="1"/>
    </row>
    <row r="784" ht="14.25" customHeight="1">
      <c r="B784" s="1"/>
      <c r="F784" s="1"/>
      <c r="AM784" s="1"/>
    </row>
    <row r="785" ht="14.25" customHeight="1">
      <c r="B785" s="1"/>
      <c r="F785" s="1"/>
      <c r="AM785" s="1"/>
    </row>
    <row r="786" ht="14.25" customHeight="1">
      <c r="B786" s="1"/>
      <c r="F786" s="1"/>
      <c r="AM786" s="1"/>
    </row>
    <row r="787" ht="14.25" customHeight="1">
      <c r="B787" s="1"/>
      <c r="F787" s="1"/>
      <c r="AM787" s="1"/>
    </row>
    <row r="788" ht="14.25" customHeight="1">
      <c r="B788" s="1"/>
      <c r="F788" s="1"/>
      <c r="AM788" s="1"/>
    </row>
    <row r="789" ht="14.25" customHeight="1">
      <c r="B789" s="1"/>
      <c r="F789" s="1"/>
      <c r="AM789" s="1"/>
    </row>
    <row r="790" ht="14.25" customHeight="1">
      <c r="B790" s="1"/>
      <c r="F790" s="1"/>
      <c r="AM790" s="1"/>
    </row>
    <row r="791" ht="14.25" customHeight="1">
      <c r="B791" s="1"/>
      <c r="F791" s="1"/>
      <c r="AM791" s="1"/>
    </row>
    <row r="792" ht="14.25" customHeight="1">
      <c r="B792" s="1"/>
      <c r="F792" s="1"/>
      <c r="AM792" s="1"/>
    </row>
    <row r="793" ht="14.25" customHeight="1">
      <c r="B793" s="1"/>
      <c r="F793" s="1"/>
      <c r="AM793" s="1"/>
    </row>
    <row r="794" ht="14.25" customHeight="1">
      <c r="B794" s="1"/>
      <c r="F794" s="1"/>
      <c r="AM794" s="1"/>
    </row>
    <row r="795" ht="14.25" customHeight="1">
      <c r="B795" s="1"/>
      <c r="F795" s="1"/>
      <c r="AM795" s="1"/>
    </row>
    <row r="796" ht="14.25" customHeight="1">
      <c r="B796" s="1"/>
      <c r="F796" s="1"/>
      <c r="AM796" s="1"/>
    </row>
    <row r="797" ht="14.25" customHeight="1">
      <c r="B797" s="1"/>
      <c r="F797" s="1"/>
      <c r="AM797" s="1"/>
    </row>
    <row r="798" ht="14.25" customHeight="1">
      <c r="B798" s="1"/>
      <c r="F798" s="1"/>
      <c r="AM798" s="1"/>
    </row>
    <row r="799" ht="14.25" customHeight="1">
      <c r="B799" s="1"/>
      <c r="F799" s="1"/>
      <c r="AM799" s="1"/>
    </row>
    <row r="800" ht="14.25" customHeight="1">
      <c r="B800" s="1"/>
      <c r="F800" s="1"/>
      <c r="AM800" s="1"/>
    </row>
    <row r="801" ht="14.25" customHeight="1">
      <c r="B801" s="1"/>
      <c r="F801" s="1"/>
      <c r="AM801" s="1"/>
    </row>
    <row r="802" ht="14.25" customHeight="1">
      <c r="B802" s="1"/>
      <c r="F802" s="1"/>
      <c r="AM802" s="1"/>
    </row>
    <row r="803" ht="14.25" customHeight="1">
      <c r="B803" s="1"/>
      <c r="F803" s="1"/>
      <c r="AM803" s="1"/>
    </row>
    <row r="804" ht="14.25" customHeight="1">
      <c r="B804" s="1"/>
      <c r="F804" s="1"/>
      <c r="AM804" s="1"/>
    </row>
    <row r="805" ht="14.25" customHeight="1">
      <c r="B805" s="1"/>
      <c r="F805" s="1"/>
      <c r="AM805" s="1"/>
    </row>
    <row r="806" ht="14.25" customHeight="1">
      <c r="B806" s="1"/>
      <c r="F806" s="1"/>
      <c r="AM806" s="1"/>
    </row>
    <row r="807" ht="14.25" customHeight="1">
      <c r="B807" s="1"/>
      <c r="F807" s="1"/>
      <c r="AM807" s="1"/>
    </row>
    <row r="808" ht="14.25" customHeight="1">
      <c r="B808" s="1"/>
      <c r="F808" s="1"/>
      <c r="AM808" s="1"/>
    </row>
    <row r="809" ht="14.25" customHeight="1">
      <c r="B809" s="1"/>
      <c r="F809" s="1"/>
      <c r="AM809" s="1"/>
    </row>
    <row r="810" ht="14.25" customHeight="1">
      <c r="B810" s="1"/>
      <c r="F810" s="1"/>
      <c r="AM810" s="1"/>
    </row>
    <row r="811" ht="14.25" customHeight="1">
      <c r="B811" s="1"/>
      <c r="F811" s="1"/>
      <c r="AM811" s="1"/>
    </row>
    <row r="812" ht="14.25" customHeight="1">
      <c r="B812" s="1"/>
      <c r="F812" s="1"/>
      <c r="AM812" s="1"/>
    </row>
    <row r="813" ht="14.25" customHeight="1">
      <c r="B813" s="1"/>
      <c r="F813" s="1"/>
      <c r="AM813" s="1"/>
    </row>
    <row r="814" ht="14.25" customHeight="1">
      <c r="B814" s="1"/>
      <c r="F814" s="1"/>
      <c r="AM814" s="1"/>
    </row>
    <row r="815" ht="14.25" customHeight="1">
      <c r="B815" s="1"/>
      <c r="F815" s="1"/>
      <c r="AM815" s="1"/>
    </row>
    <row r="816" ht="14.25" customHeight="1">
      <c r="B816" s="1"/>
      <c r="F816" s="1"/>
      <c r="AM816" s="1"/>
    </row>
    <row r="817" ht="14.25" customHeight="1">
      <c r="B817" s="1"/>
      <c r="F817" s="1"/>
      <c r="AM817" s="1"/>
    </row>
    <row r="818" ht="14.25" customHeight="1">
      <c r="B818" s="1"/>
      <c r="F818" s="1"/>
      <c r="AM818" s="1"/>
    </row>
    <row r="819" ht="14.25" customHeight="1">
      <c r="B819" s="1"/>
      <c r="F819" s="1"/>
      <c r="AM819" s="1"/>
    </row>
    <row r="820" ht="14.25" customHeight="1">
      <c r="B820" s="1"/>
      <c r="F820" s="1"/>
      <c r="AM820" s="1"/>
    </row>
    <row r="821" ht="14.25" customHeight="1">
      <c r="B821" s="1"/>
      <c r="F821" s="1"/>
      <c r="AM821" s="1"/>
    </row>
    <row r="822" ht="14.25" customHeight="1">
      <c r="B822" s="1"/>
      <c r="F822" s="1"/>
      <c r="AM822" s="1"/>
    </row>
    <row r="823" ht="14.25" customHeight="1">
      <c r="B823" s="1"/>
      <c r="F823" s="1"/>
      <c r="AM823" s="1"/>
    </row>
    <row r="824" ht="14.25" customHeight="1">
      <c r="B824" s="1"/>
      <c r="F824" s="1"/>
      <c r="AM824" s="1"/>
    </row>
    <row r="825" ht="14.25" customHeight="1">
      <c r="B825" s="1"/>
      <c r="F825" s="1"/>
      <c r="AM825" s="1"/>
    </row>
    <row r="826" ht="14.25" customHeight="1">
      <c r="B826" s="1"/>
      <c r="F826" s="1"/>
      <c r="AM826" s="1"/>
    </row>
    <row r="827" ht="14.25" customHeight="1">
      <c r="B827" s="1"/>
      <c r="F827" s="1"/>
      <c r="AM827" s="1"/>
    </row>
    <row r="828" ht="14.25" customHeight="1">
      <c r="B828" s="1"/>
      <c r="F828" s="1"/>
      <c r="AM828" s="1"/>
    </row>
    <row r="829" ht="14.25" customHeight="1">
      <c r="B829" s="1"/>
      <c r="F829" s="1"/>
      <c r="AM829" s="1"/>
    </row>
    <row r="830" ht="14.25" customHeight="1">
      <c r="B830" s="1"/>
      <c r="F830" s="1"/>
      <c r="AM830" s="1"/>
    </row>
    <row r="831" ht="14.25" customHeight="1">
      <c r="B831" s="1"/>
      <c r="F831" s="1"/>
      <c r="AM831" s="1"/>
    </row>
    <row r="832" ht="14.25" customHeight="1">
      <c r="B832" s="1"/>
      <c r="F832" s="1"/>
      <c r="AM832" s="1"/>
    </row>
    <row r="833" ht="14.25" customHeight="1">
      <c r="B833" s="1"/>
      <c r="F833" s="1"/>
      <c r="AM833" s="1"/>
    </row>
    <row r="834" ht="14.25" customHeight="1">
      <c r="B834" s="1"/>
      <c r="F834" s="1"/>
      <c r="AM834" s="1"/>
    </row>
    <row r="835" ht="14.25" customHeight="1">
      <c r="B835" s="1"/>
      <c r="F835" s="1"/>
      <c r="AM835" s="1"/>
    </row>
    <row r="836" ht="14.25" customHeight="1">
      <c r="B836" s="1"/>
      <c r="F836" s="1"/>
      <c r="AM836" s="1"/>
    </row>
    <row r="837" ht="14.25" customHeight="1">
      <c r="B837" s="1"/>
      <c r="F837" s="1"/>
      <c r="AM837" s="1"/>
    </row>
    <row r="838" ht="14.25" customHeight="1">
      <c r="B838" s="1"/>
      <c r="F838" s="1"/>
      <c r="AM838" s="1"/>
    </row>
    <row r="839" ht="14.25" customHeight="1">
      <c r="B839" s="1"/>
      <c r="F839" s="1"/>
      <c r="AM839" s="1"/>
    </row>
    <row r="840" ht="14.25" customHeight="1">
      <c r="B840" s="1"/>
      <c r="F840" s="1"/>
      <c r="AM840" s="1"/>
    </row>
    <row r="841" ht="14.25" customHeight="1">
      <c r="B841" s="1"/>
      <c r="F841" s="1"/>
      <c r="AM841" s="1"/>
    </row>
    <row r="842" ht="14.25" customHeight="1">
      <c r="B842" s="1"/>
      <c r="F842" s="1"/>
      <c r="AM842" s="1"/>
    </row>
    <row r="843" ht="14.25" customHeight="1">
      <c r="B843" s="1"/>
      <c r="F843" s="1"/>
      <c r="AM843" s="1"/>
    </row>
    <row r="844" ht="14.25" customHeight="1">
      <c r="B844" s="1"/>
      <c r="F844" s="1"/>
      <c r="AM844" s="1"/>
    </row>
    <row r="845" ht="14.25" customHeight="1">
      <c r="B845" s="1"/>
      <c r="F845" s="1"/>
      <c r="AM845" s="1"/>
    </row>
    <row r="846" ht="14.25" customHeight="1">
      <c r="B846" s="1"/>
      <c r="F846" s="1"/>
      <c r="AM846" s="1"/>
    </row>
    <row r="847" ht="14.25" customHeight="1">
      <c r="B847" s="1"/>
      <c r="F847" s="1"/>
      <c r="AM847" s="1"/>
    </row>
    <row r="848" ht="14.25" customHeight="1">
      <c r="B848" s="1"/>
      <c r="F848" s="1"/>
      <c r="AM848" s="1"/>
    </row>
    <row r="849" ht="14.25" customHeight="1">
      <c r="B849" s="1"/>
      <c r="F849" s="1"/>
      <c r="AM849" s="1"/>
    </row>
    <row r="850" ht="14.25" customHeight="1">
      <c r="B850" s="1"/>
      <c r="F850" s="1"/>
      <c r="AM850" s="1"/>
    </row>
    <row r="851" ht="14.25" customHeight="1">
      <c r="B851" s="1"/>
      <c r="F851" s="1"/>
      <c r="AM851" s="1"/>
    </row>
    <row r="852" ht="14.25" customHeight="1">
      <c r="B852" s="1"/>
      <c r="F852" s="1"/>
      <c r="AM852" s="1"/>
    </row>
    <row r="853" ht="14.25" customHeight="1">
      <c r="B853" s="1"/>
      <c r="F853" s="1"/>
      <c r="AM853" s="1"/>
    </row>
    <row r="854" ht="14.25" customHeight="1">
      <c r="B854" s="1"/>
      <c r="F854" s="1"/>
      <c r="AM854" s="1"/>
    </row>
    <row r="855" ht="14.25" customHeight="1">
      <c r="B855" s="1"/>
      <c r="F855" s="1"/>
      <c r="AM855" s="1"/>
    </row>
    <row r="856" ht="14.25" customHeight="1">
      <c r="B856" s="1"/>
      <c r="F856" s="1"/>
      <c r="AM856" s="1"/>
    </row>
    <row r="857" ht="14.25" customHeight="1">
      <c r="B857" s="1"/>
      <c r="F857" s="1"/>
      <c r="AM857" s="1"/>
    </row>
    <row r="858" ht="14.25" customHeight="1">
      <c r="B858" s="1"/>
      <c r="F858" s="1"/>
      <c r="AM858" s="1"/>
    </row>
    <row r="859" ht="14.25" customHeight="1">
      <c r="B859" s="1"/>
      <c r="F859" s="1"/>
      <c r="AM859" s="1"/>
    </row>
    <row r="860" ht="14.25" customHeight="1">
      <c r="B860" s="1"/>
      <c r="F860" s="1"/>
      <c r="AM860" s="1"/>
    </row>
    <row r="861" ht="14.25" customHeight="1">
      <c r="B861" s="1"/>
      <c r="F861" s="1"/>
      <c r="AM861" s="1"/>
    </row>
    <row r="862" ht="14.25" customHeight="1">
      <c r="B862" s="1"/>
      <c r="F862" s="1"/>
      <c r="AM862" s="1"/>
    </row>
    <row r="863" ht="14.25" customHeight="1">
      <c r="B863" s="1"/>
      <c r="F863" s="1"/>
      <c r="AM863" s="1"/>
    </row>
    <row r="864" ht="14.25" customHeight="1">
      <c r="B864" s="1"/>
      <c r="F864" s="1"/>
      <c r="AM864" s="1"/>
    </row>
    <row r="865" ht="14.25" customHeight="1">
      <c r="B865" s="1"/>
      <c r="F865" s="1"/>
      <c r="AM865" s="1"/>
    </row>
    <row r="866" ht="14.25" customHeight="1">
      <c r="B866" s="1"/>
      <c r="F866" s="1"/>
      <c r="AM866" s="1"/>
    </row>
    <row r="867" ht="14.25" customHeight="1">
      <c r="B867" s="1"/>
      <c r="F867" s="1"/>
      <c r="AM867" s="1"/>
    </row>
    <row r="868" ht="14.25" customHeight="1">
      <c r="B868" s="1"/>
      <c r="F868" s="1"/>
      <c r="AM868" s="1"/>
    </row>
    <row r="869" ht="14.25" customHeight="1">
      <c r="B869" s="1"/>
      <c r="F869" s="1"/>
      <c r="AM869" s="1"/>
    </row>
    <row r="870" ht="14.25" customHeight="1">
      <c r="B870" s="1"/>
      <c r="F870" s="1"/>
      <c r="AM870" s="1"/>
    </row>
    <row r="871" ht="14.25" customHeight="1">
      <c r="B871" s="1"/>
      <c r="F871" s="1"/>
      <c r="AM871" s="1"/>
    </row>
    <row r="872" ht="14.25" customHeight="1">
      <c r="B872" s="1"/>
      <c r="F872" s="1"/>
      <c r="AM872" s="1"/>
    </row>
    <row r="873" ht="14.25" customHeight="1">
      <c r="B873" s="1"/>
      <c r="F873" s="1"/>
      <c r="AM873" s="1"/>
    </row>
    <row r="874" ht="14.25" customHeight="1">
      <c r="B874" s="1"/>
      <c r="F874" s="1"/>
      <c r="AM874" s="1"/>
    </row>
    <row r="875" ht="14.25" customHeight="1">
      <c r="B875" s="1"/>
      <c r="F875" s="1"/>
      <c r="AM875" s="1"/>
    </row>
    <row r="876" ht="14.25" customHeight="1">
      <c r="B876" s="1"/>
      <c r="F876" s="1"/>
      <c r="AM876" s="1"/>
    </row>
    <row r="877" ht="14.25" customHeight="1">
      <c r="B877" s="1"/>
      <c r="F877" s="1"/>
      <c r="AM877" s="1"/>
    </row>
    <row r="878" ht="14.25" customHeight="1">
      <c r="B878" s="1"/>
      <c r="F878" s="1"/>
      <c r="AM878" s="1"/>
    </row>
    <row r="879" ht="14.25" customHeight="1">
      <c r="B879" s="1"/>
      <c r="F879" s="1"/>
      <c r="AM879" s="1"/>
    </row>
    <row r="880" ht="14.25" customHeight="1">
      <c r="B880" s="1"/>
      <c r="F880" s="1"/>
      <c r="AM880" s="1"/>
    </row>
    <row r="881" ht="14.25" customHeight="1">
      <c r="B881" s="1"/>
      <c r="F881" s="1"/>
      <c r="AM881" s="1"/>
    </row>
    <row r="882" ht="14.25" customHeight="1">
      <c r="B882" s="1"/>
      <c r="F882" s="1"/>
      <c r="AM882" s="1"/>
    </row>
    <row r="883" ht="14.25" customHeight="1">
      <c r="B883" s="1"/>
      <c r="F883" s="1"/>
      <c r="AM883" s="1"/>
    </row>
    <row r="884" ht="14.25" customHeight="1">
      <c r="B884" s="1"/>
      <c r="F884" s="1"/>
      <c r="AM884" s="1"/>
    </row>
    <row r="885" ht="14.25" customHeight="1">
      <c r="B885" s="1"/>
      <c r="F885" s="1"/>
      <c r="AM885" s="1"/>
    </row>
    <row r="886" ht="14.25" customHeight="1">
      <c r="B886" s="1"/>
      <c r="F886" s="1"/>
      <c r="AM886" s="1"/>
    </row>
    <row r="887" ht="14.25" customHeight="1">
      <c r="B887" s="1"/>
      <c r="F887" s="1"/>
      <c r="AM887" s="1"/>
    </row>
    <row r="888" ht="14.25" customHeight="1">
      <c r="B888" s="1"/>
      <c r="F888" s="1"/>
      <c r="AM888" s="1"/>
    </row>
    <row r="889" ht="14.25" customHeight="1">
      <c r="B889" s="1"/>
      <c r="F889" s="1"/>
      <c r="AM889" s="1"/>
    </row>
    <row r="890" ht="14.25" customHeight="1">
      <c r="B890" s="1"/>
      <c r="F890" s="1"/>
      <c r="AM890" s="1"/>
    </row>
    <row r="891" ht="14.25" customHeight="1">
      <c r="B891" s="1"/>
      <c r="F891" s="1"/>
      <c r="AM891" s="1"/>
    </row>
    <row r="892" ht="14.25" customHeight="1">
      <c r="B892" s="1"/>
      <c r="F892" s="1"/>
      <c r="AM892" s="1"/>
    </row>
    <row r="893" ht="14.25" customHeight="1">
      <c r="B893" s="1"/>
      <c r="F893" s="1"/>
      <c r="AM893" s="1"/>
    </row>
    <row r="894" ht="14.25" customHeight="1">
      <c r="B894" s="1"/>
      <c r="F894" s="1"/>
      <c r="AM894" s="1"/>
    </row>
    <row r="895" ht="14.25" customHeight="1">
      <c r="B895" s="1"/>
      <c r="F895" s="1"/>
      <c r="AM895" s="1"/>
    </row>
    <row r="896" ht="14.25" customHeight="1">
      <c r="B896" s="1"/>
      <c r="F896" s="1"/>
      <c r="AM896" s="1"/>
    </row>
    <row r="897" ht="14.25" customHeight="1">
      <c r="B897" s="1"/>
      <c r="F897" s="1"/>
      <c r="AM897" s="1"/>
    </row>
    <row r="898" ht="14.25" customHeight="1">
      <c r="B898" s="1"/>
      <c r="F898" s="1"/>
      <c r="AM898" s="1"/>
    </row>
    <row r="899" ht="14.25" customHeight="1">
      <c r="B899" s="1"/>
      <c r="F899" s="1"/>
      <c r="AM899" s="1"/>
    </row>
    <row r="900" ht="14.25" customHeight="1">
      <c r="B900" s="1"/>
      <c r="F900" s="1"/>
      <c r="AM900" s="1"/>
    </row>
    <row r="901" ht="14.25" customHeight="1">
      <c r="B901" s="1"/>
      <c r="F901" s="1"/>
      <c r="AM901" s="1"/>
    </row>
    <row r="902" ht="14.25" customHeight="1">
      <c r="B902" s="1"/>
      <c r="F902" s="1"/>
      <c r="AM902" s="1"/>
    </row>
    <row r="903" ht="14.25" customHeight="1">
      <c r="B903" s="1"/>
      <c r="F903" s="1"/>
      <c r="AM903" s="1"/>
    </row>
    <row r="904" ht="14.25" customHeight="1">
      <c r="B904" s="1"/>
      <c r="F904" s="1"/>
      <c r="AM904" s="1"/>
    </row>
    <row r="905" ht="14.25" customHeight="1">
      <c r="B905" s="1"/>
      <c r="F905" s="1"/>
      <c r="AM905" s="1"/>
    </row>
    <row r="906" ht="14.25" customHeight="1">
      <c r="B906" s="1"/>
      <c r="F906" s="1"/>
      <c r="AM906" s="1"/>
    </row>
    <row r="907" ht="14.25" customHeight="1">
      <c r="B907" s="1"/>
      <c r="F907" s="1"/>
      <c r="AM907" s="1"/>
    </row>
    <row r="908" ht="14.25" customHeight="1">
      <c r="B908" s="1"/>
      <c r="F908" s="1"/>
      <c r="AM908" s="1"/>
    </row>
    <row r="909" ht="14.25" customHeight="1">
      <c r="B909" s="1"/>
      <c r="F909" s="1"/>
      <c r="AM909" s="1"/>
    </row>
    <row r="910" ht="14.25" customHeight="1">
      <c r="B910" s="1"/>
      <c r="F910" s="1"/>
      <c r="AM910" s="1"/>
    </row>
    <row r="911" ht="14.25" customHeight="1">
      <c r="B911" s="1"/>
      <c r="F911" s="1"/>
      <c r="AM911" s="1"/>
    </row>
    <row r="912" ht="14.25" customHeight="1">
      <c r="B912" s="1"/>
      <c r="F912" s="1"/>
      <c r="AM912" s="1"/>
    </row>
    <row r="913" ht="14.25" customHeight="1">
      <c r="B913" s="1"/>
      <c r="F913" s="1"/>
      <c r="AM913" s="1"/>
    </row>
    <row r="914" ht="14.25" customHeight="1">
      <c r="B914" s="1"/>
      <c r="F914" s="1"/>
      <c r="AM914" s="1"/>
    </row>
    <row r="915" ht="14.25" customHeight="1">
      <c r="B915" s="1"/>
      <c r="F915" s="1"/>
      <c r="AM915" s="1"/>
    </row>
    <row r="916" ht="14.25" customHeight="1">
      <c r="B916" s="1"/>
      <c r="F916" s="1"/>
      <c r="AM916" s="1"/>
    </row>
    <row r="917" ht="14.25" customHeight="1">
      <c r="B917" s="1"/>
      <c r="F917" s="1"/>
      <c r="AM917" s="1"/>
    </row>
    <row r="918" ht="14.25" customHeight="1">
      <c r="B918" s="1"/>
      <c r="F918" s="1"/>
      <c r="AM918" s="1"/>
    </row>
    <row r="919" ht="14.25" customHeight="1">
      <c r="B919" s="1"/>
      <c r="F919" s="1"/>
      <c r="AM919" s="1"/>
    </row>
    <row r="920" ht="14.25" customHeight="1">
      <c r="B920" s="1"/>
      <c r="F920" s="1"/>
      <c r="AM920" s="1"/>
    </row>
    <row r="921" ht="14.25" customHeight="1">
      <c r="B921" s="1"/>
      <c r="F921" s="1"/>
      <c r="AM921" s="1"/>
    </row>
    <row r="922" ht="14.25" customHeight="1">
      <c r="B922" s="1"/>
      <c r="F922" s="1"/>
      <c r="AM922" s="1"/>
    </row>
    <row r="923" ht="14.25" customHeight="1">
      <c r="B923" s="1"/>
      <c r="F923" s="1"/>
      <c r="AM923" s="1"/>
    </row>
    <row r="924" ht="14.25" customHeight="1">
      <c r="B924" s="1"/>
      <c r="F924" s="1"/>
      <c r="AM924" s="1"/>
    </row>
    <row r="925" ht="14.25" customHeight="1">
      <c r="B925" s="1"/>
      <c r="F925" s="1"/>
      <c r="AM925" s="1"/>
    </row>
    <row r="926" ht="14.25" customHeight="1">
      <c r="B926" s="1"/>
      <c r="F926" s="1"/>
      <c r="AM926" s="1"/>
    </row>
    <row r="927" ht="14.25" customHeight="1">
      <c r="B927" s="1"/>
      <c r="F927" s="1"/>
      <c r="AM927" s="1"/>
    </row>
    <row r="928" ht="14.25" customHeight="1">
      <c r="B928" s="1"/>
      <c r="F928" s="1"/>
      <c r="AM928" s="1"/>
    </row>
    <row r="929" ht="14.25" customHeight="1">
      <c r="B929" s="1"/>
      <c r="F929" s="1"/>
      <c r="AM929" s="1"/>
    </row>
    <row r="930" ht="14.25" customHeight="1">
      <c r="B930" s="1"/>
      <c r="F930" s="1"/>
      <c r="AM930" s="1"/>
    </row>
    <row r="931" ht="14.25" customHeight="1">
      <c r="B931" s="1"/>
      <c r="F931" s="1"/>
      <c r="AM931" s="1"/>
    </row>
    <row r="932" ht="14.25" customHeight="1">
      <c r="B932" s="1"/>
      <c r="F932" s="1"/>
      <c r="AM932" s="1"/>
    </row>
    <row r="933" ht="14.25" customHeight="1">
      <c r="B933" s="1"/>
      <c r="F933" s="1"/>
      <c r="AM933" s="1"/>
    </row>
    <row r="934" ht="14.25" customHeight="1">
      <c r="B934" s="1"/>
      <c r="F934" s="1"/>
      <c r="AM934" s="1"/>
    </row>
    <row r="935" ht="14.25" customHeight="1">
      <c r="B935" s="1"/>
      <c r="F935" s="1"/>
      <c r="AM935" s="1"/>
    </row>
    <row r="936" ht="14.25" customHeight="1">
      <c r="B936" s="1"/>
      <c r="F936" s="1"/>
      <c r="AM936" s="1"/>
    </row>
    <row r="937" ht="14.25" customHeight="1">
      <c r="B937" s="1"/>
      <c r="F937" s="1"/>
      <c r="AM937" s="1"/>
    </row>
    <row r="938" ht="14.25" customHeight="1">
      <c r="B938" s="1"/>
      <c r="F938" s="1"/>
      <c r="AM938" s="1"/>
    </row>
    <row r="939" ht="14.25" customHeight="1">
      <c r="B939" s="1"/>
      <c r="F939" s="1"/>
      <c r="AM939" s="1"/>
    </row>
    <row r="940" ht="14.25" customHeight="1">
      <c r="B940" s="1"/>
      <c r="F940" s="1"/>
      <c r="AM940" s="1"/>
    </row>
    <row r="941" ht="14.25" customHeight="1">
      <c r="B941" s="1"/>
      <c r="F941" s="1"/>
      <c r="AM941" s="1"/>
    </row>
    <row r="942" ht="14.25" customHeight="1">
      <c r="B942" s="1"/>
      <c r="F942" s="1"/>
      <c r="AM942" s="1"/>
    </row>
    <row r="943" ht="14.25" customHeight="1">
      <c r="B943" s="1"/>
      <c r="F943" s="1"/>
      <c r="AM943" s="1"/>
    </row>
    <row r="944" ht="14.25" customHeight="1">
      <c r="B944" s="1"/>
      <c r="F944" s="1"/>
      <c r="AM944" s="1"/>
    </row>
    <row r="945" ht="14.25" customHeight="1">
      <c r="B945" s="1"/>
      <c r="F945" s="1"/>
      <c r="AM945" s="1"/>
    </row>
    <row r="946" ht="14.25" customHeight="1">
      <c r="B946" s="1"/>
      <c r="F946" s="1"/>
      <c r="AM946" s="1"/>
    </row>
    <row r="947" ht="14.25" customHeight="1">
      <c r="B947" s="1"/>
      <c r="F947" s="1"/>
      <c r="AM947" s="1"/>
    </row>
    <row r="948" ht="14.25" customHeight="1">
      <c r="B948" s="1"/>
      <c r="F948" s="1"/>
      <c r="AM948" s="1"/>
    </row>
    <row r="949" ht="14.25" customHeight="1">
      <c r="B949" s="1"/>
      <c r="F949" s="1"/>
      <c r="AM949" s="1"/>
    </row>
    <row r="950" ht="14.25" customHeight="1">
      <c r="B950" s="1"/>
      <c r="F950" s="1"/>
      <c r="AM950" s="1"/>
    </row>
    <row r="951" ht="14.25" customHeight="1">
      <c r="B951" s="1"/>
      <c r="F951" s="1"/>
      <c r="AM951" s="1"/>
    </row>
    <row r="952" ht="14.25" customHeight="1">
      <c r="B952" s="1"/>
      <c r="F952" s="1"/>
      <c r="AM952" s="1"/>
    </row>
    <row r="953" ht="14.25" customHeight="1">
      <c r="B953" s="1"/>
      <c r="F953" s="1"/>
      <c r="AM953" s="1"/>
    </row>
    <row r="954" ht="14.25" customHeight="1">
      <c r="B954" s="1"/>
      <c r="F954" s="1"/>
      <c r="AM954" s="1"/>
    </row>
    <row r="955" ht="14.25" customHeight="1">
      <c r="B955" s="1"/>
      <c r="F955" s="1"/>
      <c r="AM955" s="1"/>
    </row>
    <row r="956" ht="14.25" customHeight="1">
      <c r="B956" s="1"/>
      <c r="F956" s="1"/>
      <c r="AM956" s="1"/>
    </row>
    <row r="957" ht="14.25" customHeight="1">
      <c r="B957" s="1"/>
      <c r="F957" s="1"/>
      <c r="AM957" s="1"/>
    </row>
    <row r="958" ht="14.25" customHeight="1">
      <c r="B958" s="1"/>
      <c r="F958" s="1"/>
      <c r="AM958" s="1"/>
    </row>
    <row r="959" ht="14.25" customHeight="1">
      <c r="B959" s="1"/>
      <c r="F959" s="1"/>
      <c r="AM959" s="1"/>
    </row>
    <row r="960" ht="14.25" customHeight="1">
      <c r="B960" s="1"/>
      <c r="F960" s="1"/>
      <c r="AM960" s="1"/>
    </row>
    <row r="961" ht="14.25" customHeight="1">
      <c r="B961" s="1"/>
      <c r="F961" s="1"/>
      <c r="AM961" s="1"/>
    </row>
    <row r="962" ht="14.25" customHeight="1">
      <c r="B962" s="1"/>
      <c r="F962" s="1"/>
      <c r="AM962" s="1"/>
    </row>
    <row r="963" ht="14.25" customHeight="1">
      <c r="B963" s="1"/>
      <c r="F963" s="1"/>
      <c r="AM963" s="1"/>
    </row>
    <row r="964" ht="14.25" customHeight="1">
      <c r="B964" s="1"/>
      <c r="F964" s="1"/>
      <c r="AM964" s="1"/>
    </row>
    <row r="965" ht="14.25" customHeight="1">
      <c r="B965" s="1"/>
      <c r="F965" s="1"/>
      <c r="AM965" s="1"/>
    </row>
    <row r="966" ht="14.25" customHeight="1">
      <c r="B966" s="1"/>
      <c r="F966" s="1"/>
      <c r="AM966" s="1"/>
    </row>
    <row r="967" ht="14.25" customHeight="1">
      <c r="B967" s="1"/>
      <c r="F967" s="1"/>
      <c r="AM967" s="1"/>
    </row>
    <row r="968" ht="14.25" customHeight="1">
      <c r="B968" s="1"/>
      <c r="F968" s="1"/>
      <c r="AM968" s="1"/>
    </row>
    <row r="969" ht="14.25" customHeight="1">
      <c r="B969" s="1"/>
      <c r="F969" s="1"/>
      <c r="AM969" s="1"/>
    </row>
    <row r="970" ht="14.25" customHeight="1">
      <c r="B970" s="1"/>
      <c r="F970" s="1"/>
      <c r="AM970" s="1"/>
    </row>
    <row r="971" ht="14.25" customHeight="1">
      <c r="B971" s="1"/>
      <c r="F971" s="1"/>
      <c r="AM971" s="1"/>
    </row>
    <row r="972" ht="14.25" customHeight="1">
      <c r="B972" s="1"/>
      <c r="F972" s="1"/>
      <c r="AM972" s="1"/>
    </row>
    <row r="973" ht="14.25" customHeight="1">
      <c r="B973" s="1"/>
      <c r="F973" s="1"/>
      <c r="AM973" s="1"/>
    </row>
    <row r="974" ht="14.25" customHeight="1">
      <c r="B974" s="1"/>
      <c r="F974" s="1"/>
      <c r="AM974" s="1"/>
    </row>
    <row r="975" ht="14.25" customHeight="1">
      <c r="B975" s="1"/>
      <c r="F975" s="1"/>
      <c r="AM975" s="1"/>
    </row>
    <row r="976" ht="14.25" customHeight="1">
      <c r="B976" s="1"/>
      <c r="F976" s="1"/>
      <c r="AM976" s="1"/>
    </row>
    <row r="977" ht="14.25" customHeight="1">
      <c r="B977" s="1"/>
      <c r="F977" s="1"/>
      <c r="AM977" s="1"/>
    </row>
    <row r="978" ht="14.25" customHeight="1">
      <c r="B978" s="1"/>
      <c r="F978" s="1"/>
      <c r="AM978" s="1"/>
    </row>
    <row r="979" ht="14.25" customHeight="1">
      <c r="B979" s="1"/>
      <c r="F979" s="1"/>
      <c r="AM979" s="1"/>
    </row>
    <row r="980" ht="14.25" customHeight="1">
      <c r="B980" s="1"/>
      <c r="F980" s="1"/>
      <c r="AM980" s="1"/>
    </row>
    <row r="981" ht="14.25" customHeight="1">
      <c r="B981" s="1"/>
      <c r="F981" s="1"/>
      <c r="AM981" s="1"/>
    </row>
    <row r="982" ht="14.25" customHeight="1">
      <c r="B982" s="1"/>
      <c r="F982" s="1"/>
      <c r="AM982" s="1"/>
    </row>
    <row r="983" ht="14.25" customHeight="1">
      <c r="B983" s="1"/>
      <c r="F983" s="1"/>
      <c r="AM983" s="1"/>
    </row>
    <row r="984" ht="14.25" customHeight="1">
      <c r="B984" s="1"/>
      <c r="F984" s="1"/>
      <c r="AM984" s="1"/>
    </row>
    <row r="985" ht="14.25" customHeight="1">
      <c r="B985" s="1"/>
      <c r="F985" s="1"/>
      <c r="AM985" s="1"/>
    </row>
    <row r="986" ht="14.25" customHeight="1">
      <c r="B986" s="1"/>
      <c r="F986" s="1"/>
      <c r="AM986" s="1"/>
    </row>
    <row r="987" ht="14.25" customHeight="1">
      <c r="B987" s="1"/>
      <c r="F987" s="1"/>
      <c r="AM987" s="1"/>
    </row>
    <row r="988" ht="14.25" customHeight="1">
      <c r="B988" s="1"/>
      <c r="F988" s="1"/>
      <c r="AM988" s="1"/>
    </row>
    <row r="989" ht="14.25" customHeight="1">
      <c r="B989" s="1"/>
      <c r="F989" s="1"/>
      <c r="AM989" s="1"/>
    </row>
    <row r="990" ht="14.25" customHeight="1">
      <c r="B990" s="1"/>
      <c r="F990" s="1"/>
      <c r="AM990" s="1"/>
    </row>
    <row r="991" ht="14.25" customHeight="1">
      <c r="B991" s="1"/>
      <c r="F991" s="1"/>
      <c r="AM991" s="1"/>
    </row>
    <row r="992" ht="14.25" customHeight="1">
      <c r="B992" s="1"/>
      <c r="F992" s="1"/>
      <c r="AM992" s="1"/>
    </row>
    <row r="993" ht="14.25" customHeight="1">
      <c r="B993" s="1"/>
      <c r="F993" s="1"/>
      <c r="AM993" s="1"/>
    </row>
    <row r="994" ht="14.25" customHeight="1">
      <c r="B994" s="1"/>
      <c r="F994" s="1"/>
      <c r="AM994" s="1"/>
    </row>
    <row r="995" ht="14.25" customHeight="1">
      <c r="B995" s="1"/>
      <c r="F995" s="1"/>
      <c r="AM995" s="1"/>
    </row>
    <row r="996" ht="14.25" customHeight="1">
      <c r="B996" s="1"/>
      <c r="F996" s="1"/>
      <c r="AM996" s="1"/>
    </row>
    <row r="997" ht="14.25" customHeight="1">
      <c r="B997" s="1"/>
      <c r="F997" s="1"/>
      <c r="AM997" s="1"/>
    </row>
    <row r="998" ht="14.25" customHeight="1">
      <c r="B998" s="1"/>
      <c r="F998" s="1"/>
      <c r="AM998" s="1"/>
    </row>
    <row r="999" ht="14.25" customHeight="1">
      <c r="B999" s="1"/>
      <c r="F999" s="1"/>
      <c r="AM999" s="1"/>
    </row>
    <row r="1000" ht="14.25" customHeight="1">
      <c r="B1000" s="1"/>
      <c r="F1000" s="1"/>
      <c r="AM1000" s="1"/>
    </row>
  </sheetData>
  <mergeCells count="56">
    <mergeCell ref="X15:AE15"/>
    <mergeCell ref="I17:P17"/>
    <mergeCell ref="I18:J18"/>
    <mergeCell ref="K18:P18"/>
    <mergeCell ref="I20:AH20"/>
    <mergeCell ref="I21:J21"/>
    <mergeCell ref="K21:P21"/>
    <mergeCell ref="R21:T21"/>
    <mergeCell ref="U21:Y21"/>
    <mergeCell ref="AA21:AB22"/>
    <mergeCell ref="AC21:AH22"/>
    <mergeCell ref="I22:J22"/>
    <mergeCell ref="K22:P22"/>
    <mergeCell ref="I23:J23"/>
    <mergeCell ref="K23:P23"/>
    <mergeCell ref="I25:P25"/>
    <mergeCell ref="I26:J27"/>
    <mergeCell ref="K26:P26"/>
    <mergeCell ref="K27:P27"/>
    <mergeCell ref="I30:Y30"/>
    <mergeCell ref="I31:J31"/>
    <mergeCell ref="T31:Y31"/>
    <mergeCell ref="I33:J33"/>
    <mergeCell ref="I34:J34"/>
    <mergeCell ref="K34:P34"/>
    <mergeCell ref="K31:P31"/>
    <mergeCell ref="R31:S31"/>
    <mergeCell ref="I32:J32"/>
    <mergeCell ref="K32:P32"/>
    <mergeCell ref="R32:S32"/>
    <mergeCell ref="T32:Y32"/>
    <mergeCell ref="K33:P33"/>
    <mergeCell ref="H3:AM6"/>
    <mergeCell ref="H7:W7"/>
    <mergeCell ref="X7:AE7"/>
    <mergeCell ref="AF7:AM7"/>
    <mergeCell ref="H8:O8"/>
    <mergeCell ref="P8:W8"/>
    <mergeCell ref="X8:AE8"/>
    <mergeCell ref="AF8:AM8"/>
    <mergeCell ref="H9:AM9"/>
    <mergeCell ref="H10:AM10"/>
    <mergeCell ref="H11:AM11"/>
    <mergeCell ref="I12:M12"/>
    <mergeCell ref="P12:U12"/>
    <mergeCell ref="X12:AM12"/>
    <mergeCell ref="H13:AM13"/>
    <mergeCell ref="H14:AE14"/>
    <mergeCell ref="AF14:AM14"/>
    <mergeCell ref="H1:O1"/>
    <mergeCell ref="P1:W1"/>
    <mergeCell ref="X1:AE1"/>
    <mergeCell ref="AF1:AM1"/>
    <mergeCell ref="B3:B15"/>
    <mergeCell ref="C3:C15"/>
    <mergeCell ref="E3:E6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9.0" ySplit="21.0" topLeftCell="AN22" activePane="bottomRight" state="frozen"/>
      <selection activeCell="AN1" sqref="AN1" pane="topRight"/>
      <selection activeCell="A22" sqref="A22" pane="bottomLeft"/>
      <selection activeCell="AN22" sqref="AN22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5.5"/>
  </cols>
  <sheetData>
    <row r="1" ht="14.25" customHeight="1">
      <c r="A1" s="1"/>
      <c r="B1" s="1"/>
      <c r="F1" s="1"/>
      <c r="H1" s="120">
        <v>3.0</v>
      </c>
      <c r="I1" s="121"/>
      <c r="J1" s="121"/>
      <c r="K1" s="121"/>
      <c r="L1" s="121"/>
      <c r="M1" s="121"/>
      <c r="N1" s="121"/>
      <c r="O1" s="122"/>
      <c r="P1" s="120">
        <v>2.0</v>
      </c>
      <c r="Q1" s="121"/>
      <c r="R1" s="121"/>
      <c r="S1" s="121"/>
      <c r="T1" s="121"/>
      <c r="U1" s="121"/>
      <c r="V1" s="121"/>
      <c r="W1" s="122"/>
      <c r="X1" s="120">
        <v>1.0</v>
      </c>
      <c r="Y1" s="121"/>
      <c r="Z1" s="121"/>
      <c r="AA1" s="121"/>
      <c r="AB1" s="121"/>
      <c r="AC1" s="121"/>
      <c r="AD1" s="121"/>
      <c r="AE1" s="122"/>
      <c r="AF1" s="120">
        <v>0.0</v>
      </c>
      <c r="AG1" s="121"/>
      <c r="AH1" s="121"/>
      <c r="AI1" s="121"/>
      <c r="AJ1" s="121"/>
      <c r="AK1" s="121"/>
      <c r="AL1" s="121"/>
      <c r="AM1" s="122"/>
    </row>
    <row r="2" ht="14.25" customHeight="1">
      <c r="A2" s="1"/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5" t="s">
        <v>259</v>
      </c>
      <c r="C3" s="46" t="s">
        <v>260</v>
      </c>
      <c r="D3" s="49" t="str">
        <f t="shared" ref="D3:D15" si="2">DEC2HEX(A3*4, 3)</f>
        <v>000</v>
      </c>
      <c r="E3" s="48" t="s">
        <v>83</v>
      </c>
      <c r="F3" s="49" t="s">
        <v>87</v>
      </c>
      <c r="G3" s="41"/>
      <c r="H3" s="51" t="s">
        <v>261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4"/>
      <c r="C4" s="55"/>
      <c r="D4" s="56" t="str">
        <f t="shared" si="2"/>
        <v>004</v>
      </c>
      <c r="E4" s="55"/>
      <c r="F4" s="56" t="s">
        <v>87</v>
      </c>
      <c r="G4" s="7"/>
      <c r="H4" s="55"/>
      <c r="AM4" s="57"/>
    </row>
    <row r="5" ht="14.25" customHeight="1">
      <c r="A5" s="1">
        <v>2.0</v>
      </c>
      <c r="B5" s="54"/>
      <c r="C5" s="55"/>
      <c r="D5" s="56" t="str">
        <f t="shared" si="2"/>
        <v>008</v>
      </c>
      <c r="E5" s="55"/>
      <c r="F5" s="56" t="s">
        <v>87</v>
      </c>
      <c r="G5" s="7"/>
      <c r="H5" s="55"/>
      <c r="AM5" s="57"/>
    </row>
    <row r="6" ht="14.25" customHeight="1">
      <c r="A6" s="1">
        <v>3.0</v>
      </c>
      <c r="B6" s="54"/>
      <c r="C6" s="55"/>
      <c r="D6" s="56" t="str">
        <f t="shared" si="2"/>
        <v>00C</v>
      </c>
      <c r="E6" s="55"/>
      <c r="F6" s="56" t="s">
        <v>87</v>
      </c>
      <c r="G6" s="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4"/>
      <c r="C7" s="55"/>
      <c r="D7" s="56" t="str">
        <f t="shared" si="2"/>
        <v>010</v>
      </c>
      <c r="E7" s="61" t="s">
        <v>89</v>
      </c>
      <c r="F7" s="56" t="s">
        <v>87</v>
      </c>
      <c r="G7" s="7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4"/>
      <c r="C8" s="55"/>
      <c r="D8" s="56" t="str">
        <f t="shared" si="2"/>
        <v>014</v>
      </c>
      <c r="E8" s="61" t="s">
        <v>92</v>
      </c>
      <c r="F8" s="56" t="s">
        <v>87</v>
      </c>
      <c r="G8" s="7"/>
      <c r="H8" s="62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64"/>
    </row>
    <row r="9" ht="14.25" customHeight="1">
      <c r="A9" s="1">
        <v>6.0</v>
      </c>
      <c r="B9" s="54"/>
      <c r="C9" s="55"/>
      <c r="D9" s="56" t="str">
        <f t="shared" si="2"/>
        <v>018</v>
      </c>
      <c r="E9" s="72" t="s">
        <v>96</v>
      </c>
      <c r="F9" s="56" t="s">
        <v>84</v>
      </c>
      <c r="G9" s="7"/>
      <c r="H9" s="6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64"/>
    </row>
    <row r="10" ht="14.25" customHeight="1">
      <c r="A10" s="1">
        <v>7.0</v>
      </c>
      <c r="B10" s="54"/>
      <c r="C10" s="55"/>
      <c r="D10" s="56" t="str">
        <f t="shared" si="2"/>
        <v>01C</v>
      </c>
      <c r="E10" s="72" t="s">
        <v>96</v>
      </c>
      <c r="F10" s="73" t="s">
        <v>84</v>
      </c>
      <c r="G10" s="7"/>
      <c r="H10" s="6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4"/>
    </row>
    <row r="11" ht="14.25" customHeight="1">
      <c r="A11" s="1">
        <v>8.0</v>
      </c>
      <c r="B11" s="54"/>
      <c r="C11" s="55"/>
      <c r="D11" s="56" t="str">
        <f t="shared" si="2"/>
        <v>020</v>
      </c>
      <c r="E11" s="72" t="s">
        <v>126</v>
      </c>
      <c r="F11" s="73" t="s">
        <v>84</v>
      </c>
      <c r="G11" s="7"/>
      <c r="H11" s="6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3"/>
      <c r="AE11" s="164" t="s">
        <v>127</v>
      </c>
      <c r="AF11" s="144" t="s">
        <v>262</v>
      </c>
      <c r="AG11" s="33"/>
      <c r="AH11" s="164" t="s">
        <v>263</v>
      </c>
      <c r="AI11" s="88" t="s">
        <v>264</v>
      </c>
      <c r="AJ11" s="181"/>
      <c r="AK11" s="63" t="s">
        <v>265</v>
      </c>
      <c r="AL11" s="32"/>
      <c r="AM11" s="64"/>
    </row>
    <row r="12" ht="14.25" customHeight="1">
      <c r="A12" s="1">
        <v>9.0</v>
      </c>
      <c r="B12" s="54"/>
      <c r="C12" s="55"/>
      <c r="D12" s="56" t="str">
        <f t="shared" si="2"/>
        <v>024</v>
      </c>
      <c r="E12" s="72" t="s">
        <v>266</v>
      </c>
      <c r="F12" s="73" t="s">
        <v>84</v>
      </c>
      <c r="G12" s="7"/>
      <c r="H12" s="146" t="s">
        <v>267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64"/>
    </row>
    <row r="13" ht="14.25" customHeight="1">
      <c r="A13" s="1">
        <v>10.0</v>
      </c>
      <c r="B13" s="54"/>
      <c r="C13" s="55"/>
      <c r="D13" s="56" t="str">
        <f t="shared" si="2"/>
        <v>028</v>
      </c>
      <c r="E13" s="72" t="s">
        <v>268</v>
      </c>
      <c r="F13" s="73" t="s">
        <v>84</v>
      </c>
      <c r="G13" s="7"/>
      <c r="H13" s="6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3"/>
      <c r="AL13" s="164" t="s">
        <v>269</v>
      </c>
      <c r="AM13" s="182" t="s">
        <v>270</v>
      </c>
    </row>
    <row r="14" ht="14.25" customHeight="1">
      <c r="A14" s="1">
        <v>11.0</v>
      </c>
      <c r="B14" s="54"/>
      <c r="C14" s="55"/>
      <c r="D14" s="56" t="str">
        <f t="shared" si="2"/>
        <v>02C</v>
      </c>
      <c r="E14" s="72" t="s">
        <v>271</v>
      </c>
      <c r="F14" s="73" t="s">
        <v>84</v>
      </c>
      <c r="G14" s="7"/>
      <c r="H14" s="6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3"/>
      <c r="AG14" s="144" t="s">
        <v>272</v>
      </c>
      <c r="AH14" s="32"/>
      <c r="AI14" s="33"/>
      <c r="AJ14" s="181"/>
      <c r="AK14" s="144" t="s">
        <v>273</v>
      </c>
      <c r="AL14" s="32"/>
      <c r="AM14" s="64"/>
    </row>
    <row r="15" ht="14.25" customHeight="1">
      <c r="A15" s="1">
        <v>12.0</v>
      </c>
      <c r="B15" s="54"/>
      <c r="C15" s="55"/>
      <c r="D15" s="56" t="str">
        <f t="shared" si="2"/>
        <v>030</v>
      </c>
      <c r="E15" s="72" t="s">
        <v>137</v>
      </c>
      <c r="F15" s="56" t="s">
        <v>87</v>
      </c>
      <c r="G15" s="7"/>
      <c r="H15" s="6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3"/>
      <c r="AE15" s="164" t="s">
        <v>149</v>
      </c>
      <c r="AF15" s="144" t="s">
        <v>262</v>
      </c>
      <c r="AG15" s="33"/>
      <c r="AH15" s="164" t="s">
        <v>263</v>
      </c>
      <c r="AI15" s="88" t="s">
        <v>264</v>
      </c>
      <c r="AJ15" s="181"/>
      <c r="AK15" s="63" t="s">
        <v>274</v>
      </c>
      <c r="AL15" s="32"/>
      <c r="AM15" s="64"/>
    </row>
    <row r="16" ht="14.25" customHeight="1">
      <c r="A16" s="183"/>
      <c r="B16" s="54"/>
      <c r="C16" s="55"/>
      <c r="D16" s="184"/>
      <c r="E16" s="185"/>
      <c r="F16" s="186"/>
      <c r="G16" s="187"/>
      <c r="H16" s="185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6"/>
    </row>
    <row r="17" ht="14.25" customHeight="1">
      <c r="A17" s="183"/>
      <c r="B17" s="54"/>
      <c r="C17" s="55"/>
      <c r="D17" s="184"/>
      <c r="E17" s="185"/>
      <c r="F17" s="186"/>
      <c r="G17" s="187"/>
      <c r="H17" s="185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6"/>
    </row>
    <row r="18" ht="14.25" customHeight="1">
      <c r="A18" s="1">
        <v>16.0</v>
      </c>
      <c r="B18" s="54"/>
      <c r="C18" s="55"/>
      <c r="D18" s="56" t="str">
        <f t="shared" ref="D18:D21" si="3">DEC2HEX(A18*4, 3)</f>
        <v>040</v>
      </c>
      <c r="E18" s="61" t="s">
        <v>275</v>
      </c>
      <c r="F18" s="56" t="s">
        <v>87</v>
      </c>
      <c r="G18" s="7"/>
      <c r="H18" s="61" t="s">
        <v>276</v>
      </c>
      <c r="X18" s="1" t="s">
        <v>277</v>
      </c>
      <c r="AM18" s="57"/>
    </row>
    <row r="19" ht="14.25" customHeight="1">
      <c r="A19" s="1">
        <v>17.0</v>
      </c>
      <c r="B19" s="54"/>
      <c r="C19" s="55"/>
      <c r="D19" s="56" t="str">
        <f t="shared" si="3"/>
        <v>044</v>
      </c>
      <c r="E19" s="55"/>
      <c r="F19" s="56" t="s">
        <v>87</v>
      </c>
      <c r="G19" s="7"/>
      <c r="H19" s="61" t="s">
        <v>278</v>
      </c>
      <c r="X19" s="1" t="s">
        <v>279</v>
      </c>
      <c r="AM19" s="57"/>
    </row>
    <row r="20" ht="14.25" customHeight="1">
      <c r="A20" s="1">
        <v>18.0</v>
      </c>
      <c r="B20" s="54"/>
      <c r="C20" s="55"/>
      <c r="D20" s="56" t="str">
        <f t="shared" si="3"/>
        <v>048</v>
      </c>
      <c r="E20" s="55"/>
      <c r="F20" s="56" t="s">
        <v>87</v>
      </c>
      <c r="G20" s="7"/>
      <c r="H20" s="61" t="s">
        <v>280</v>
      </c>
      <c r="X20" s="1" t="s">
        <v>281</v>
      </c>
      <c r="AM20" s="57"/>
    </row>
    <row r="21" ht="14.25" customHeight="1">
      <c r="A21" s="1">
        <v>19.0</v>
      </c>
      <c r="B21" s="77"/>
      <c r="C21" s="78"/>
      <c r="D21" s="91" t="str">
        <f t="shared" si="3"/>
        <v>04C</v>
      </c>
      <c r="E21" s="78"/>
      <c r="F21" s="91" t="s">
        <v>87</v>
      </c>
      <c r="G21" s="15"/>
      <c r="H21" s="90" t="s">
        <v>282</v>
      </c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79" t="s">
        <v>283</v>
      </c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6"/>
    </row>
    <row r="22" ht="14.25" customHeight="1">
      <c r="A22" s="1"/>
      <c r="B22" s="189"/>
      <c r="C22" s="1"/>
      <c r="D22" s="1"/>
      <c r="E22" s="1"/>
      <c r="F22" s="1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ht="14.25" customHeight="1">
      <c r="A23" s="1"/>
      <c r="B23" s="189"/>
      <c r="C23" s="1"/>
      <c r="D23" s="1"/>
      <c r="E23" s="1"/>
      <c r="F23" s="1"/>
      <c r="G23" s="27"/>
      <c r="H23" s="1"/>
      <c r="I23" s="137" t="s">
        <v>284</v>
      </c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9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ht="17.25" customHeight="1">
      <c r="A24" s="1"/>
      <c r="B24" s="1"/>
      <c r="F24" s="1"/>
      <c r="I24" s="190" t="s">
        <v>285</v>
      </c>
      <c r="J24" s="191"/>
      <c r="K24" s="192" t="s">
        <v>207</v>
      </c>
      <c r="L24" s="59"/>
      <c r="M24" s="59"/>
      <c r="N24" s="59"/>
      <c r="O24" s="59"/>
      <c r="P24" s="60"/>
      <c r="R24" s="100" t="s">
        <v>286</v>
      </c>
      <c r="S24" s="101"/>
      <c r="T24" s="138" t="s">
        <v>287</v>
      </c>
      <c r="U24" s="112"/>
      <c r="V24" s="112"/>
      <c r="W24" s="112"/>
      <c r="X24" s="112"/>
      <c r="Y24" s="112"/>
      <c r="Z24" s="113"/>
      <c r="AM24" s="1"/>
    </row>
    <row r="25" ht="14.25" customHeight="1">
      <c r="A25" s="1"/>
      <c r="B25" s="1"/>
      <c r="C25" s="161" t="s">
        <v>288</v>
      </c>
      <c r="D25" s="193">
        <v>10000.0</v>
      </c>
      <c r="F25" s="1"/>
      <c r="I25" s="153" t="s">
        <v>289</v>
      </c>
      <c r="J25" s="33"/>
      <c r="K25" s="139" t="s">
        <v>290</v>
      </c>
      <c r="L25" s="32"/>
      <c r="M25" s="32"/>
      <c r="N25" s="32"/>
      <c r="O25" s="32"/>
      <c r="P25" s="64"/>
      <c r="R25" s="78"/>
      <c r="S25" s="103"/>
      <c r="T25" s="117" t="s">
        <v>291</v>
      </c>
      <c r="U25" s="93"/>
      <c r="V25" s="93"/>
      <c r="W25" s="93"/>
      <c r="X25" s="93"/>
      <c r="Y25" s="93"/>
      <c r="Z25" s="96"/>
      <c r="AM25" s="1"/>
    </row>
    <row r="26" ht="14.25" customHeight="1">
      <c r="A26" s="1"/>
      <c r="B26" s="1"/>
      <c r="C26" s="161" t="s">
        <v>292</v>
      </c>
      <c r="D26" s="193">
        <f>D25/65536</f>
        <v>0.1525878906</v>
      </c>
      <c r="F26" s="1"/>
      <c r="I26" s="153" t="s">
        <v>293</v>
      </c>
      <c r="J26" s="33"/>
      <c r="K26" s="139" t="s">
        <v>294</v>
      </c>
      <c r="L26" s="32"/>
      <c r="M26" s="32"/>
      <c r="N26" s="32"/>
      <c r="O26" s="32"/>
      <c r="P26" s="64"/>
      <c r="R26" s="27"/>
      <c r="S26" s="27"/>
      <c r="AM26" s="1"/>
    </row>
    <row r="27" ht="14.25" customHeight="1">
      <c r="A27" s="1"/>
      <c r="B27" s="1"/>
      <c r="F27" s="1"/>
      <c r="I27" s="116" t="s">
        <v>295</v>
      </c>
      <c r="J27" s="94"/>
      <c r="K27" s="117" t="s">
        <v>296</v>
      </c>
      <c r="L27" s="93"/>
      <c r="M27" s="93"/>
      <c r="N27" s="93"/>
      <c r="O27" s="93"/>
      <c r="P27" s="96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M27" s="1"/>
    </row>
    <row r="28" ht="14.25" customHeight="1">
      <c r="A28" s="1"/>
      <c r="B28" s="1"/>
      <c r="C28" s="161" t="s">
        <v>297</v>
      </c>
      <c r="D28" s="193">
        <v>2000.0</v>
      </c>
      <c r="F28" s="1"/>
      <c r="AM28" s="1"/>
    </row>
    <row r="29" ht="14.25" customHeight="1">
      <c r="A29" s="1"/>
      <c r="B29" s="1"/>
      <c r="C29" s="161" t="s">
        <v>298</v>
      </c>
      <c r="D29" s="193">
        <f>HEX2DEC(D28)*D26</f>
        <v>1250</v>
      </c>
      <c r="F29" s="1"/>
      <c r="I29" s="137" t="s">
        <v>299</v>
      </c>
      <c r="J29" s="108"/>
      <c r="K29" s="108"/>
      <c r="L29" s="108"/>
      <c r="M29" s="108"/>
      <c r="N29" s="108"/>
      <c r="O29" s="108"/>
      <c r="P29" s="108"/>
      <c r="Q29" s="108"/>
      <c r="R29" s="109"/>
      <c r="AM29" s="1"/>
    </row>
    <row r="30" ht="14.25" customHeight="1">
      <c r="A30" s="1"/>
      <c r="B30" s="1"/>
      <c r="F30" s="1"/>
      <c r="I30" s="149" t="s">
        <v>266</v>
      </c>
      <c r="J30" s="150"/>
      <c r="K30" s="194" t="s">
        <v>300</v>
      </c>
      <c r="L30" s="108"/>
      <c r="M30" s="108"/>
      <c r="N30" s="108"/>
      <c r="O30" s="108"/>
      <c r="P30" s="108"/>
      <c r="Q30" s="108"/>
      <c r="R30" s="109"/>
      <c r="AM30" s="1"/>
    </row>
    <row r="31" ht="14.25" customHeight="1">
      <c r="A31" s="1"/>
      <c r="B31" s="1"/>
      <c r="F31" s="1"/>
      <c r="AM31" s="1"/>
    </row>
    <row r="32" ht="14.25" customHeight="1">
      <c r="A32" s="1"/>
      <c r="B32" s="1"/>
      <c r="F32" s="1"/>
      <c r="I32" s="165" t="s">
        <v>301</v>
      </c>
      <c r="J32" s="98"/>
      <c r="K32" s="98"/>
      <c r="L32" s="98"/>
      <c r="M32" s="98"/>
      <c r="N32" s="98"/>
      <c r="O32" s="98"/>
      <c r="P32" s="98"/>
      <c r="Q32" s="98"/>
      <c r="R32" s="99"/>
      <c r="AM32" s="1"/>
    </row>
    <row r="33" ht="14.25" customHeight="1">
      <c r="A33" s="26"/>
      <c r="B33" s="1"/>
      <c r="F33" s="1"/>
      <c r="I33" s="100" t="s">
        <v>302</v>
      </c>
      <c r="J33" s="101"/>
      <c r="K33" s="111" t="s">
        <v>303</v>
      </c>
      <c r="L33" s="112"/>
      <c r="M33" s="112"/>
      <c r="N33" s="112"/>
      <c r="O33" s="112"/>
      <c r="P33" s="112"/>
      <c r="Q33" s="112"/>
      <c r="R33" s="113"/>
      <c r="AM33" s="1"/>
    </row>
    <row r="34" ht="14.25" customHeight="1">
      <c r="A34" s="26"/>
      <c r="B34" s="1"/>
      <c r="F34" s="1"/>
      <c r="I34" s="58"/>
      <c r="J34" s="114"/>
      <c r="K34" s="139" t="s">
        <v>304</v>
      </c>
      <c r="L34" s="32"/>
      <c r="M34" s="32"/>
      <c r="N34" s="32"/>
      <c r="O34" s="32"/>
      <c r="P34" s="32"/>
      <c r="Q34" s="32"/>
      <c r="R34" s="64"/>
      <c r="AM34" s="1"/>
    </row>
    <row r="35" ht="14.25" customHeight="1">
      <c r="A35" s="1"/>
      <c r="B35" s="1"/>
      <c r="F35" s="1"/>
      <c r="I35" s="195" t="s">
        <v>305</v>
      </c>
      <c r="J35" s="70"/>
      <c r="K35" s="119" t="s">
        <v>306</v>
      </c>
      <c r="L35" s="32"/>
      <c r="M35" s="32"/>
      <c r="N35" s="32"/>
      <c r="O35" s="32"/>
      <c r="P35" s="32"/>
      <c r="Q35" s="32"/>
      <c r="R35" s="64"/>
      <c r="AM35" s="1"/>
    </row>
    <row r="36" ht="14.25" customHeight="1">
      <c r="A36" s="26"/>
      <c r="B36" s="1"/>
      <c r="F36" s="1"/>
      <c r="I36" s="78"/>
      <c r="J36" s="103"/>
      <c r="K36" s="117" t="s">
        <v>307</v>
      </c>
      <c r="L36" s="93"/>
      <c r="M36" s="93"/>
      <c r="N36" s="93"/>
      <c r="O36" s="93"/>
      <c r="P36" s="93"/>
      <c r="Q36" s="93"/>
      <c r="R36" s="96"/>
      <c r="AM36" s="1"/>
    </row>
    <row r="37" ht="14.25" customHeight="1">
      <c r="A37" s="1"/>
      <c r="B37" s="1"/>
      <c r="F37" s="1"/>
      <c r="AM37" s="1"/>
    </row>
    <row r="38" ht="14.25" customHeight="1">
      <c r="A38" s="26"/>
      <c r="B38" s="1"/>
      <c r="F38" s="1"/>
      <c r="I38" s="137" t="s">
        <v>308</v>
      </c>
      <c r="J38" s="108"/>
      <c r="K38" s="108"/>
      <c r="L38" s="108"/>
      <c r="M38" s="108"/>
      <c r="N38" s="108"/>
      <c r="O38" s="108"/>
      <c r="P38" s="108"/>
      <c r="Q38" s="108"/>
      <c r="R38" s="109"/>
      <c r="AM38" s="1"/>
    </row>
    <row r="39" ht="14.25" customHeight="1">
      <c r="A39" s="1"/>
      <c r="B39" s="1"/>
      <c r="F39" s="1"/>
      <c r="I39" s="149" t="s">
        <v>272</v>
      </c>
      <c r="J39" s="150"/>
      <c r="K39" s="194" t="s">
        <v>309</v>
      </c>
      <c r="L39" s="108"/>
      <c r="M39" s="108"/>
      <c r="N39" s="108"/>
      <c r="O39" s="108"/>
      <c r="P39" s="108"/>
      <c r="Q39" s="108"/>
      <c r="R39" s="109"/>
      <c r="AM39" s="1"/>
    </row>
    <row r="40" ht="14.25" customHeight="1">
      <c r="A40" s="1"/>
      <c r="B40" s="1"/>
      <c r="F40" s="1"/>
      <c r="I40" s="149" t="s">
        <v>273</v>
      </c>
      <c r="J40" s="150"/>
      <c r="K40" s="194" t="s">
        <v>310</v>
      </c>
      <c r="L40" s="108"/>
      <c r="M40" s="108"/>
      <c r="N40" s="108"/>
      <c r="O40" s="108"/>
      <c r="P40" s="108"/>
      <c r="Q40" s="108"/>
      <c r="R40" s="109"/>
      <c r="AM40" s="1"/>
    </row>
    <row r="41" ht="14.25" customHeight="1">
      <c r="A41" s="1"/>
      <c r="B41" s="1"/>
      <c r="F41" s="1"/>
      <c r="AM41" s="1"/>
    </row>
    <row r="42" ht="14.25" customHeight="1">
      <c r="A42" s="1"/>
      <c r="B42" s="1"/>
      <c r="F42" s="1"/>
      <c r="I42" s="137" t="s">
        <v>311</v>
      </c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9"/>
      <c r="AM42" s="1"/>
    </row>
    <row r="43" ht="14.25" customHeight="1">
      <c r="A43" s="1"/>
      <c r="B43" s="1"/>
      <c r="F43" s="1"/>
      <c r="I43" s="196" t="s">
        <v>312</v>
      </c>
      <c r="J43" s="150"/>
      <c r="K43" s="197" t="s">
        <v>170</v>
      </c>
      <c r="L43" s="108"/>
      <c r="M43" s="108"/>
      <c r="N43" s="108"/>
      <c r="O43" s="108"/>
      <c r="P43" s="109"/>
      <c r="R43" s="149" t="s">
        <v>313</v>
      </c>
      <c r="S43" s="198"/>
      <c r="T43" s="197" t="s">
        <v>314</v>
      </c>
      <c r="U43" s="108"/>
      <c r="V43" s="108"/>
      <c r="W43" s="108"/>
      <c r="X43" s="108"/>
      <c r="Y43" s="109"/>
      <c r="AM43" s="1"/>
    </row>
    <row r="44" ht="14.25" customHeight="1">
      <c r="A44" s="1"/>
      <c r="B44" s="1"/>
      <c r="F44" s="1"/>
      <c r="I44" s="27"/>
      <c r="J44" s="27"/>
      <c r="K44" s="27"/>
      <c r="L44" s="27"/>
      <c r="M44" s="27"/>
      <c r="N44" s="27"/>
      <c r="O44" s="27"/>
      <c r="P44" s="27"/>
      <c r="R44" s="27"/>
      <c r="S44" s="27"/>
      <c r="T44" s="27"/>
      <c r="U44" s="27"/>
      <c r="V44" s="27"/>
      <c r="W44" s="27"/>
      <c r="X44" s="27"/>
      <c r="Y44" s="27"/>
      <c r="AM44" s="1"/>
    </row>
    <row r="45" ht="14.25" customHeight="1">
      <c r="A45" s="1"/>
      <c r="B45" s="1"/>
      <c r="F45" s="1"/>
      <c r="I45" s="27"/>
      <c r="J45" s="27"/>
      <c r="K45" s="27"/>
      <c r="L45" s="27"/>
      <c r="M45" s="27"/>
      <c r="N45" s="27"/>
      <c r="O45" s="27"/>
      <c r="P45" s="27"/>
      <c r="AM45" s="1"/>
    </row>
    <row r="46" ht="14.25" customHeight="1">
      <c r="A46" s="1"/>
      <c r="B46" s="1"/>
      <c r="F46" s="1"/>
      <c r="I46" s="27"/>
      <c r="J46" s="27"/>
      <c r="K46" s="27"/>
      <c r="L46" s="27"/>
      <c r="M46" s="27"/>
      <c r="N46" s="27"/>
      <c r="O46" s="27"/>
      <c r="P46" s="27"/>
      <c r="AM46" s="1"/>
    </row>
    <row r="47" ht="14.25" customHeight="1">
      <c r="A47" s="1"/>
      <c r="B47" s="1"/>
      <c r="F47" s="1"/>
      <c r="AM47" s="1"/>
    </row>
    <row r="48" ht="14.25" customHeight="1">
      <c r="A48" s="1"/>
      <c r="B48" s="1"/>
      <c r="F48" s="1"/>
      <c r="AM48" s="1"/>
    </row>
    <row r="49" ht="14.25" customHeight="1">
      <c r="A49" s="1"/>
      <c r="B49" s="1"/>
      <c r="F49" s="1"/>
      <c r="AM49" s="1"/>
    </row>
    <row r="50" ht="14.25" customHeight="1">
      <c r="A50" s="1"/>
      <c r="B50" s="1"/>
      <c r="F50" s="1"/>
      <c r="AM50" s="1"/>
    </row>
    <row r="51" ht="14.25" customHeight="1">
      <c r="A51" s="1"/>
      <c r="B51" s="1"/>
      <c r="F51" s="1"/>
      <c r="AM51" s="1"/>
    </row>
    <row r="52" ht="14.25" customHeight="1">
      <c r="A52" s="1"/>
      <c r="B52" s="1"/>
      <c r="F52" s="1"/>
      <c r="AM52" s="1"/>
    </row>
    <row r="53" ht="14.25" customHeight="1">
      <c r="A53" s="1"/>
      <c r="B53" s="1"/>
      <c r="F53" s="1"/>
      <c r="AM53" s="1"/>
    </row>
    <row r="54" ht="14.25" customHeight="1">
      <c r="A54" s="1"/>
      <c r="B54" s="1"/>
      <c r="F54" s="1"/>
      <c r="AM54" s="1"/>
    </row>
    <row r="55" ht="14.25" customHeight="1">
      <c r="A55" s="1"/>
      <c r="B55" s="1"/>
      <c r="F55" s="1"/>
      <c r="AM55" s="1"/>
    </row>
    <row r="56" ht="14.25" customHeight="1">
      <c r="A56" s="1"/>
      <c r="B56" s="1"/>
      <c r="F56" s="1"/>
      <c r="AM56" s="1"/>
    </row>
    <row r="57" ht="14.25" customHeight="1">
      <c r="A57" s="1"/>
      <c r="B57" s="1"/>
      <c r="F57" s="1"/>
      <c r="AM57" s="1"/>
    </row>
    <row r="58" ht="14.25" customHeight="1">
      <c r="A58" s="1"/>
      <c r="B58" s="1"/>
      <c r="F58" s="1"/>
      <c r="AM58" s="1"/>
    </row>
    <row r="59" ht="14.25" customHeight="1">
      <c r="A59" s="1"/>
      <c r="B59" s="1"/>
      <c r="F59" s="1"/>
      <c r="AM59" s="1"/>
    </row>
    <row r="60" ht="14.25" customHeight="1">
      <c r="A60" s="1"/>
      <c r="B60" s="1"/>
      <c r="F60" s="1"/>
      <c r="AM60" s="1"/>
    </row>
    <row r="61" ht="14.25" customHeight="1">
      <c r="A61" s="1"/>
      <c r="B61" s="1"/>
      <c r="F61" s="1"/>
      <c r="AM61" s="1"/>
    </row>
    <row r="62" ht="14.25" customHeight="1">
      <c r="A62" s="1"/>
      <c r="B62" s="1"/>
      <c r="F62" s="1"/>
      <c r="AM62" s="1"/>
    </row>
    <row r="63" ht="14.25" customHeight="1">
      <c r="A63" s="1"/>
      <c r="B63" s="1"/>
      <c r="F63" s="1"/>
      <c r="AM63" s="1"/>
    </row>
    <row r="64" ht="14.25" customHeight="1">
      <c r="A64" s="1"/>
      <c r="B64" s="1"/>
      <c r="F64" s="1"/>
      <c r="AM64" s="1"/>
    </row>
    <row r="65" ht="14.25" customHeight="1">
      <c r="A65" s="1"/>
      <c r="B65" s="1"/>
      <c r="F65" s="1"/>
      <c r="AM65" s="1"/>
    </row>
    <row r="66" ht="14.25" customHeight="1">
      <c r="A66" s="1"/>
      <c r="B66" s="1"/>
      <c r="F66" s="1"/>
      <c r="AM66" s="1"/>
    </row>
    <row r="67" ht="14.25" customHeight="1">
      <c r="A67" s="1"/>
      <c r="B67" s="1"/>
      <c r="F67" s="1"/>
      <c r="AM67" s="1"/>
    </row>
    <row r="68" ht="14.25" customHeight="1">
      <c r="A68" s="1"/>
      <c r="B68" s="1"/>
      <c r="F68" s="1"/>
      <c r="AM68" s="1"/>
    </row>
    <row r="69" ht="14.25" customHeight="1">
      <c r="A69" s="1"/>
      <c r="B69" s="1"/>
      <c r="F69" s="1"/>
      <c r="AM69" s="1"/>
    </row>
    <row r="70" ht="14.25" customHeight="1">
      <c r="A70" s="1"/>
      <c r="B70" s="1"/>
      <c r="F70" s="1"/>
      <c r="AM70" s="1"/>
    </row>
    <row r="71" ht="14.25" customHeight="1">
      <c r="A71" s="1"/>
      <c r="B71" s="1"/>
      <c r="F71" s="1"/>
      <c r="AM71" s="1"/>
    </row>
    <row r="72" ht="14.25" customHeight="1">
      <c r="A72" s="1"/>
      <c r="B72" s="1"/>
      <c r="F72" s="1"/>
      <c r="AM72" s="1"/>
    </row>
    <row r="73" ht="14.25" customHeight="1">
      <c r="A73" s="1"/>
      <c r="B73" s="1"/>
      <c r="F73" s="1"/>
      <c r="AM73" s="1"/>
    </row>
    <row r="74" ht="14.25" customHeight="1">
      <c r="A74" s="1"/>
      <c r="B74" s="1"/>
      <c r="F74" s="1"/>
      <c r="AM74" s="1"/>
    </row>
    <row r="75" ht="14.25" customHeight="1">
      <c r="A75" s="1"/>
      <c r="B75" s="1"/>
      <c r="F75" s="1"/>
      <c r="AM75" s="1"/>
    </row>
    <row r="76" ht="14.25" customHeight="1">
      <c r="A76" s="1"/>
      <c r="B76" s="1"/>
      <c r="F76" s="1"/>
      <c r="AM76" s="1"/>
    </row>
    <row r="77" ht="14.25" customHeight="1">
      <c r="A77" s="1"/>
      <c r="B77" s="1"/>
      <c r="F77" s="1"/>
      <c r="AM77" s="1"/>
    </row>
    <row r="78" ht="14.25" customHeight="1">
      <c r="A78" s="1"/>
      <c r="B78" s="1"/>
      <c r="F78" s="1"/>
      <c r="AM78" s="1"/>
    </row>
    <row r="79" ht="14.25" customHeight="1">
      <c r="A79" s="1"/>
      <c r="B79" s="1"/>
      <c r="F79" s="1"/>
      <c r="AM79" s="1"/>
    </row>
    <row r="80" ht="14.25" customHeight="1">
      <c r="A80" s="1"/>
      <c r="B80" s="1"/>
      <c r="F80" s="1"/>
      <c r="AM80" s="1"/>
    </row>
    <row r="81" ht="14.25" customHeight="1">
      <c r="A81" s="1"/>
      <c r="B81" s="1"/>
      <c r="F81" s="1"/>
      <c r="AM81" s="1"/>
    </row>
    <row r="82" ht="14.25" customHeight="1">
      <c r="A82" s="1"/>
      <c r="B82" s="1"/>
      <c r="F82" s="1"/>
      <c r="AM82" s="1"/>
    </row>
    <row r="83" ht="14.25" customHeight="1">
      <c r="A83" s="1"/>
      <c r="B83" s="1"/>
      <c r="F83" s="1"/>
      <c r="AM83" s="1"/>
    </row>
    <row r="84" ht="14.25" customHeight="1">
      <c r="A84" s="1"/>
      <c r="B84" s="1"/>
      <c r="F84" s="1"/>
      <c r="AM84" s="1"/>
    </row>
    <row r="85" ht="14.25" customHeight="1">
      <c r="A85" s="1"/>
      <c r="B85" s="1"/>
      <c r="F85" s="1"/>
      <c r="AM85" s="1"/>
    </row>
    <row r="86" ht="14.25" customHeight="1">
      <c r="A86" s="1"/>
      <c r="B86" s="1"/>
      <c r="F86" s="1"/>
      <c r="AM86" s="1"/>
    </row>
    <row r="87" ht="14.25" customHeight="1">
      <c r="A87" s="1"/>
      <c r="B87" s="1"/>
      <c r="F87" s="1"/>
      <c r="AM87" s="1"/>
    </row>
    <row r="88" ht="14.25" customHeight="1">
      <c r="A88" s="1"/>
      <c r="B88" s="1"/>
      <c r="F88" s="1"/>
      <c r="AM88" s="1"/>
    </row>
    <row r="89" ht="14.25" customHeight="1">
      <c r="A89" s="1"/>
      <c r="B89" s="1"/>
      <c r="F89" s="1"/>
      <c r="AM89" s="1"/>
    </row>
    <row r="90" ht="14.25" customHeight="1">
      <c r="A90" s="1"/>
      <c r="B90" s="1"/>
      <c r="F90" s="1"/>
      <c r="AM90" s="1"/>
    </row>
    <row r="91" ht="14.25" customHeight="1">
      <c r="A91" s="1"/>
      <c r="B91" s="1"/>
      <c r="F91" s="1"/>
      <c r="AM91" s="1"/>
    </row>
    <row r="92" ht="14.25" customHeight="1">
      <c r="A92" s="1"/>
      <c r="B92" s="1"/>
      <c r="F92" s="1"/>
      <c r="AM92" s="1"/>
    </row>
    <row r="93" ht="14.25" customHeight="1">
      <c r="A93" s="1"/>
      <c r="B93" s="1"/>
      <c r="F93" s="1"/>
      <c r="AM93" s="1"/>
    </row>
    <row r="94" ht="14.25" customHeight="1">
      <c r="A94" s="1"/>
      <c r="B94" s="1"/>
      <c r="F94" s="1"/>
      <c r="AM94" s="1"/>
    </row>
    <row r="95" ht="14.25" customHeight="1">
      <c r="A95" s="1"/>
      <c r="B95" s="1"/>
      <c r="F95" s="1"/>
      <c r="AM95" s="1"/>
    </row>
    <row r="96" ht="14.25" customHeight="1">
      <c r="A96" s="1"/>
      <c r="B96" s="1"/>
      <c r="F96" s="1"/>
      <c r="AM96" s="1"/>
    </row>
    <row r="97" ht="14.25" customHeight="1">
      <c r="A97" s="1"/>
      <c r="B97" s="1"/>
      <c r="F97" s="1"/>
      <c r="AM97" s="1"/>
    </row>
    <row r="98" ht="14.25" customHeight="1">
      <c r="A98" s="1"/>
      <c r="B98" s="1"/>
      <c r="F98" s="1"/>
      <c r="AM98" s="1"/>
    </row>
    <row r="99" ht="14.25" customHeight="1">
      <c r="A99" s="1"/>
      <c r="B99" s="1"/>
      <c r="F99" s="1"/>
      <c r="AM99" s="1"/>
    </row>
    <row r="100" ht="14.25" customHeight="1">
      <c r="A100" s="1"/>
      <c r="B100" s="1"/>
      <c r="F100" s="1"/>
      <c r="AM100" s="1"/>
    </row>
    <row r="101" ht="14.25" customHeight="1">
      <c r="A101" s="1"/>
      <c r="B101" s="1"/>
      <c r="F101" s="1"/>
      <c r="AM101" s="1"/>
    </row>
    <row r="102" ht="14.25" customHeight="1">
      <c r="A102" s="1"/>
      <c r="B102" s="1"/>
      <c r="F102" s="1"/>
      <c r="AM102" s="1"/>
    </row>
    <row r="103" ht="14.25" customHeight="1">
      <c r="A103" s="1"/>
      <c r="B103" s="1"/>
      <c r="F103" s="1"/>
      <c r="AM103" s="1"/>
    </row>
    <row r="104" ht="14.25" customHeight="1">
      <c r="A104" s="1"/>
      <c r="B104" s="1"/>
      <c r="F104" s="1"/>
      <c r="AM104" s="1"/>
    </row>
    <row r="105" ht="14.25" customHeight="1">
      <c r="A105" s="1"/>
      <c r="B105" s="1"/>
      <c r="F105" s="1"/>
      <c r="AM105" s="1"/>
    </row>
    <row r="106" ht="14.25" customHeight="1">
      <c r="A106" s="1"/>
      <c r="B106" s="1"/>
      <c r="F106" s="1"/>
      <c r="AM106" s="1"/>
    </row>
    <row r="107" ht="14.25" customHeight="1">
      <c r="A107" s="1"/>
      <c r="B107" s="1"/>
      <c r="F107" s="1"/>
      <c r="AM107" s="1"/>
    </row>
    <row r="108" ht="14.25" customHeight="1">
      <c r="A108" s="1"/>
      <c r="B108" s="1"/>
      <c r="F108" s="1"/>
      <c r="AM108" s="1"/>
    </row>
    <row r="109" ht="14.25" customHeight="1">
      <c r="A109" s="1"/>
      <c r="B109" s="1"/>
      <c r="F109" s="1"/>
      <c r="AM109" s="1"/>
    </row>
    <row r="110" ht="14.25" customHeight="1">
      <c r="A110" s="1"/>
      <c r="B110" s="1"/>
      <c r="F110" s="1"/>
      <c r="AM110" s="1"/>
    </row>
    <row r="111" ht="14.25" customHeight="1">
      <c r="A111" s="1"/>
      <c r="B111" s="1"/>
      <c r="F111" s="1"/>
      <c r="AM111" s="1"/>
    </row>
    <row r="112" ht="14.25" customHeight="1">
      <c r="A112" s="1"/>
      <c r="B112" s="1"/>
      <c r="F112" s="1"/>
      <c r="AM112" s="1"/>
    </row>
    <row r="113" ht="14.25" customHeight="1">
      <c r="A113" s="1"/>
      <c r="B113" s="1"/>
      <c r="F113" s="1"/>
      <c r="AM113" s="1"/>
    </row>
    <row r="114" ht="14.25" customHeight="1">
      <c r="A114" s="1"/>
      <c r="B114" s="1"/>
      <c r="F114" s="1"/>
      <c r="AM114" s="1"/>
    </row>
    <row r="115" ht="14.25" customHeight="1">
      <c r="A115" s="1"/>
      <c r="B115" s="1"/>
      <c r="F115" s="1"/>
      <c r="AM115" s="1"/>
    </row>
    <row r="116" ht="14.25" customHeight="1">
      <c r="A116" s="1"/>
      <c r="B116" s="1"/>
      <c r="F116" s="1"/>
      <c r="AM116" s="1"/>
    </row>
    <row r="117" ht="14.25" customHeight="1">
      <c r="A117" s="1"/>
      <c r="B117" s="1"/>
      <c r="F117" s="1"/>
      <c r="AM117" s="1"/>
    </row>
    <row r="118" ht="14.25" customHeight="1">
      <c r="A118" s="1"/>
      <c r="B118" s="1"/>
      <c r="F118" s="1"/>
      <c r="AM118" s="1"/>
    </row>
    <row r="119" ht="14.25" customHeight="1">
      <c r="A119" s="1"/>
      <c r="B119" s="1"/>
      <c r="F119" s="1"/>
      <c r="AM119" s="1"/>
    </row>
    <row r="120" ht="14.25" customHeight="1">
      <c r="A120" s="1"/>
      <c r="B120" s="1"/>
      <c r="F120" s="1"/>
      <c r="AM120" s="1"/>
    </row>
    <row r="121" ht="14.25" customHeight="1">
      <c r="A121" s="1"/>
      <c r="B121" s="1"/>
      <c r="F121" s="1"/>
      <c r="AM121" s="1"/>
    </row>
    <row r="122" ht="14.25" customHeight="1">
      <c r="A122" s="1"/>
      <c r="B122" s="1"/>
      <c r="F122" s="1"/>
      <c r="AM122" s="1"/>
    </row>
    <row r="123" ht="14.25" customHeight="1">
      <c r="A123" s="1"/>
      <c r="B123" s="1"/>
      <c r="F123" s="1"/>
      <c r="AM123" s="1"/>
    </row>
    <row r="124" ht="14.25" customHeight="1">
      <c r="A124" s="1"/>
      <c r="B124" s="1"/>
      <c r="F124" s="1"/>
      <c r="AM124" s="1"/>
    </row>
    <row r="125" ht="14.25" customHeight="1">
      <c r="A125" s="1"/>
      <c r="B125" s="1"/>
      <c r="F125" s="1"/>
      <c r="AM125" s="1"/>
    </row>
    <row r="126" ht="14.25" customHeight="1">
      <c r="A126" s="1"/>
      <c r="B126" s="1"/>
      <c r="F126" s="1"/>
      <c r="AM126" s="1"/>
    </row>
    <row r="127" ht="14.25" customHeight="1">
      <c r="A127" s="1"/>
      <c r="B127" s="1"/>
      <c r="F127" s="1"/>
      <c r="AM127" s="1"/>
    </row>
    <row r="128" ht="14.25" customHeight="1">
      <c r="A128" s="1"/>
      <c r="B128" s="1"/>
      <c r="F128" s="1"/>
      <c r="AM128" s="1"/>
    </row>
    <row r="129" ht="14.25" customHeight="1">
      <c r="A129" s="1"/>
      <c r="B129" s="1"/>
      <c r="F129" s="1"/>
      <c r="AM129" s="1"/>
    </row>
    <row r="130" ht="14.25" customHeight="1">
      <c r="A130" s="1"/>
      <c r="B130" s="1"/>
      <c r="F130" s="1"/>
      <c r="AM130" s="1"/>
    </row>
    <row r="131" ht="14.25" customHeight="1">
      <c r="A131" s="1"/>
      <c r="B131" s="1"/>
      <c r="F131" s="1"/>
      <c r="AM131" s="1"/>
    </row>
    <row r="132" ht="14.25" customHeight="1">
      <c r="A132" s="1"/>
      <c r="B132" s="1"/>
      <c r="F132" s="1"/>
      <c r="AM132" s="1"/>
    </row>
    <row r="133" ht="14.25" customHeight="1">
      <c r="A133" s="1"/>
      <c r="B133" s="1"/>
      <c r="F133" s="1"/>
      <c r="AM133" s="1"/>
    </row>
    <row r="134" ht="14.25" customHeight="1">
      <c r="A134" s="1"/>
      <c r="B134" s="1"/>
      <c r="F134" s="1"/>
      <c r="AM134" s="1"/>
    </row>
    <row r="135" ht="14.25" customHeight="1">
      <c r="A135" s="1"/>
      <c r="B135" s="1"/>
      <c r="F135" s="1"/>
      <c r="AM135" s="1"/>
    </row>
    <row r="136" ht="14.25" customHeight="1">
      <c r="A136" s="1"/>
      <c r="B136" s="1"/>
      <c r="F136" s="1"/>
      <c r="AM136" s="1"/>
    </row>
    <row r="137" ht="14.25" customHeight="1">
      <c r="A137" s="1"/>
      <c r="B137" s="1"/>
      <c r="F137" s="1"/>
      <c r="AM137" s="1"/>
    </row>
    <row r="138" ht="14.25" customHeight="1">
      <c r="A138" s="1"/>
      <c r="B138" s="1"/>
      <c r="F138" s="1"/>
      <c r="AM138" s="1"/>
    </row>
    <row r="139" ht="14.25" customHeight="1">
      <c r="A139" s="1"/>
      <c r="B139" s="1"/>
      <c r="F139" s="1"/>
      <c r="AM139" s="1"/>
    </row>
    <row r="140" ht="14.25" customHeight="1">
      <c r="A140" s="1"/>
      <c r="B140" s="1"/>
      <c r="F140" s="1"/>
      <c r="AM140" s="1"/>
    </row>
    <row r="141" ht="14.25" customHeight="1">
      <c r="A141" s="1"/>
      <c r="B141" s="1"/>
      <c r="F141" s="1"/>
      <c r="AM141" s="1"/>
    </row>
    <row r="142" ht="14.25" customHeight="1">
      <c r="A142" s="1"/>
      <c r="B142" s="1"/>
      <c r="F142" s="1"/>
      <c r="AM142" s="1"/>
    </row>
    <row r="143" ht="14.25" customHeight="1">
      <c r="A143" s="1"/>
      <c r="B143" s="1"/>
      <c r="F143" s="1"/>
      <c r="AM143" s="1"/>
    </row>
    <row r="144" ht="14.25" customHeight="1">
      <c r="A144" s="1"/>
      <c r="B144" s="1"/>
      <c r="F144" s="1"/>
      <c r="AM144" s="1"/>
    </row>
    <row r="145" ht="14.25" customHeight="1">
      <c r="A145" s="1"/>
      <c r="B145" s="1"/>
      <c r="F145" s="1"/>
      <c r="AM145" s="1"/>
    </row>
    <row r="146" ht="14.25" customHeight="1">
      <c r="A146" s="1"/>
      <c r="B146" s="1"/>
      <c r="F146" s="1"/>
      <c r="AM146" s="1"/>
    </row>
    <row r="147" ht="14.25" customHeight="1">
      <c r="A147" s="1"/>
      <c r="B147" s="1"/>
      <c r="F147" s="1"/>
      <c r="AM147" s="1"/>
    </row>
    <row r="148" ht="14.25" customHeight="1">
      <c r="A148" s="1"/>
      <c r="B148" s="1"/>
      <c r="F148" s="1"/>
      <c r="AM148" s="1"/>
    </row>
    <row r="149" ht="14.25" customHeight="1">
      <c r="A149" s="1"/>
      <c r="B149" s="1"/>
      <c r="F149" s="1"/>
      <c r="AM149" s="1"/>
    </row>
    <row r="150" ht="14.25" customHeight="1">
      <c r="A150" s="1"/>
      <c r="B150" s="1"/>
      <c r="F150" s="1"/>
      <c r="AM150" s="1"/>
    </row>
    <row r="151" ht="14.25" customHeight="1">
      <c r="A151" s="1"/>
      <c r="B151" s="1"/>
      <c r="F151" s="1"/>
      <c r="AM151" s="1"/>
    </row>
    <row r="152" ht="14.25" customHeight="1">
      <c r="A152" s="1"/>
      <c r="B152" s="1"/>
      <c r="F152" s="1"/>
      <c r="AM152" s="1"/>
    </row>
    <row r="153" ht="14.25" customHeight="1">
      <c r="A153" s="1"/>
      <c r="B153" s="1"/>
      <c r="F153" s="1"/>
      <c r="AM153" s="1"/>
    </row>
    <row r="154" ht="14.25" customHeight="1">
      <c r="A154" s="1"/>
      <c r="B154" s="1"/>
      <c r="F154" s="1"/>
      <c r="AM154" s="1"/>
    </row>
    <row r="155" ht="14.25" customHeight="1">
      <c r="A155" s="1"/>
      <c r="B155" s="1"/>
      <c r="F155" s="1"/>
      <c r="AM155" s="1"/>
    </row>
    <row r="156" ht="14.25" customHeight="1">
      <c r="A156" s="1"/>
      <c r="B156" s="1"/>
      <c r="F156" s="1"/>
      <c r="AM156" s="1"/>
    </row>
    <row r="157" ht="14.25" customHeight="1">
      <c r="A157" s="1"/>
      <c r="B157" s="1"/>
      <c r="F157" s="1"/>
      <c r="AM157" s="1"/>
    </row>
    <row r="158" ht="14.25" customHeight="1">
      <c r="A158" s="1"/>
      <c r="B158" s="1"/>
      <c r="F158" s="1"/>
      <c r="AM158" s="1"/>
    </row>
    <row r="159" ht="14.25" customHeight="1">
      <c r="A159" s="1"/>
      <c r="B159" s="1"/>
      <c r="F159" s="1"/>
      <c r="AM159" s="1"/>
    </row>
    <row r="160" ht="14.25" customHeight="1">
      <c r="A160" s="1"/>
      <c r="B160" s="1"/>
      <c r="F160" s="1"/>
      <c r="AM160" s="1"/>
    </row>
    <row r="161" ht="14.25" customHeight="1">
      <c r="A161" s="1"/>
      <c r="B161" s="1"/>
      <c r="F161" s="1"/>
      <c r="AM161" s="1"/>
    </row>
    <row r="162" ht="14.25" customHeight="1">
      <c r="A162" s="1"/>
      <c r="B162" s="1"/>
      <c r="F162" s="1"/>
      <c r="AM162" s="1"/>
    </row>
    <row r="163" ht="14.25" customHeight="1">
      <c r="A163" s="1"/>
      <c r="B163" s="1"/>
      <c r="F163" s="1"/>
      <c r="AM163" s="1"/>
    </row>
    <row r="164" ht="14.25" customHeight="1">
      <c r="A164" s="1"/>
      <c r="B164" s="1"/>
      <c r="F164" s="1"/>
      <c r="AM164" s="1"/>
    </row>
    <row r="165" ht="14.25" customHeight="1">
      <c r="A165" s="1"/>
      <c r="B165" s="1"/>
      <c r="F165" s="1"/>
      <c r="AM165" s="1"/>
    </row>
    <row r="166" ht="14.25" customHeight="1">
      <c r="A166" s="1"/>
      <c r="B166" s="1"/>
      <c r="F166" s="1"/>
      <c r="AM166" s="1"/>
    </row>
    <row r="167" ht="14.25" customHeight="1">
      <c r="A167" s="1"/>
      <c r="B167" s="1"/>
      <c r="F167" s="1"/>
      <c r="AM167" s="1"/>
    </row>
    <row r="168" ht="14.25" customHeight="1">
      <c r="A168" s="1"/>
      <c r="B168" s="1"/>
      <c r="F168" s="1"/>
      <c r="AM168" s="1"/>
    </row>
    <row r="169" ht="14.25" customHeight="1">
      <c r="A169" s="1"/>
      <c r="B169" s="1"/>
      <c r="F169" s="1"/>
      <c r="AM169" s="1"/>
    </row>
    <row r="170" ht="14.25" customHeight="1">
      <c r="A170" s="1"/>
      <c r="B170" s="1"/>
      <c r="F170" s="1"/>
      <c r="AM170" s="1"/>
    </row>
    <row r="171" ht="14.25" customHeight="1">
      <c r="A171" s="1"/>
      <c r="B171" s="1"/>
      <c r="F171" s="1"/>
      <c r="AM171" s="1"/>
    </row>
    <row r="172" ht="14.25" customHeight="1">
      <c r="A172" s="1"/>
      <c r="B172" s="1"/>
      <c r="F172" s="1"/>
      <c r="AM172" s="1"/>
    </row>
    <row r="173" ht="14.25" customHeight="1">
      <c r="A173" s="1"/>
      <c r="B173" s="1"/>
      <c r="F173" s="1"/>
      <c r="AM173" s="1"/>
    </row>
    <row r="174" ht="14.25" customHeight="1">
      <c r="A174" s="1"/>
      <c r="B174" s="1"/>
      <c r="F174" s="1"/>
      <c r="AM174" s="1"/>
    </row>
    <row r="175" ht="14.25" customHeight="1">
      <c r="A175" s="1"/>
      <c r="B175" s="1"/>
      <c r="F175" s="1"/>
      <c r="AM175" s="1"/>
    </row>
    <row r="176" ht="14.25" customHeight="1">
      <c r="A176" s="1"/>
      <c r="B176" s="1"/>
      <c r="F176" s="1"/>
      <c r="AM176" s="1"/>
    </row>
    <row r="177" ht="14.25" customHeight="1">
      <c r="A177" s="1"/>
      <c r="B177" s="1"/>
      <c r="F177" s="1"/>
      <c r="AM177" s="1"/>
    </row>
    <row r="178" ht="14.25" customHeight="1">
      <c r="A178" s="1"/>
      <c r="B178" s="1"/>
      <c r="F178" s="1"/>
      <c r="AM178" s="1"/>
    </row>
    <row r="179" ht="14.25" customHeight="1">
      <c r="A179" s="1"/>
      <c r="B179" s="1"/>
      <c r="F179" s="1"/>
      <c r="AM179" s="1"/>
    </row>
    <row r="180" ht="14.25" customHeight="1">
      <c r="A180" s="1"/>
      <c r="B180" s="1"/>
      <c r="F180" s="1"/>
      <c r="AM180" s="1"/>
    </row>
    <row r="181" ht="14.25" customHeight="1">
      <c r="A181" s="1"/>
      <c r="B181" s="1"/>
      <c r="F181" s="1"/>
      <c r="AM181" s="1"/>
    </row>
    <row r="182" ht="14.25" customHeight="1">
      <c r="A182" s="1"/>
      <c r="B182" s="1"/>
      <c r="F182" s="1"/>
      <c r="AM182" s="1"/>
    </row>
    <row r="183" ht="14.25" customHeight="1">
      <c r="A183" s="1"/>
      <c r="B183" s="1"/>
      <c r="F183" s="1"/>
      <c r="AM183" s="1"/>
    </row>
    <row r="184" ht="14.25" customHeight="1">
      <c r="A184" s="1"/>
      <c r="B184" s="1"/>
      <c r="F184" s="1"/>
      <c r="AM184" s="1"/>
    </row>
    <row r="185" ht="14.25" customHeight="1">
      <c r="A185" s="1"/>
      <c r="B185" s="1"/>
      <c r="F185" s="1"/>
      <c r="AM185" s="1"/>
    </row>
    <row r="186" ht="14.25" customHeight="1">
      <c r="A186" s="1"/>
      <c r="B186" s="1"/>
      <c r="F186" s="1"/>
      <c r="AM186" s="1"/>
    </row>
    <row r="187" ht="14.25" customHeight="1">
      <c r="A187" s="1"/>
      <c r="B187" s="1"/>
      <c r="F187" s="1"/>
      <c r="AM187" s="1"/>
    </row>
    <row r="188" ht="14.25" customHeight="1">
      <c r="A188" s="1"/>
      <c r="B188" s="1"/>
      <c r="F188" s="1"/>
      <c r="AM188" s="1"/>
    </row>
    <row r="189" ht="14.25" customHeight="1">
      <c r="A189" s="1"/>
      <c r="B189" s="1"/>
      <c r="F189" s="1"/>
      <c r="AM189" s="1"/>
    </row>
    <row r="190" ht="14.25" customHeight="1">
      <c r="A190" s="1"/>
      <c r="B190" s="1"/>
      <c r="F190" s="1"/>
      <c r="AM190" s="1"/>
    </row>
    <row r="191" ht="14.25" customHeight="1">
      <c r="A191" s="1"/>
      <c r="B191" s="1"/>
      <c r="F191" s="1"/>
      <c r="AM191" s="1"/>
    </row>
    <row r="192" ht="14.25" customHeight="1">
      <c r="A192" s="1"/>
      <c r="B192" s="1"/>
      <c r="F192" s="1"/>
      <c r="AM192" s="1"/>
    </row>
    <row r="193" ht="14.25" customHeight="1">
      <c r="A193" s="1"/>
      <c r="B193" s="1"/>
      <c r="F193" s="1"/>
      <c r="AM193" s="1"/>
    </row>
    <row r="194" ht="14.25" customHeight="1">
      <c r="A194" s="1"/>
      <c r="B194" s="1"/>
      <c r="F194" s="1"/>
      <c r="AM194" s="1"/>
    </row>
    <row r="195" ht="14.25" customHeight="1">
      <c r="A195" s="1"/>
      <c r="B195" s="1"/>
      <c r="F195" s="1"/>
      <c r="AM195" s="1"/>
    </row>
    <row r="196" ht="14.25" customHeight="1">
      <c r="A196" s="1"/>
      <c r="B196" s="1"/>
      <c r="F196" s="1"/>
      <c r="AM196" s="1"/>
    </row>
    <row r="197" ht="14.25" customHeight="1">
      <c r="A197" s="1"/>
      <c r="B197" s="1"/>
      <c r="F197" s="1"/>
      <c r="AM197" s="1"/>
    </row>
    <row r="198" ht="14.25" customHeight="1">
      <c r="A198" s="1"/>
      <c r="B198" s="1"/>
      <c r="F198" s="1"/>
      <c r="AM198" s="1"/>
    </row>
    <row r="199" ht="14.25" customHeight="1">
      <c r="A199" s="1"/>
      <c r="B199" s="1"/>
      <c r="F199" s="1"/>
      <c r="AM199" s="1"/>
    </row>
    <row r="200" ht="14.25" customHeight="1">
      <c r="A200" s="1"/>
      <c r="B200" s="1"/>
      <c r="F200" s="1"/>
      <c r="AM200" s="1"/>
    </row>
    <row r="201" ht="14.25" customHeight="1">
      <c r="A201" s="1"/>
      <c r="B201" s="1"/>
      <c r="F201" s="1"/>
      <c r="AM201" s="1"/>
    </row>
    <row r="202" ht="14.25" customHeight="1">
      <c r="A202" s="1"/>
      <c r="B202" s="1"/>
      <c r="F202" s="1"/>
      <c r="AM202" s="1"/>
    </row>
    <row r="203" ht="14.25" customHeight="1">
      <c r="A203" s="1"/>
      <c r="B203" s="1"/>
      <c r="F203" s="1"/>
      <c r="AM203" s="1"/>
    </row>
    <row r="204" ht="14.25" customHeight="1">
      <c r="A204" s="1"/>
      <c r="B204" s="1"/>
      <c r="F204" s="1"/>
      <c r="AM204" s="1"/>
    </row>
    <row r="205" ht="14.25" customHeight="1">
      <c r="A205" s="1"/>
      <c r="B205" s="1"/>
      <c r="F205" s="1"/>
      <c r="AM205" s="1"/>
    </row>
    <row r="206" ht="14.25" customHeight="1">
      <c r="A206" s="1"/>
      <c r="B206" s="1"/>
      <c r="F206" s="1"/>
      <c r="AM206" s="1"/>
    </row>
    <row r="207" ht="14.25" customHeight="1">
      <c r="A207" s="1"/>
      <c r="B207" s="1"/>
      <c r="F207" s="1"/>
      <c r="AM207" s="1"/>
    </row>
    <row r="208" ht="14.25" customHeight="1">
      <c r="A208" s="1"/>
      <c r="B208" s="1"/>
      <c r="F208" s="1"/>
      <c r="AM208" s="1"/>
    </row>
    <row r="209" ht="14.25" customHeight="1">
      <c r="A209" s="1"/>
      <c r="B209" s="1"/>
      <c r="F209" s="1"/>
      <c r="AM209" s="1"/>
    </row>
    <row r="210" ht="14.25" customHeight="1">
      <c r="A210" s="1"/>
      <c r="B210" s="1"/>
      <c r="F210" s="1"/>
      <c r="AM210" s="1"/>
    </row>
    <row r="211" ht="14.25" customHeight="1">
      <c r="A211" s="1"/>
      <c r="B211" s="1"/>
      <c r="F211" s="1"/>
      <c r="AM211" s="1"/>
    </row>
    <row r="212" ht="14.25" customHeight="1">
      <c r="A212" s="1"/>
      <c r="B212" s="1"/>
      <c r="F212" s="1"/>
      <c r="AM212" s="1"/>
    </row>
    <row r="213" ht="14.25" customHeight="1">
      <c r="A213" s="1"/>
      <c r="B213" s="1"/>
      <c r="F213" s="1"/>
      <c r="AM213" s="1"/>
    </row>
    <row r="214" ht="14.25" customHeight="1">
      <c r="A214" s="1"/>
      <c r="B214" s="1"/>
      <c r="F214" s="1"/>
      <c r="AM214" s="1"/>
    </row>
    <row r="215" ht="14.25" customHeight="1">
      <c r="A215" s="1"/>
      <c r="B215" s="1"/>
      <c r="F215" s="1"/>
      <c r="AM215" s="1"/>
    </row>
    <row r="216" ht="14.25" customHeight="1">
      <c r="A216" s="1"/>
      <c r="B216" s="1"/>
      <c r="F216" s="1"/>
      <c r="AM216" s="1"/>
    </row>
    <row r="217" ht="14.25" customHeight="1">
      <c r="A217" s="1"/>
      <c r="B217" s="1"/>
      <c r="F217" s="1"/>
      <c r="AM217" s="1"/>
    </row>
    <row r="218" ht="14.25" customHeight="1">
      <c r="A218" s="1"/>
      <c r="B218" s="1"/>
      <c r="F218" s="1"/>
      <c r="AM218" s="1"/>
    </row>
    <row r="219" ht="14.25" customHeight="1">
      <c r="A219" s="1"/>
      <c r="B219" s="1"/>
      <c r="F219" s="1"/>
      <c r="AM219" s="1"/>
    </row>
    <row r="220" ht="14.25" customHeight="1">
      <c r="A220" s="1"/>
      <c r="B220" s="1"/>
      <c r="F220" s="1"/>
      <c r="AM220" s="1"/>
    </row>
    <row r="221" ht="14.25" customHeight="1">
      <c r="A221" s="1"/>
      <c r="B221" s="1"/>
      <c r="F221" s="1"/>
      <c r="AM221" s="1"/>
    </row>
    <row r="222" ht="14.25" customHeight="1">
      <c r="A222" s="1"/>
      <c r="B222" s="1"/>
      <c r="F222" s="1"/>
      <c r="AM222" s="1"/>
    </row>
    <row r="223" ht="14.25" customHeight="1">
      <c r="A223" s="1"/>
      <c r="B223" s="1"/>
      <c r="F223" s="1"/>
      <c r="AM223" s="1"/>
    </row>
    <row r="224" ht="14.25" customHeight="1">
      <c r="A224" s="1"/>
      <c r="B224" s="1"/>
      <c r="F224" s="1"/>
      <c r="AM224" s="1"/>
    </row>
    <row r="225" ht="14.25" customHeight="1">
      <c r="A225" s="1"/>
      <c r="B225" s="1"/>
      <c r="F225" s="1"/>
      <c r="AM225" s="1"/>
    </row>
    <row r="226" ht="14.25" customHeight="1">
      <c r="A226" s="1"/>
      <c r="B226" s="1"/>
      <c r="F226" s="1"/>
      <c r="AM226" s="1"/>
    </row>
    <row r="227" ht="14.25" customHeight="1">
      <c r="A227" s="1"/>
      <c r="B227" s="1"/>
      <c r="F227" s="1"/>
      <c r="AM227" s="1"/>
    </row>
    <row r="228" ht="14.25" customHeight="1">
      <c r="A228" s="1"/>
      <c r="B228" s="1"/>
      <c r="F228" s="1"/>
      <c r="AM228" s="1"/>
    </row>
    <row r="229" ht="14.25" customHeight="1">
      <c r="A229" s="1"/>
      <c r="B229" s="1"/>
      <c r="F229" s="1"/>
      <c r="AM229" s="1"/>
    </row>
    <row r="230" ht="14.25" customHeight="1">
      <c r="A230" s="1"/>
      <c r="B230" s="1"/>
      <c r="F230" s="1"/>
      <c r="AM230" s="1"/>
    </row>
    <row r="231" ht="14.25" customHeight="1">
      <c r="A231" s="1"/>
      <c r="B231" s="1"/>
      <c r="F231" s="1"/>
      <c r="AM231" s="1"/>
    </row>
    <row r="232" ht="14.25" customHeight="1">
      <c r="A232" s="1"/>
      <c r="B232" s="1"/>
      <c r="F232" s="1"/>
      <c r="AM232" s="1"/>
    </row>
    <row r="233" ht="14.25" customHeight="1">
      <c r="A233" s="1"/>
      <c r="B233" s="1"/>
      <c r="F233" s="1"/>
      <c r="AM233" s="1"/>
    </row>
    <row r="234" ht="14.25" customHeight="1">
      <c r="A234" s="1"/>
      <c r="B234" s="1"/>
      <c r="F234" s="1"/>
      <c r="AM234" s="1"/>
    </row>
    <row r="235" ht="14.25" customHeight="1">
      <c r="A235" s="1"/>
      <c r="B235" s="1"/>
      <c r="F235" s="1"/>
      <c r="AM235" s="1"/>
    </row>
    <row r="236" ht="14.25" customHeight="1">
      <c r="A236" s="1"/>
      <c r="B236" s="1"/>
      <c r="F236" s="1"/>
      <c r="AM236" s="1"/>
    </row>
    <row r="237" ht="14.25" customHeight="1">
      <c r="A237" s="1"/>
      <c r="B237" s="1"/>
      <c r="F237" s="1"/>
      <c r="AM237" s="1"/>
    </row>
    <row r="238" ht="14.25" customHeight="1">
      <c r="A238" s="1"/>
      <c r="B238" s="1"/>
      <c r="F238" s="1"/>
      <c r="AM238" s="1"/>
    </row>
    <row r="239" ht="14.25" customHeight="1">
      <c r="A239" s="1"/>
      <c r="B239" s="1"/>
      <c r="F239" s="1"/>
      <c r="AM239" s="1"/>
    </row>
    <row r="240" ht="14.25" customHeight="1">
      <c r="A240" s="1"/>
      <c r="B240" s="1"/>
      <c r="F240" s="1"/>
      <c r="AM240" s="1"/>
    </row>
    <row r="241" ht="14.25" customHeight="1">
      <c r="A241" s="1"/>
      <c r="B241" s="1"/>
      <c r="F241" s="1"/>
      <c r="AM241" s="1"/>
    </row>
    <row r="242" ht="14.25" customHeight="1">
      <c r="A242" s="1"/>
      <c r="B242" s="1"/>
      <c r="F242" s="1"/>
      <c r="AM242" s="1"/>
    </row>
    <row r="243" ht="14.25" customHeight="1">
      <c r="A243" s="1"/>
      <c r="B243" s="1"/>
      <c r="F243" s="1"/>
      <c r="AM243" s="1"/>
    </row>
    <row r="244" ht="14.25" customHeight="1">
      <c r="A244" s="1"/>
      <c r="B244" s="1"/>
      <c r="F244" s="1"/>
      <c r="AM244" s="1"/>
    </row>
    <row r="245" ht="14.25" customHeight="1">
      <c r="A245" s="1"/>
      <c r="B245" s="1"/>
      <c r="F245" s="1"/>
      <c r="AM245" s="1"/>
    </row>
    <row r="246" ht="14.25" customHeight="1">
      <c r="A246" s="1"/>
      <c r="B246" s="1"/>
      <c r="F246" s="1"/>
      <c r="AM246" s="1"/>
    </row>
    <row r="247" ht="14.25" customHeight="1">
      <c r="A247" s="1"/>
      <c r="B247" s="1"/>
      <c r="F247" s="1"/>
      <c r="AM247" s="1"/>
    </row>
    <row r="248" ht="14.25" customHeight="1">
      <c r="A248" s="1"/>
      <c r="B248" s="1"/>
      <c r="F248" s="1"/>
      <c r="AM248" s="1"/>
    </row>
    <row r="249" ht="14.25" customHeight="1">
      <c r="A249" s="1"/>
      <c r="B249" s="1"/>
      <c r="F249" s="1"/>
      <c r="AM249" s="1"/>
    </row>
    <row r="250" ht="14.25" customHeight="1">
      <c r="A250" s="1"/>
      <c r="B250" s="1"/>
      <c r="F250" s="1"/>
      <c r="AM250" s="1"/>
    </row>
    <row r="251" ht="14.25" customHeight="1">
      <c r="A251" s="1"/>
      <c r="B251" s="1"/>
      <c r="F251" s="1"/>
      <c r="AM251" s="1"/>
    </row>
    <row r="252" ht="14.25" customHeight="1">
      <c r="A252" s="1"/>
      <c r="B252" s="1"/>
      <c r="F252" s="1"/>
      <c r="AM252" s="1"/>
    </row>
    <row r="253" ht="14.25" customHeight="1">
      <c r="A253" s="1"/>
      <c r="B253" s="1"/>
      <c r="F253" s="1"/>
      <c r="AM253" s="1"/>
    </row>
    <row r="254" ht="14.25" customHeight="1">
      <c r="A254" s="1"/>
      <c r="B254" s="1"/>
      <c r="F254" s="1"/>
      <c r="AM254" s="1"/>
    </row>
    <row r="255" ht="14.25" customHeight="1">
      <c r="A255" s="1"/>
      <c r="B255" s="1"/>
      <c r="F255" s="1"/>
      <c r="AM255" s="1"/>
    </row>
    <row r="256" ht="14.25" customHeight="1">
      <c r="A256" s="1"/>
      <c r="B256" s="1"/>
      <c r="F256" s="1"/>
      <c r="AM256" s="1"/>
    </row>
    <row r="257" ht="14.25" customHeight="1">
      <c r="A257" s="1"/>
      <c r="B257" s="1"/>
      <c r="F257" s="1"/>
      <c r="AM257" s="1"/>
    </row>
    <row r="258" ht="14.25" customHeight="1">
      <c r="A258" s="1"/>
      <c r="B258" s="1"/>
      <c r="F258" s="1"/>
      <c r="AM258" s="1"/>
    </row>
    <row r="259" ht="14.25" customHeight="1">
      <c r="A259" s="1"/>
      <c r="B259" s="1"/>
      <c r="F259" s="1"/>
      <c r="AM259" s="1"/>
    </row>
    <row r="260" ht="14.25" customHeight="1">
      <c r="A260" s="1"/>
      <c r="B260" s="1"/>
      <c r="F260" s="1"/>
      <c r="AM260" s="1"/>
    </row>
    <row r="261" ht="14.25" customHeight="1">
      <c r="A261" s="1"/>
      <c r="B261" s="1"/>
      <c r="F261" s="1"/>
      <c r="AM261" s="1"/>
    </row>
    <row r="262" ht="14.25" customHeight="1">
      <c r="A262" s="1"/>
      <c r="B262" s="1"/>
      <c r="F262" s="1"/>
      <c r="AM262" s="1"/>
    </row>
    <row r="263" ht="14.25" customHeight="1">
      <c r="A263" s="1"/>
      <c r="B263" s="1"/>
      <c r="F263" s="1"/>
      <c r="AM263" s="1"/>
    </row>
    <row r="264" ht="14.25" customHeight="1">
      <c r="A264" s="1"/>
      <c r="B264" s="1"/>
      <c r="F264" s="1"/>
      <c r="AM264" s="1"/>
    </row>
    <row r="265" ht="14.25" customHeight="1">
      <c r="A265" s="1"/>
      <c r="B265" s="1"/>
      <c r="F265" s="1"/>
      <c r="AM265" s="1"/>
    </row>
    <row r="266" ht="14.25" customHeight="1">
      <c r="A266" s="1"/>
      <c r="B266" s="1"/>
      <c r="F266" s="1"/>
      <c r="AM266" s="1"/>
    </row>
    <row r="267" ht="14.25" customHeight="1">
      <c r="A267" s="1"/>
      <c r="B267" s="1"/>
      <c r="F267" s="1"/>
      <c r="AM267" s="1"/>
    </row>
    <row r="268" ht="14.25" customHeight="1">
      <c r="A268" s="1"/>
      <c r="B268" s="1"/>
      <c r="F268" s="1"/>
      <c r="AM268" s="1"/>
    </row>
    <row r="269" ht="14.25" customHeight="1">
      <c r="A269" s="1"/>
      <c r="B269" s="1"/>
      <c r="F269" s="1"/>
      <c r="AM269" s="1"/>
    </row>
    <row r="270" ht="14.25" customHeight="1">
      <c r="A270" s="1"/>
      <c r="B270" s="1"/>
      <c r="F270" s="1"/>
      <c r="AM270" s="1"/>
    </row>
    <row r="271" ht="14.25" customHeight="1">
      <c r="A271" s="1"/>
      <c r="B271" s="1"/>
      <c r="F271" s="1"/>
      <c r="AM271" s="1"/>
    </row>
    <row r="272" ht="14.25" customHeight="1">
      <c r="A272" s="1"/>
      <c r="B272" s="1"/>
      <c r="F272" s="1"/>
      <c r="AM272" s="1"/>
    </row>
    <row r="273" ht="14.25" customHeight="1">
      <c r="A273" s="1"/>
      <c r="B273" s="1"/>
      <c r="F273" s="1"/>
      <c r="AM273" s="1"/>
    </row>
    <row r="274" ht="14.25" customHeight="1">
      <c r="A274" s="1"/>
      <c r="B274" s="1"/>
      <c r="F274" s="1"/>
      <c r="AM274" s="1"/>
    </row>
    <row r="275" ht="14.25" customHeight="1">
      <c r="A275" s="1"/>
      <c r="B275" s="1"/>
      <c r="F275" s="1"/>
      <c r="AM275" s="1"/>
    </row>
    <row r="276" ht="14.25" customHeight="1">
      <c r="A276" s="1"/>
      <c r="B276" s="1"/>
      <c r="F276" s="1"/>
      <c r="AM276" s="1"/>
    </row>
    <row r="277" ht="14.25" customHeight="1">
      <c r="A277" s="1"/>
      <c r="B277" s="1"/>
      <c r="F277" s="1"/>
      <c r="AM277" s="1"/>
    </row>
    <row r="278" ht="14.25" customHeight="1">
      <c r="A278" s="1"/>
      <c r="B278" s="1"/>
      <c r="F278" s="1"/>
      <c r="AM278" s="1"/>
    </row>
    <row r="279" ht="14.25" customHeight="1">
      <c r="A279" s="1"/>
      <c r="B279" s="1"/>
      <c r="F279" s="1"/>
      <c r="AM279" s="1"/>
    </row>
    <row r="280" ht="14.25" customHeight="1">
      <c r="A280" s="1"/>
      <c r="B280" s="1"/>
      <c r="F280" s="1"/>
      <c r="AM280" s="1"/>
    </row>
    <row r="281" ht="14.25" customHeight="1">
      <c r="A281" s="1"/>
      <c r="B281" s="1"/>
      <c r="F281" s="1"/>
      <c r="AM281" s="1"/>
    </row>
    <row r="282" ht="14.25" customHeight="1">
      <c r="A282" s="1"/>
      <c r="B282" s="1"/>
      <c r="F282" s="1"/>
      <c r="AM282" s="1"/>
    </row>
    <row r="283" ht="14.25" customHeight="1">
      <c r="A283" s="1"/>
      <c r="B283" s="1"/>
      <c r="F283" s="1"/>
      <c r="AM283" s="1"/>
    </row>
    <row r="284" ht="14.25" customHeight="1">
      <c r="A284" s="1"/>
      <c r="B284" s="1"/>
      <c r="F284" s="1"/>
      <c r="AM284" s="1"/>
    </row>
    <row r="285" ht="14.25" customHeight="1">
      <c r="A285" s="1"/>
      <c r="B285" s="1"/>
      <c r="F285" s="1"/>
      <c r="AM285" s="1"/>
    </row>
    <row r="286" ht="14.25" customHeight="1">
      <c r="A286" s="1"/>
      <c r="B286" s="1"/>
      <c r="F286" s="1"/>
      <c r="AM286" s="1"/>
    </row>
    <row r="287" ht="14.25" customHeight="1">
      <c r="A287" s="1"/>
      <c r="B287" s="1"/>
      <c r="F287" s="1"/>
      <c r="AM287" s="1"/>
    </row>
    <row r="288" ht="14.25" customHeight="1">
      <c r="A288" s="1"/>
      <c r="B288" s="1"/>
      <c r="F288" s="1"/>
      <c r="AM288" s="1"/>
    </row>
    <row r="289" ht="14.25" customHeight="1">
      <c r="A289" s="1"/>
      <c r="B289" s="1"/>
      <c r="F289" s="1"/>
      <c r="AM289" s="1"/>
    </row>
    <row r="290" ht="14.25" customHeight="1">
      <c r="A290" s="1"/>
      <c r="B290" s="1"/>
      <c r="F290" s="1"/>
      <c r="AM290" s="1"/>
    </row>
    <row r="291" ht="14.25" customHeight="1">
      <c r="A291" s="1"/>
      <c r="B291" s="1"/>
      <c r="F291" s="1"/>
      <c r="AM291" s="1"/>
    </row>
    <row r="292" ht="14.25" customHeight="1">
      <c r="A292" s="1"/>
      <c r="B292" s="1"/>
      <c r="F292" s="1"/>
      <c r="AM292" s="1"/>
    </row>
    <row r="293" ht="14.25" customHeight="1">
      <c r="A293" s="1"/>
      <c r="B293" s="1"/>
      <c r="F293" s="1"/>
      <c r="AM293" s="1"/>
    </row>
    <row r="294" ht="14.25" customHeight="1">
      <c r="A294" s="1"/>
      <c r="B294" s="1"/>
      <c r="F294" s="1"/>
      <c r="AM294" s="1"/>
    </row>
    <row r="295" ht="14.25" customHeight="1">
      <c r="A295" s="1"/>
      <c r="B295" s="1"/>
      <c r="F295" s="1"/>
      <c r="AM295" s="1"/>
    </row>
    <row r="296" ht="14.25" customHeight="1">
      <c r="A296" s="1"/>
      <c r="B296" s="1"/>
      <c r="F296" s="1"/>
      <c r="AM296" s="1"/>
    </row>
    <row r="297" ht="14.25" customHeight="1">
      <c r="A297" s="1"/>
      <c r="B297" s="1"/>
      <c r="F297" s="1"/>
      <c r="AM297" s="1"/>
    </row>
    <row r="298" ht="14.25" customHeight="1">
      <c r="A298" s="1"/>
      <c r="B298" s="1"/>
      <c r="F298" s="1"/>
      <c r="AM298" s="1"/>
    </row>
    <row r="299" ht="14.25" customHeight="1">
      <c r="A299" s="1"/>
      <c r="B299" s="1"/>
      <c r="F299" s="1"/>
      <c r="AM299" s="1"/>
    </row>
    <row r="300" ht="14.25" customHeight="1">
      <c r="A300" s="1"/>
      <c r="B300" s="1"/>
      <c r="F300" s="1"/>
      <c r="AM300" s="1"/>
    </row>
    <row r="301" ht="14.25" customHeight="1">
      <c r="A301" s="1"/>
      <c r="B301" s="1"/>
      <c r="F301" s="1"/>
      <c r="AM301" s="1"/>
    </row>
    <row r="302" ht="14.25" customHeight="1">
      <c r="A302" s="1"/>
      <c r="B302" s="1"/>
      <c r="F302" s="1"/>
      <c r="AM302" s="1"/>
    </row>
    <row r="303" ht="14.25" customHeight="1">
      <c r="A303" s="1"/>
      <c r="B303" s="1"/>
      <c r="F303" s="1"/>
      <c r="AM303" s="1"/>
    </row>
    <row r="304" ht="14.25" customHeight="1">
      <c r="A304" s="1"/>
      <c r="B304" s="1"/>
      <c r="F304" s="1"/>
      <c r="AM304" s="1"/>
    </row>
    <row r="305" ht="14.25" customHeight="1">
      <c r="A305" s="1"/>
      <c r="B305" s="1"/>
      <c r="F305" s="1"/>
      <c r="AM305" s="1"/>
    </row>
    <row r="306" ht="14.25" customHeight="1">
      <c r="A306" s="1"/>
      <c r="B306" s="1"/>
      <c r="F306" s="1"/>
      <c r="AM306" s="1"/>
    </row>
    <row r="307" ht="14.25" customHeight="1">
      <c r="A307" s="1"/>
      <c r="B307" s="1"/>
      <c r="F307" s="1"/>
      <c r="AM307" s="1"/>
    </row>
    <row r="308" ht="14.25" customHeight="1">
      <c r="A308" s="1"/>
      <c r="B308" s="1"/>
      <c r="F308" s="1"/>
      <c r="AM308" s="1"/>
    </row>
    <row r="309" ht="14.25" customHeight="1">
      <c r="A309" s="1"/>
      <c r="B309" s="1"/>
      <c r="F309" s="1"/>
      <c r="AM309" s="1"/>
    </row>
    <row r="310" ht="14.25" customHeight="1">
      <c r="A310" s="1"/>
      <c r="B310" s="1"/>
      <c r="F310" s="1"/>
      <c r="AM310" s="1"/>
    </row>
    <row r="311" ht="14.25" customHeight="1">
      <c r="A311" s="1"/>
      <c r="B311" s="1"/>
      <c r="F311" s="1"/>
      <c r="AM311" s="1"/>
    </row>
    <row r="312" ht="14.25" customHeight="1">
      <c r="A312" s="1"/>
      <c r="B312" s="1"/>
      <c r="F312" s="1"/>
      <c r="AM312" s="1"/>
    </row>
    <row r="313" ht="14.25" customHeight="1">
      <c r="A313" s="1"/>
      <c r="B313" s="1"/>
      <c r="F313" s="1"/>
      <c r="AM313" s="1"/>
    </row>
    <row r="314" ht="14.25" customHeight="1">
      <c r="A314" s="1"/>
      <c r="B314" s="1"/>
      <c r="F314" s="1"/>
      <c r="AM314" s="1"/>
    </row>
    <row r="315" ht="14.25" customHeight="1">
      <c r="A315" s="1"/>
      <c r="B315" s="1"/>
      <c r="F315" s="1"/>
      <c r="AM315" s="1"/>
    </row>
    <row r="316" ht="14.25" customHeight="1">
      <c r="A316" s="1"/>
      <c r="B316" s="1"/>
      <c r="F316" s="1"/>
      <c r="AM316" s="1"/>
    </row>
    <row r="317" ht="14.25" customHeight="1">
      <c r="A317" s="1"/>
      <c r="B317" s="1"/>
      <c r="F317" s="1"/>
      <c r="AM317" s="1"/>
    </row>
    <row r="318" ht="14.25" customHeight="1">
      <c r="A318" s="1"/>
      <c r="B318" s="1"/>
      <c r="F318" s="1"/>
      <c r="AM318" s="1"/>
    </row>
    <row r="319" ht="14.25" customHeight="1">
      <c r="A319" s="1"/>
      <c r="B319" s="1"/>
      <c r="F319" s="1"/>
      <c r="AM319" s="1"/>
    </row>
    <row r="320" ht="14.25" customHeight="1">
      <c r="A320" s="1"/>
      <c r="B320" s="1"/>
      <c r="F320" s="1"/>
      <c r="AM320" s="1"/>
    </row>
    <row r="321" ht="14.25" customHeight="1">
      <c r="A321" s="1"/>
      <c r="B321" s="1"/>
      <c r="F321" s="1"/>
      <c r="AM321" s="1"/>
    </row>
    <row r="322" ht="14.25" customHeight="1">
      <c r="A322" s="1"/>
      <c r="B322" s="1"/>
      <c r="F322" s="1"/>
      <c r="AM322" s="1"/>
    </row>
    <row r="323" ht="14.25" customHeight="1">
      <c r="A323" s="1"/>
      <c r="B323" s="1"/>
      <c r="F323" s="1"/>
      <c r="AM323" s="1"/>
    </row>
    <row r="324" ht="14.25" customHeight="1">
      <c r="A324" s="1"/>
      <c r="B324" s="1"/>
      <c r="F324" s="1"/>
      <c r="AM324" s="1"/>
    </row>
    <row r="325" ht="14.25" customHeight="1">
      <c r="A325" s="1"/>
      <c r="B325" s="1"/>
      <c r="F325" s="1"/>
      <c r="AM325" s="1"/>
    </row>
    <row r="326" ht="14.25" customHeight="1">
      <c r="A326" s="1"/>
      <c r="B326" s="1"/>
      <c r="F326" s="1"/>
      <c r="AM326" s="1"/>
    </row>
    <row r="327" ht="14.25" customHeight="1">
      <c r="A327" s="1"/>
      <c r="B327" s="1"/>
      <c r="F327" s="1"/>
      <c r="AM327" s="1"/>
    </row>
    <row r="328" ht="14.25" customHeight="1">
      <c r="A328" s="1"/>
      <c r="B328" s="1"/>
      <c r="F328" s="1"/>
      <c r="AM328" s="1"/>
    </row>
    <row r="329" ht="14.25" customHeight="1">
      <c r="A329" s="1"/>
      <c r="B329" s="1"/>
      <c r="F329" s="1"/>
      <c r="AM329" s="1"/>
    </row>
    <row r="330" ht="14.25" customHeight="1">
      <c r="A330" s="1"/>
      <c r="B330" s="1"/>
      <c r="F330" s="1"/>
      <c r="AM330" s="1"/>
    </row>
    <row r="331" ht="14.25" customHeight="1">
      <c r="A331" s="1"/>
      <c r="B331" s="1"/>
      <c r="F331" s="1"/>
      <c r="AM331" s="1"/>
    </row>
    <row r="332" ht="14.25" customHeight="1">
      <c r="A332" s="1"/>
      <c r="B332" s="1"/>
      <c r="F332" s="1"/>
      <c r="AM332" s="1"/>
    </row>
    <row r="333" ht="14.25" customHeight="1">
      <c r="A333" s="1"/>
      <c r="B333" s="1"/>
      <c r="F333" s="1"/>
      <c r="AM333" s="1"/>
    </row>
    <row r="334" ht="14.25" customHeight="1">
      <c r="A334" s="1"/>
      <c r="B334" s="1"/>
      <c r="F334" s="1"/>
      <c r="AM334" s="1"/>
    </row>
    <row r="335" ht="14.25" customHeight="1">
      <c r="A335" s="1"/>
      <c r="B335" s="1"/>
      <c r="F335" s="1"/>
      <c r="AM335" s="1"/>
    </row>
    <row r="336" ht="14.25" customHeight="1">
      <c r="A336" s="1"/>
      <c r="B336" s="1"/>
      <c r="F336" s="1"/>
      <c r="AM336" s="1"/>
    </row>
    <row r="337" ht="14.25" customHeight="1">
      <c r="A337" s="1"/>
      <c r="B337" s="1"/>
      <c r="F337" s="1"/>
      <c r="AM337" s="1"/>
    </row>
    <row r="338" ht="14.25" customHeight="1">
      <c r="A338" s="1"/>
      <c r="B338" s="1"/>
      <c r="F338" s="1"/>
      <c r="AM338" s="1"/>
    </row>
    <row r="339" ht="14.25" customHeight="1">
      <c r="A339" s="1"/>
      <c r="B339" s="1"/>
      <c r="F339" s="1"/>
      <c r="AM339" s="1"/>
    </row>
    <row r="340" ht="14.25" customHeight="1">
      <c r="A340" s="1"/>
      <c r="B340" s="1"/>
      <c r="F340" s="1"/>
      <c r="AM340" s="1"/>
    </row>
    <row r="341" ht="14.25" customHeight="1">
      <c r="A341" s="1"/>
      <c r="B341" s="1"/>
      <c r="F341" s="1"/>
      <c r="AM341" s="1"/>
    </row>
    <row r="342" ht="14.25" customHeight="1">
      <c r="A342" s="1"/>
      <c r="B342" s="1"/>
      <c r="F342" s="1"/>
      <c r="AM342" s="1"/>
    </row>
    <row r="343" ht="14.25" customHeight="1">
      <c r="A343" s="1"/>
      <c r="B343" s="1"/>
      <c r="F343" s="1"/>
      <c r="AM343" s="1"/>
    </row>
    <row r="344" ht="14.25" customHeight="1">
      <c r="A344" s="1"/>
      <c r="B344" s="1"/>
      <c r="F344" s="1"/>
      <c r="AM344" s="1"/>
    </row>
    <row r="345" ht="14.25" customHeight="1">
      <c r="A345" s="1"/>
      <c r="B345" s="1"/>
      <c r="F345" s="1"/>
      <c r="AM345" s="1"/>
    </row>
    <row r="346" ht="14.25" customHeight="1">
      <c r="A346" s="1"/>
      <c r="B346" s="1"/>
      <c r="F346" s="1"/>
      <c r="AM346" s="1"/>
    </row>
    <row r="347" ht="14.25" customHeight="1">
      <c r="A347" s="1"/>
      <c r="B347" s="1"/>
      <c r="F347" s="1"/>
      <c r="AM347" s="1"/>
    </row>
    <row r="348" ht="14.25" customHeight="1">
      <c r="A348" s="1"/>
      <c r="B348" s="1"/>
      <c r="F348" s="1"/>
      <c r="AM348" s="1"/>
    </row>
    <row r="349" ht="14.25" customHeight="1">
      <c r="A349" s="1"/>
      <c r="B349" s="1"/>
      <c r="F349" s="1"/>
      <c r="AM349" s="1"/>
    </row>
    <row r="350" ht="14.25" customHeight="1">
      <c r="A350" s="1"/>
      <c r="B350" s="1"/>
      <c r="F350" s="1"/>
      <c r="AM350" s="1"/>
    </row>
    <row r="351" ht="14.25" customHeight="1">
      <c r="A351" s="1"/>
      <c r="B351" s="1"/>
      <c r="F351" s="1"/>
      <c r="AM351" s="1"/>
    </row>
    <row r="352" ht="14.25" customHeight="1">
      <c r="A352" s="1"/>
      <c r="B352" s="1"/>
      <c r="F352" s="1"/>
      <c r="AM352" s="1"/>
    </row>
    <row r="353" ht="14.25" customHeight="1">
      <c r="A353" s="1"/>
      <c r="B353" s="1"/>
      <c r="F353" s="1"/>
      <c r="AM353" s="1"/>
    </row>
    <row r="354" ht="14.25" customHeight="1">
      <c r="A354" s="1"/>
      <c r="B354" s="1"/>
      <c r="F354" s="1"/>
      <c r="AM354" s="1"/>
    </row>
    <row r="355" ht="14.25" customHeight="1">
      <c r="A355" s="1"/>
      <c r="B355" s="1"/>
      <c r="F355" s="1"/>
      <c r="AM355" s="1"/>
    </row>
    <row r="356" ht="14.25" customHeight="1">
      <c r="A356" s="1"/>
      <c r="B356" s="1"/>
      <c r="F356" s="1"/>
      <c r="AM356" s="1"/>
    </row>
    <row r="357" ht="14.25" customHeight="1">
      <c r="A357" s="1"/>
      <c r="B357" s="1"/>
      <c r="F357" s="1"/>
      <c r="AM357" s="1"/>
    </row>
    <row r="358" ht="14.25" customHeight="1">
      <c r="A358" s="1"/>
      <c r="B358" s="1"/>
      <c r="F358" s="1"/>
      <c r="AM358" s="1"/>
    </row>
    <row r="359" ht="14.25" customHeight="1">
      <c r="A359" s="1"/>
      <c r="B359" s="1"/>
      <c r="F359" s="1"/>
      <c r="AM359" s="1"/>
    </row>
    <row r="360" ht="14.25" customHeight="1">
      <c r="A360" s="1"/>
      <c r="B360" s="1"/>
      <c r="F360" s="1"/>
      <c r="AM360" s="1"/>
    </row>
    <row r="361" ht="14.25" customHeight="1">
      <c r="A361" s="1"/>
      <c r="B361" s="1"/>
      <c r="F361" s="1"/>
      <c r="AM361" s="1"/>
    </row>
    <row r="362" ht="14.25" customHeight="1">
      <c r="A362" s="1"/>
      <c r="B362" s="1"/>
      <c r="F362" s="1"/>
      <c r="AM362" s="1"/>
    </row>
    <row r="363" ht="14.25" customHeight="1">
      <c r="A363" s="1"/>
      <c r="B363" s="1"/>
      <c r="F363" s="1"/>
      <c r="AM363" s="1"/>
    </row>
    <row r="364" ht="14.25" customHeight="1">
      <c r="A364" s="1"/>
      <c r="B364" s="1"/>
      <c r="F364" s="1"/>
      <c r="AM364" s="1"/>
    </row>
    <row r="365" ht="14.25" customHeight="1">
      <c r="A365" s="1"/>
      <c r="B365" s="1"/>
      <c r="F365" s="1"/>
      <c r="AM365" s="1"/>
    </row>
    <row r="366" ht="14.25" customHeight="1">
      <c r="A366" s="1"/>
      <c r="B366" s="1"/>
      <c r="F366" s="1"/>
      <c r="AM366" s="1"/>
    </row>
    <row r="367" ht="14.25" customHeight="1">
      <c r="A367" s="1"/>
      <c r="B367" s="1"/>
      <c r="F367" s="1"/>
      <c r="AM367" s="1"/>
    </row>
    <row r="368" ht="14.25" customHeight="1">
      <c r="A368" s="1"/>
      <c r="B368" s="1"/>
      <c r="F368" s="1"/>
      <c r="AM368" s="1"/>
    </row>
    <row r="369" ht="14.25" customHeight="1">
      <c r="A369" s="1"/>
      <c r="B369" s="1"/>
      <c r="F369" s="1"/>
      <c r="AM369" s="1"/>
    </row>
    <row r="370" ht="14.25" customHeight="1">
      <c r="A370" s="1"/>
      <c r="B370" s="1"/>
      <c r="F370" s="1"/>
      <c r="AM370" s="1"/>
    </row>
    <row r="371" ht="14.25" customHeight="1">
      <c r="A371" s="1"/>
      <c r="B371" s="1"/>
      <c r="F371" s="1"/>
      <c r="AM371" s="1"/>
    </row>
    <row r="372" ht="14.25" customHeight="1">
      <c r="A372" s="1"/>
      <c r="B372" s="1"/>
      <c r="F372" s="1"/>
      <c r="AM372" s="1"/>
    </row>
    <row r="373" ht="14.25" customHeight="1">
      <c r="A373" s="1"/>
      <c r="B373" s="1"/>
      <c r="F373" s="1"/>
      <c r="AM373" s="1"/>
    </row>
    <row r="374" ht="14.25" customHeight="1">
      <c r="A374" s="1"/>
      <c r="B374" s="1"/>
      <c r="F374" s="1"/>
      <c r="AM374" s="1"/>
    </row>
    <row r="375" ht="14.25" customHeight="1">
      <c r="A375" s="1"/>
      <c r="B375" s="1"/>
      <c r="F375" s="1"/>
      <c r="AM375" s="1"/>
    </row>
    <row r="376" ht="14.25" customHeight="1">
      <c r="A376" s="1"/>
      <c r="B376" s="1"/>
      <c r="F376" s="1"/>
      <c r="AM376" s="1"/>
    </row>
    <row r="377" ht="14.25" customHeight="1">
      <c r="A377" s="1"/>
      <c r="B377" s="1"/>
      <c r="F377" s="1"/>
      <c r="AM377" s="1"/>
    </row>
    <row r="378" ht="14.25" customHeight="1">
      <c r="A378" s="1"/>
      <c r="B378" s="1"/>
      <c r="F378" s="1"/>
      <c r="AM378" s="1"/>
    </row>
    <row r="379" ht="14.25" customHeight="1">
      <c r="A379" s="1"/>
      <c r="B379" s="1"/>
      <c r="F379" s="1"/>
      <c r="AM379" s="1"/>
    </row>
    <row r="380" ht="14.25" customHeight="1">
      <c r="A380" s="1"/>
      <c r="B380" s="1"/>
      <c r="F380" s="1"/>
      <c r="AM380" s="1"/>
    </row>
    <row r="381" ht="14.25" customHeight="1">
      <c r="A381" s="1"/>
      <c r="B381" s="1"/>
      <c r="F381" s="1"/>
      <c r="AM381" s="1"/>
    </row>
    <row r="382" ht="14.25" customHeight="1">
      <c r="A382" s="1"/>
      <c r="B382" s="1"/>
      <c r="F382" s="1"/>
      <c r="AM382" s="1"/>
    </row>
    <row r="383" ht="14.25" customHeight="1">
      <c r="A383" s="1"/>
      <c r="B383" s="1"/>
      <c r="F383" s="1"/>
      <c r="AM383" s="1"/>
    </row>
    <row r="384" ht="14.25" customHeight="1">
      <c r="A384" s="1"/>
      <c r="B384" s="1"/>
      <c r="F384" s="1"/>
      <c r="AM384" s="1"/>
    </row>
    <row r="385" ht="14.25" customHeight="1">
      <c r="A385" s="1"/>
      <c r="B385" s="1"/>
      <c r="F385" s="1"/>
      <c r="AM385" s="1"/>
    </row>
    <row r="386" ht="14.25" customHeight="1">
      <c r="A386" s="1"/>
      <c r="B386" s="1"/>
      <c r="F386" s="1"/>
      <c r="AM386" s="1"/>
    </row>
    <row r="387" ht="14.25" customHeight="1">
      <c r="A387" s="1"/>
      <c r="B387" s="1"/>
      <c r="F387" s="1"/>
      <c r="AM387" s="1"/>
    </row>
    <row r="388" ht="14.25" customHeight="1">
      <c r="A388" s="1"/>
      <c r="B388" s="1"/>
      <c r="F388" s="1"/>
      <c r="AM388" s="1"/>
    </row>
    <row r="389" ht="14.25" customHeight="1">
      <c r="A389" s="1"/>
      <c r="B389" s="1"/>
      <c r="F389" s="1"/>
      <c r="AM389" s="1"/>
    </row>
    <row r="390" ht="14.25" customHeight="1">
      <c r="A390" s="1"/>
      <c r="B390" s="1"/>
      <c r="F390" s="1"/>
      <c r="AM390" s="1"/>
    </row>
    <row r="391" ht="14.25" customHeight="1">
      <c r="A391" s="1"/>
      <c r="B391" s="1"/>
      <c r="F391" s="1"/>
      <c r="AM391" s="1"/>
    </row>
    <row r="392" ht="14.25" customHeight="1">
      <c r="A392" s="1"/>
      <c r="B392" s="1"/>
      <c r="F392" s="1"/>
      <c r="AM392" s="1"/>
    </row>
    <row r="393" ht="14.25" customHeight="1">
      <c r="A393" s="1"/>
      <c r="B393" s="1"/>
      <c r="F393" s="1"/>
      <c r="AM393" s="1"/>
    </row>
    <row r="394" ht="14.25" customHeight="1">
      <c r="A394" s="1"/>
      <c r="B394" s="1"/>
      <c r="F394" s="1"/>
      <c r="AM394" s="1"/>
    </row>
    <row r="395" ht="14.25" customHeight="1">
      <c r="A395" s="1"/>
      <c r="B395" s="1"/>
      <c r="F395" s="1"/>
      <c r="AM395" s="1"/>
    </row>
    <row r="396" ht="14.25" customHeight="1">
      <c r="A396" s="1"/>
      <c r="B396" s="1"/>
      <c r="F396" s="1"/>
      <c r="AM396" s="1"/>
    </row>
    <row r="397" ht="14.25" customHeight="1">
      <c r="A397" s="1"/>
      <c r="B397" s="1"/>
      <c r="F397" s="1"/>
      <c r="AM397" s="1"/>
    </row>
    <row r="398" ht="14.25" customHeight="1">
      <c r="A398" s="1"/>
      <c r="B398" s="1"/>
      <c r="F398" s="1"/>
      <c r="AM398" s="1"/>
    </row>
    <row r="399" ht="14.25" customHeight="1">
      <c r="A399" s="1"/>
      <c r="B399" s="1"/>
      <c r="F399" s="1"/>
      <c r="AM399" s="1"/>
    </row>
    <row r="400" ht="14.25" customHeight="1">
      <c r="A400" s="1"/>
      <c r="B400" s="1"/>
      <c r="F400" s="1"/>
      <c r="AM400" s="1"/>
    </row>
    <row r="401" ht="14.25" customHeight="1">
      <c r="A401" s="1"/>
      <c r="B401" s="1"/>
      <c r="F401" s="1"/>
      <c r="AM401" s="1"/>
    </row>
    <row r="402" ht="14.25" customHeight="1">
      <c r="A402" s="1"/>
      <c r="B402" s="1"/>
      <c r="F402" s="1"/>
      <c r="AM402" s="1"/>
    </row>
    <row r="403" ht="14.25" customHeight="1">
      <c r="A403" s="1"/>
      <c r="B403" s="1"/>
      <c r="F403" s="1"/>
      <c r="AM403" s="1"/>
    </row>
    <row r="404" ht="14.25" customHeight="1">
      <c r="A404" s="1"/>
      <c r="B404" s="1"/>
      <c r="F404" s="1"/>
      <c r="AM404" s="1"/>
    </row>
    <row r="405" ht="14.25" customHeight="1">
      <c r="A405" s="1"/>
      <c r="B405" s="1"/>
      <c r="F405" s="1"/>
      <c r="AM405" s="1"/>
    </row>
    <row r="406" ht="14.25" customHeight="1">
      <c r="A406" s="1"/>
      <c r="B406" s="1"/>
      <c r="F406" s="1"/>
      <c r="AM406" s="1"/>
    </row>
    <row r="407" ht="14.25" customHeight="1">
      <c r="A407" s="1"/>
      <c r="B407" s="1"/>
      <c r="F407" s="1"/>
      <c r="AM407" s="1"/>
    </row>
    <row r="408" ht="14.25" customHeight="1">
      <c r="A408" s="1"/>
      <c r="B408" s="1"/>
      <c r="F408" s="1"/>
      <c r="AM408" s="1"/>
    </row>
    <row r="409" ht="14.25" customHeight="1">
      <c r="A409" s="1"/>
      <c r="B409" s="1"/>
      <c r="F409" s="1"/>
      <c r="AM409" s="1"/>
    </row>
    <row r="410" ht="14.25" customHeight="1">
      <c r="A410" s="1"/>
      <c r="B410" s="1"/>
      <c r="F410" s="1"/>
      <c r="AM410" s="1"/>
    </row>
    <row r="411" ht="14.25" customHeight="1">
      <c r="A411" s="1"/>
      <c r="B411" s="1"/>
      <c r="F411" s="1"/>
      <c r="AM411" s="1"/>
    </row>
    <row r="412" ht="14.25" customHeight="1">
      <c r="A412" s="1"/>
      <c r="B412" s="1"/>
      <c r="F412" s="1"/>
      <c r="AM412" s="1"/>
    </row>
    <row r="413" ht="14.25" customHeight="1">
      <c r="A413" s="1"/>
      <c r="B413" s="1"/>
      <c r="F413" s="1"/>
      <c r="AM413" s="1"/>
    </row>
    <row r="414" ht="14.25" customHeight="1">
      <c r="A414" s="1"/>
      <c r="B414" s="1"/>
      <c r="F414" s="1"/>
      <c r="AM414" s="1"/>
    </row>
    <row r="415" ht="14.25" customHeight="1">
      <c r="A415" s="1"/>
      <c r="B415" s="1"/>
      <c r="F415" s="1"/>
      <c r="AM415" s="1"/>
    </row>
    <row r="416" ht="14.25" customHeight="1">
      <c r="A416" s="1"/>
      <c r="B416" s="1"/>
      <c r="F416" s="1"/>
      <c r="AM416" s="1"/>
    </row>
    <row r="417" ht="14.25" customHeight="1">
      <c r="A417" s="1"/>
      <c r="B417" s="1"/>
      <c r="F417" s="1"/>
      <c r="AM417" s="1"/>
    </row>
    <row r="418" ht="14.25" customHeight="1">
      <c r="A418" s="1"/>
      <c r="B418" s="1"/>
      <c r="F418" s="1"/>
      <c r="AM418" s="1"/>
    </row>
    <row r="419" ht="14.25" customHeight="1">
      <c r="A419" s="1"/>
      <c r="B419" s="1"/>
      <c r="F419" s="1"/>
      <c r="AM419" s="1"/>
    </row>
    <row r="420" ht="14.25" customHeight="1">
      <c r="A420" s="1"/>
      <c r="B420" s="1"/>
      <c r="F420" s="1"/>
      <c r="AM420" s="1"/>
    </row>
    <row r="421" ht="14.25" customHeight="1">
      <c r="A421" s="1"/>
      <c r="B421" s="1"/>
      <c r="F421" s="1"/>
      <c r="AM421" s="1"/>
    </row>
    <row r="422" ht="14.25" customHeight="1">
      <c r="A422" s="1"/>
      <c r="B422" s="1"/>
      <c r="F422" s="1"/>
      <c r="AM422" s="1"/>
    </row>
    <row r="423" ht="14.25" customHeight="1">
      <c r="A423" s="1"/>
      <c r="B423" s="1"/>
      <c r="F423" s="1"/>
      <c r="AM423" s="1"/>
    </row>
    <row r="424" ht="14.25" customHeight="1">
      <c r="A424" s="1"/>
      <c r="B424" s="1"/>
      <c r="F424" s="1"/>
      <c r="AM424" s="1"/>
    </row>
    <row r="425" ht="14.25" customHeight="1">
      <c r="A425" s="1"/>
      <c r="B425" s="1"/>
      <c r="F425" s="1"/>
      <c r="AM425" s="1"/>
    </row>
    <row r="426" ht="14.25" customHeight="1">
      <c r="A426" s="1"/>
      <c r="B426" s="1"/>
      <c r="F426" s="1"/>
      <c r="AM426" s="1"/>
    </row>
    <row r="427" ht="14.25" customHeight="1">
      <c r="A427" s="1"/>
      <c r="B427" s="1"/>
      <c r="F427" s="1"/>
      <c r="AM427" s="1"/>
    </row>
    <row r="428" ht="14.25" customHeight="1">
      <c r="A428" s="1"/>
      <c r="B428" s="1"/>
      <c r="F428" s="1"/>
      <c r="AM428" s="1"/>
    </row>
    <row r="429" ht="14.25" customHeight="1">
      <c r="A429" s="1"/>
      <c r="B429" s="1"/>
      <c r="F429" s="1"/>
      <c r="AM429" s="1"/>
    </row>
    <row r="430" ht="14.25" customHeight="1">
      <c r="A430" s="1"/>
      <c r="B430" s="1"/>
      <c r="F430" s="1"/>
      <c r="AM430" s="1"/>
    </row>
    <row r="431" ht="14.25" customHeight="1">
      <c r="A431" s="1"/>
      <c r="B431" s="1"/>
      <c r="F431" s="1"/>
      <c r="AM431" s="1"/>
    </row>
    <row r="432" ht="14.25" customHeight="1">
      <c r="A432" s="1"/>
      <c r="B432" s="1"/>
      <c r="F432" s="1"/>
      <c r="AM432" s="1"/>
    </row>
    <row r="433" ht="14.25" customHeight="1">
      <c r="A433" s="1"/>
      <c r="B433" s="1"/>
      <c r="F433" s="1"/>
      <c r="AM433" s="1"/>
    </row>
    <row r="434" ht="14.25" customHeight="1">
      <c r="A434" s="1"/>
      <c r="B434" s="1"/>
      <c r="F434" s="1"/>
      <c r="AM434" s="1"/>
    </row>
    <row r="435" ht="14.25" customHeight="1">
      <c r="A435" s="1"/>
      <c r="B435" s="1"/>
      <c r="F435" s="1"/>
      <c r="AM435" s="1"/>
    </row>
    <row r="436" ht="14.25" customHeight="1">
      <c r="A436" s="1"/>
      <c r="B436" s="1"/>
      <c r="F436" s="1"/>
      <c r="AM436" s="1"/>
    </row>
    <row r="437" ht="14.25" customHeight="1">
      <c r="A437" s="1"/>
      <c r="B437" s="1"/>
      <c r="F437" s="1"/>
      <c r="AM437" s="1"/>
    </row>
    <row r="438" ht="14.25" customHeight="1">
      <c r="A438" s="1"/>
      <c r="B438" s="1"/>
      <c r="F438" s="1"/>
      <c r="AM438" s="1"/>
    </row>
    <row r="439" ht="14.25" customHeight="1">
      <c r="A439" s="1"/>
      <c r="B439" s="1"/>
      <c r="F439" s="1"/>
      <c r="AM439" s="1"/>
    </row>
    <row r="440" ht="14.25" customHeight="1">
      <c r="A440" s="1"/>
      <c r="B440" s="1"/>
      <c r="F440" s="1"/>
      <c r="AM440" s="1"/>
    </row>
    <row r="441" ht="14.25" customHeight="1">
      <c r="A441" s="1"/>
      <c r="B441" s="1"/>
      <c r="F441" s="1"/>
      <c r="AM441" s="1"/>
    </row>
    <row r="442" ht="14.25" customHeight="1">
      <c r="A442" s="1"/>
      <c r="B442" s="1"/>
      <c r="F442" s="1"/>
      <c r="AM442" s="1"/>
    </row>
    <row r="443" ht="14.25" customHeight="1">
      <c r="A443" s="1"/>
      <c r="B443" s="1"/>
      <c r="F443" s="1"/>
      <c r="AM443" s="1"/>
    </row>
    <row r="444" ht="14.25" customHeight="1">
      <c r="A444" s="1"/>
      <c r="B444" s="1"/>
      <c r="F444" s="1"/>
      <c r="AM444" s="1"/>
    </row>
    <row r="445" ht="14.25" customHeight="1">
      <c r="A445" s="1"/>
      <c r="B445" s="1"/>
      <c r="F445" s="1"/>
      <c r="AM445" s="1"/>
    </row>
    <row r="446" ht="14.25" customHeight="1">
      <c r="A446" s="1"/>
      <c r="B446" s="1"/>
      <c r="F446" s="1"/>
      <c r="AM446" s="1"/>
    </row>
    <row r="447" ht="14.25" customHeight="1">
      <c r="A447" s="1"/>
      <c r="B447" s="1"/>
      <c r="F447" s="1"/>
      <c r="AM447" s="1"/>
    </row>
    <row r="448" ht="14.25" customHeight="1">
      <c r="A448" s="1"/>
      <c r="B448" s="1"/>
      <c r="F448" s="1"/>
      <c r="AM448" s="1"/>
    </row>
    <row r="449" ht="14.25" customHeight="1">
      <c r="A449" s="1"/>
      <c r="B449" s="1"/>
      <c r="F449" s="1"/>
      <c r="AM449" s="1"/>
    </row>
    <row r="450" ht="14.25" customHeight="1">
      <c r="A450" s="1"/>
      <c r="B450" s="1"/>
      <c r="F450" s="1"/>
      <c r="AM450" s="1"/>
    </row>
    <row r="451" ht="14.25" customHeight="1">
      <c r="A451" s="1"/>
      <c r="B451" s="1"/>
      <c r="F451" s="1"/>
      <c r="AM451" s="1"/>
    </row>
    <row r="452" ht="14.25" customHeight="1">
      <c r="A452" s="1"/>
      <c r="B452" s="1"/>
      <c r="F452" s="1"/>
      <c r="AM452" s="1"/>
    </row>
    <row r="453" ht="14.25" customHeight="1">
      <c r="A453" s="1"/>
      <c r="B453" s="1"/>
      <c r="F453" s="1"/>
      <c r="AM453" s="1"/>
    </row>
    <row r="454" ht="14.25" customHeight="1">
      <c r="A454" s="1"/>
      <c r="B454" s="1"/>
      <c r="F454" s="1"/>
      <c r="AM454" s="1"/>
    </row>
    <row r="455" ht="14.25" customHeight="1">
      <c r="A455" s="1"/>
      <c r="B455" s="1"/>
      <c r="F455" s="1"/>
      <c r="AM455" s="1"/>
    </row>
    <row r="456" ht="14.25" customHeight="1">
      <c r="A456" s="1"/>
      <c r="B456" s="1"/>
      <c r="F456" s="1"/>
      <c r="AM456" s="1"/>
    </row>
    <row r="457" ht="14.25" customHeight="1">
      <c r="A457" s="1"/>
      <c r="B457" s="1"/>
      <c r="F457" s="1"/>
      <c r="AM457" s="1"/>
    </row>
    <row r="458" ht="14.25" customHeight="1">
      <c r="A458" s="1"/>
      <c r="B458" s="1"/>
      <c r="F458" s="1"/>
      <c r="AM458" s="1"/>
    </row>
    <row r="459" ht="14.25" customHeight="1">
      <c r="A459" s="1"/>
      <c r="B459" s="1"/>
      <c r="F459" s="1"/>
      <c r="AM459" s="1"/>
    </row>
    <row r="460" ht="14.25" customHeight="1">
      <c r="A460" s="1"/>
      <c r="B460" s="1"/>
      <c r="F460" s="1"/>
      <c r="AM460" s="1"/>
    </row>
    <row r="461" ht="14.25" customHeight="1">
      <c r="A461" s="1"/>
      <c r="B461" s="1"/>
      <c r="F461" s="1"/>
      <c r="AM461" s="1"/>
    </row>
    <row r="462" ht="14.25" customHeight="1">
      <c r="A462" s="1"/>
      <c r="B462" s="1"/>
      <c r="F462" s="1"/>
      <c r="AM462" s="1"/>
    </row>
    <row r="463" ht="14.25" customHeight="1">
      <c r="A463" s="1"/>
      <c r="B463" s="1"/>
      <c r="F463" s="1"/>
      <c r="AM463" s="1"/>
    </row>
    <row r="464" ht="14.25" customHeight="1">
      <c r="A464" s="1"/>
      <c r="B464" s="1"/>
      <c r="F464" s="1"/>
      <c r="AM464" s="1"/>
    </row>
    <row r="465" ht="14.25" customHeight="1">
      <c r="A465" s="1"/>
      <c r="B465" s="1"/>
      <c r="F465" s="1"/>
      <c r="AM465" s="1"/>
    </row>
    <row r="466" ht="14.25" customHeight="1">
      <c r="A466" s="1"/>
      <c r="B466" s="1"/>
      <c r="F466" s="1"/>
      <c r="AM466" s="1"/>
    </row>
    <row r="467" ht="14.25" customHeight="1">
      <c r="A467" s="1"/>
      <c r="B467" s="1"/>
      <c r="F467" s="1"/>
      <c r="AM467" s="1"/>
    </row>
    <row r="468" ht="14.25" customHeight="1">
      <c r="A468" s="1"/>
      <c r="B468" s="1"/>
      <c r="F468" s="1"/>
      <c r="AM468" s="1"/>
    </row>
    <row r="469" ht="14.25" customHeight="1">
      <c r="A469" s="1"/>
      <c r="B469" s="1"/>
      <c r="F469" s="1"/>
      <c r="AM469" s="1"/>
    </row>
    <row r="470" ht="14.25" customHeight="1">
      <c r="A470" s="1"/>
      <c r="B470" s="1"/>
      <c r="F470" s="1"/>
      <c r="AM470" s="1"/>
    </row>
    <row r="471" ht="14.25" customHeight="1">
      <c r="A471" s="1"/>
      <c r="B471" s="1"/>
      <c r="F471" s="1"/>
      <c r="AM471" s="1"/>
    </row>
    <row r="472" ht="14.25" customHeight="1">
      <c r="A472" s="1"/>
      <c r="B472" s="1"/>
      <c r="F472" s="1"/>
      <c r="AM472" s="1"/>
    </row>
    <row r="473" ht="14.25" customHeight="1">
      <c r="A473" s="1"/>
      <c r="B473" s="1"/>
      <c r="F473" s="1"/>
      <c r="AM473" s="1"/>
    </row>
    <row r="474" ht="14.25" customHeight="1">
      <c r="A474" s="1"/>
      <c r="B474" s="1"/>
      <c r="F474" s="1"/>
      <c r="AM474" s="1"/>
    </row>
    <row r="475" ht="14.25" customHeight="1">
      <c r="A475" s="1"/>
      <c r="B475" s="1"/>
      <c r="F475" s="1"/>
      <c r="AM475" s="1"/>
    </row>
    <row r="476" ht="14.25" customHeight="1">
      <c r="A476" s="1"/>
      <c r="B476" s="1"/>
      <c r="F476" s="1"/>
      <c r="AM476" s="1"/>
    </row>
    <row r="477" ht="14.25" customHeight="1">
      <c r="A477" s="1"/>
      <c r="B477" s="1"/>
      <c r="F477" s="1"/>
      <c r="AM477" s="1"/>
    </row>
    <row r="478" ht="14.25" customHeight="1">
      <c r="A478" s="1"/>
      <c r="B478" s="1"/>
      <c r="F478" s="1"/>
      <c r="AM478" s="1"/>
    </row>
    <row r="479" ht="14.25" customHeight="1">
      <c r="A479" s="1"/>
      <c r="B479" s="1"/>
      <c r="F479" s="1"/>
      <c r="AM479" s="1"/>
    </row>
    <row r="480" ht="14.25" customHeight="1">
      <c r="A480" s="1"/>
      <c r="B480" s="1"/>
      <c r="F480" s="1"/>
      <c r="AM480" s="1"/>
    </row>
    <row r="481" ht="14.25" customHeight="1">
      <c r="A481" s="1"/>
      <c r="B481" s="1"/>
      <c r="F481" s="1"/>
      <c r="AM481" s="1"/>
    </row>
    <row r="482" ht="14.25" customHeight="1">
      <c r="A482" s="1"/>
      <c r="B482" s="1"/>
      <c r="F482" s="1"/>
      <c r="AM482" s="1"/>
    </row>
    <row r="483" ht="14.25" customHeight="1">
      <c r="A483" s="1"/>
      <c r="B483" s="1"/>
      <c r="F483" s="1"/>
      <c r="AM483" s="1"/>
    </row>
    <row r="484" ht="14.25" customHeight="1">
      <c r="A484" s="1"/>
      <c r="B484" s="1"/>
      <c r="F484" s="1"/>
      <c r="AM484" s="1"/>
    </row>
    <row r="485" ht="14.25" customHeight="1">
      <c r="A485" s="1"/>
      <c r="B485" s="1"/>
      <c r="F485" s="1"/>
      <c r="AM485" s="1"/>
    </row>
    <row r="486" ht="14.25" customHeight="1">
      <c r="A486" s="1"/>
      <c r="B486" s="1"/>
      <c r="F486" s="1"/>
      <c r="AM486" s="1"/>
    </row>
    <row r="487" ht="14.25" customHeight="1">
      <c r="A487" s="1"/>
      <c r="B487" s="1"/>
      <c r="F487" s="1"/>
      <c r="AM487" s="1"/>
    </row>
    <row r="488" ht="14.25" customHeight="1">
      <c r="A488" s="1"/>
      <c r="B488" s="1"/>
      <c r="F488" s="1"/>
      <c r="AM488" s="1"/>
    </row>
    <row r="489" ht="14.25" customHeight="1">
      <c r="A489" s="1"/>
      <c r="B489" s="1"/>
      <c r="F489" s="1"/>
      <c r="AM489" s="1"/>
    </row>
    <row r="490" ht="14.25" customHeight="1">
      <c r="A490" s="1"/>
      <c r="B490" s="1"/>
      <c r="F490" s="1"/>
      <c r="AM490" s="1"/>
    </row>
    <row r="491" ht="14.25" customHeight="1">
      <c r="A491" s="1"/>
      <c r="B491" s="1"/>
      <c r="F491" s="1"/>
      <c r="AM491" s="1"/>
    </row>
    <row r="492" ht="14.25" customHeight="1">
      <c r="A492" s="1"/>
      <c r="B492" s="1"/>
      <c r="F492" s="1"/>
      <c r="AM492" s="1"/>
    </row>
    <row r="493" ht="14.25" customHeight="1">
      <c r="A493" s="1"/>
      <c r="B493" s="1"/>
      <c r="F493" s="1"/>
      <c r="AM493" s="1"/>
    </row>
    <row r="494" ht="14.25" customHeight="1">
      <c r="A494" s="1"/>
      <c r="B494" s="1"/>
      <c r="F494" s="1"/>
      <c r="AM494" s="1"/>
    </row>
    <row r="495" ht="14.25" customHeight="1">
      <c r="A495" s="1"/>
      <c r="B495" s="1"/>
      <c r="F495" s="1"/>
      <c r="AM495" s="1"/>
    </row>
    <row r="496" ht="14.25" customHeight="1">
      <c r="A496" s="1"/>
      <c r="B496" s="1"/>
      <c r="F496" s="1"/>
      <c r="AM496" s="1"/>
    </row>
    <row r="497" ht="14.25" customHeight="1">
      <c r="A497" s="1"/>
      <c r="B497" s="1"/>
      <c r="F497" s="1"/>
      <c r="AM497" s="1"/>
    </row>
    <row r="498" ht="14.25" customHeight="1">
      <c r="A498" s="1"/>
      <c r="B498" s="1"/>
      <c r="F498" s="1"/>
      <c r="AM498" s="1"/>
    </row>
    <row r="499" ht="14.25" customHeight="1">
      <c r="A499" s="1"/>
      <c r="B499" s="1"/>
      <c r="F499" s="1"/>
      <c r="AM499" s="1"/>
    </row>
    <row r="500" ht="14.25" customHeight="1">
      <c r="A500" s="1"/>
      <c r="B500" s="1"/>
      <c r="F500" s="1"/>
      <c r="AM500" s="1"/>
    </row>
    <row r="501" ht="14.25" customHeight="1">
      <c r="A501" s="1"/>
      <c r="B501" s="1"/>
      <c r="F501" s="1"/>
      <c r="AM501" s="1"/>
    </row>
    <row r="502" ht="14.25" customHeight="1">
      <c r="A502" s="1"/>
      <c r="B502" s="1"/>
      <c r="F502" s="1"/>
      <c r="AM502" s="1"/>
    </row>
    <row r="503" ht="14.25" customHeight="1">
      <c r="A503" s="1"/>
      <c r="B503" s="1"/>
      <c r="F503" s="1"/>
      <c r="AM503" s="1"/>
    </row>
    <row r="504" ht="14.25" customHeight="1">
      <c r="A504" s="1"/>
      <c r="B504" s="1"/>
      <c r="F504" s="1"/>
      <c r="AM504" s="1"/>
    </row>
    <row r="505" ht="14.25" customHeight="1">
      <c r="A505" s="1"/>
      <c r="B505" s="1"/>
      <c r="F505" s="1"/>
      <c r="AM505" s="1"/>
    </row>
    <row r="506" ht="14.25" customHeight="1">
      <c r="A506" s="1"/>
      <c r="B506" s="1"/>
      <c r="F506" s="1"/>
      <c r="AM506" s="1"/>
    </row>
    <row r="507" ht="14.25" customHeight="1">
      <c r="A507" s="1"/>
      <c r="B507" s="1"/>
      <c r="F507" s="1"/>
      <c r="AM507" s="1"/>
    </row>
    <row r="508" ht="14.25" customHeight="1">
      <c r="A508" s="1"/>
      <c r="B508" s="1"/>
      <c r="F508" s="1"/>
      <c r="AM508" s="1"/>
    </row>
    <row r="509" ht="14.25" customHeight="1">
      <c r="A509" s="1"/>
      <c r="B509" s="1"/>
      <c r="F509" s="1"/>
      <c r="AM509" s="1"/>
    </row>
    <row r="510" ht="14.25" customHeight="1">
      <c r="A510" s="1"/>
      <c r="B510" s="1"/>
      <c r="F510" s="1"/>
      <c r="AM510" s="1"/>
    </row>
    <row r="511" ht="14.25" customHeight="1">
      <c r="A511" s="1"/>
      <c r="B511" s="1"/>
      <c r="F511" s="1"/>
      <c r="AM511" s="1"/>
    </row>
    <row r="512" ht="14.25" customHeight="1">
      <c r="A512" s="1"/>
      <c r="B512" s="1"/>
      <c r="F512" s="1"/>
      <c r="AM512" s="1"/>
    </row>
    <row r="513" ht="14.25" customHeight="1">
      <c r="A513" s="1"/>
      <c r="B513" s="1"/>
      <c r="F513" s="1"/>
      <c r="AM513" s="1"/>
    </row>
    <row r="514" ht="14.25" customHeight="1">
      <c r="A514" s="1"/>
      <c r="B514" s="1"/>
      <c r="F514" s="1"/>
      <c r="AM514" s="1"/>
    </row>
    <row r="515" ht="14.25" customHeight="1">
      <c r="A515" s="1"/>
      <c r="B515" s="1"/>
      <c r="F515" s="1"/>
      <c r="AM515" s="1"/>
    </row>
    <row r="516" ht="14.25" customHeight="1">
      <c r="A516" s="1"/>
      <c r="B516" s="1"/>
      <c r="F516" s="1"/>
      <c r="AM516" s="1"/>
    </row>
    <row r="517" ht="14.25" customHeight="1">
      <c r="A517" s="1"/>
      <c r="B517" s="1"/>
      <c r="F517" s="1"/>
      <c r="AM517" s="1"/>
    </row>
    <row r="518" ht="14.25" customHeight="1">
      <c r="A518" s="1"/>
      <c r="B518" s="1"/>
      <c r="F518" s="1"/>
      <c r="AM518" s="1"/>
    </row>
    <row r="519" ht="14.25" customHeight="1">
      <c r="A519" s="1"/>
      <c r="B519" s="1"/>
      <c r="F519" s="1"/>
      <c r="AM519" s="1"/>
    </row>
    <row r="520" ht="14.25" customHeight="1">
      <c r="A520" s="1"/>
      <c r="B520" s="1"/>
      <c r="F520" s="1"/>
      <c r="AM520" s="1"/>
    </row>
    <row r="521" ht="14.25" customHeight="1">
      <c r="A521" s="1"/>
      <c r="B521" s="1"/>
      <c r="F521" s="1"/>
      <c r="AM521" s="1"/>
    </row>
    <row r="522" ht="14.25" customHeight="1">
      <c r="A522" s="1"/>
      <c r="B522" s="1"/>
      <c r="F522" s="1"/>
      <c r="AM522" s="1"/>
    </row>
    <row r="523" ht="14.25" customHeight="1">
      <c r="A523" s="1"/>
      <c r="B523" s="1"/>
      <c r="F523" s="1"/>
      <c r="AM523" s="1"/>
    </row>
    <row r="524" ht="14.25" customHeight="1">
      <c r="A524" s="1"/>
      <c r="B524" s="1"/>
      <c r="F524" s="1"/>
      <c r="AM524" s="1"/>
    </row>
    <row r="525" ht="14.25" customHeight="1">
      <c r="A525" s="1"/>
      <c r="B525" s="1"/>
      <c r="F525" s="1"/>
      <c r="AM525" s="1"/>
    </row>
    <row r="526" ht="14.25" customHeight="1">
      <c r="A526" s="1"/>
      <c r="B526" s="1"/>
      <c r="F526" s="1"/>
      <c r="AM526" s="1"/>
    </row>
    <row r="527" ht="14.25" customHeight="1">
      <c r="A527" s="1"/>
      <c r="B527" s="1"/>
      <c r="F527" s="1"/>
      <c r="AM527" s="1"/>
    </row>
    <row r="528" ht="14.25" customHeight="1">
      <c r="A528" s="1"/>
      <c r="B528" s="1"/>
      <c r="F528" s="1"/>
      <c r="AM528" s="1"/>
    </row>
    <row r="529" ht="14.25" customHeight="1">
      <c r="A529" s="1"/>
      <c r="B529" s="1"/>
      <c r="F529" s="1"/>
      <c r="AM529" s="1"/>
    </row>
    <row r="530" ht="14.25" customHeight="1">
      <c r="A530" s="1"/>
      <c r="B530" s="1"/>
      <c r="F530" s="1"/>
      <c r="AM530" s="1"/>
    </row>
    <row r="531" ht="14.25" customHeight="1">
      <c r="A531" s="1"/>
      <c r="B531" s="1"/>
      <c r="F531" s="1"/>
      <c r="AM531" s="1"/>
    </row>
    <row r="532" ht="14.25" customHeight="1">
      <c r="A532" s="1"/>
      <c r="B532" s="1"/>
      <c r="F532" s="1"/>
      <c r="AM532" s="1"/>
    </row>
    <row r="533" ht="14.25" customHeight="1">
      <c r="A533" s="1"/>
      <c r="B533" s="1"/>
      <c r="F533" s="1"/>
      <c r="AM533" s="1"/>
    </row>
    <row r="534" ht="14.25" customHeight="1">
      <c r="A534" s="1"/>
      <c r="B534" s="1"/>
      <c r="F534" s="1"/>
      <c r="AM534" s="1"/>
    </row>
    <row r="535" ht="14.25" customHeight="1">
      <c r="A535" s="1"/>
      <c r="B535" s="1"/>
      <c r="F535" s="1"/>
      <c r="AM535" s="1"/>
    </row>
    <row r="536" ht="14.25" customHeight="1">
      <c r="A536" s="1"/>
      <c r="B536" s="1"/>
      <c r="F536" s="1"/>
      <c r="AM536" s="1"/>
    </row>
    <row r="537" ht="14.25" customHeight="1">
      <c r="A537" s="1"/>
      <c r="B537" s="1"/>
      <c r="F537" s="1"/>
      <c r="AM537" s="1"/>
    </row>
    <row r="538" ht="14.25" customHeight="1">
      <c r="A538" s="1"/>
      <c r="B538" s="1"/>
      <c r="F538" s="1"/>
      <c r="AM538" s="1"/>
    </row>
    <row r="539" ht="14.25" customHeight="1">
      <c r="A539" s="1"/>
      <c r="B539" s="1"/>
      <c r="F539" s="1"/>
      <c r="AM539" s="1"/>
    </row>
    <row r="540" ht="14.25" customHeight="1">
      <c r="A540" s="1"/>
      <c r="B540" s="1"/>
      <c r="F540" s="1"/>
      <c r="AM540" s="1"/>
    </row>
    <row r="541" ht="14.25" customHeight="1">
      <c r="A541" s="1"/>
      <c r="B541" s="1"/>
      <c r="F541" s="1"/>
      <c r="AM541" s="1"/>
    </row>
    <row r="542" ht="14.25" customHeight="1">
      <c r="A542" s="1"/>
      <c r="B542" s="1"/>
      <c r="F542" s="1"/>
      <c r="AM542" s="1"/>
    </row>
    <row r="543" ht="14.25" customHeight="1">
      <c r="A543" s="1"/>
      <c r="B543" s="1"/>
      <c r="F543" s="1"/>
      <c r="AM543" s="1"/>
    </row>
    <row r="544" ht="14.25" customHeight="1">
      <c r="A544" s="1"/>
      <c r="B544" s="1"/>
      <c r="F544" s="1"/>
      <c r="AM544" s="1"/>
    </row>
    <row r="545" ht="14.25" customHeight="1">
      <c r="A545" s="1"/>
      <c r="B545" s="1"/>
      <c r="F545" s="1"/>
      <c r="AM545" s="1"/>
    </row>
    <row r="546" ht="14.25" customHeight="1">
      <c r="A546" s="1"/>
      <c r="B546" s="1"/>
      <c r="F546" s="1"/>
      <c r="AM546" s="1"/>
    </row>
    <row r="547" ht="14.25" customHeight="1">
      <c r="A547" s="1"/>
      <c r="B547" s="1"/>
      <c r="F547" s="1"/>
      <c r="AM547" s="1"/>
    </row>
    <row r="548" ht="14.25" customHeight="1">
      <c r="A548" s="1"/>
      <c r="B548" s="1"/>
      <c r="F548" s="1"/>
      <c r="AM548" s="1"/>
    </row>
    <row r="549" ht="14.25" customHeight="1">
      <c r="A549" s="1"/>
      <c r="B549" s="1"/>
      <c r="F549" s="1"/>
      <c r="AM549" s="1"/>
    </row>
    <row r="550" ht="14.25" customHeight="1">
      <c r="A550" s="1"/>
      <c r="B550" s="1"/>
      <c r="F550" s="1"/>
      <c r="AM550" s="1"/>
    </row>
    <row r="551" ht="14.25" customHeight="1">
      <c r="A551" s="1"/>
      <c r="B551" s="1"/>
      <c r="F551" s="1"/>
      <c r="AM551" s="1"/>
    </row>
    <row r="552" ht="14.25" customHeight="1">
      <c r="A552" s="1"/>
      <c r="B552" s="1"/>
      <c r="F552" s="1"/>
      <c r="AM552" s="1"/>
    </row>
    <row r="553" ht="14.25" customHeight="1">
      <c r="A553" s="1"/>
      <c r="B553" s="1"/>
      <c r="F553" s="1"/>
      <c r="AM553" s="1"/>
    </row>
    <row r="554" ht="14.25" customHeight="1">
      <c r="A554" s="1"/>
      <c r="B554" s="1"/>
      <c r="F554" s="1"/>
      <c r="AM554" s="1"/>
    </row>
    <row r="555" ht="14.25" customHeight="1">
      <c r="A555" s="1"/>
      <c r="B555" s="1"/>
      <c r="F555" s="1"/>
      <c r="AM555" s="1"/>
    </row>
    <row r="556" ht="14.25" customHeight="1">
      <c r="A556" s="1"/>
      <c r="B556" s="1"/>
      <c r="F556" s="1"/>
      <c r="AM556" s="1"/>
    </row>
    <row r="557" ht="14.25" customHeight="1">
      <c r="A557" s="1"/>
      <c r="B557" s="1"/>
      <c r="F557" s="1"/>
      <c r="AM557" s="1"/>
    </row>
    <row r="558" ht="14.25" customHeight="1">
      <c r="A558" s="1"/>
      <c r="B558" s="1"/>
      <c r="F558" s="1"/>
      <c r="AM558" s="1"/>
    </row>
    <row r="559" ht="14.25" customHeight="1">
      <c r="A559" s="1"/>
      <c r="B559" s="1"/>
      <c r="F559" s="1"/>
      <c r="AM559" s="1"/>
    </row>
    <row r="560" ht="14.25" customHeight="1">
      <c r="A560" s="1"/>
      <c r="B560" s="1"/>
      <c r="F560" s="1"/>
      <c r="AM560" s="1"/>
    </row>
    <row r="561" ht="14.25" customHeight="1">
      <c r="A561" s="1"/>
      <c r="B561" s="1"/>
      <c r="F561" s="1"/>
      <c r="AM561" s="1"/>
    </row>
    <row r="562" ht="14.25" customHeight="1">
      <c r="A562" s="1"/>
      <c r="B562" s="1"/>
      <c r="F562" s="1"/>
      <c r="AM562" s="1"/>
    </row>
    <row r="563" ht="14.25" customHeight="1">
      <c r="A563" s="1"/>
      <c r="B563" s="1"/>
      <c r="F563" s="1"/>
      <c r="AM563" s="1"/>
    </row>
    <row r="564" ht="14.25" customHeight="1">
      <c r="A564" s="1"/>
      <c r="B564" s="1"/>
      <c r="F564" s="1"/>
      <c r="AM564" s="1"/>
    </row>
    <row r="565" ht="14.25" customHeight="1">
      <c r="A565" s="1"/>
      <c r="B565" s="1"/>
      <c r="F565" s="1"/>
      <c r="AM565" s="1"/>
    </row>
    <row r="566" ht="14.25" customHeight="1">
      <c r="A566" s="1"/>
      <c r="B566" s="1"/>
      <c r="F566" s="1"/>
      <c r="AM566" s="1"/>
    </row>
    <row r="567" ht="14.25" customHeight="1">
      <c r="A567" s="1"/>
      <c r="B567" s="1"/>
      <c r="F567" s="1"/>
      <c r="AM567" s="1"/>
    </row>
    <row r="568" ht="14.25" customHeight="1">
      <c r="A568" s="1"/>
      <c r="B568" s="1"/>
      <c r="F568" s="1"/>
      <c r="AM568" s="1"/>
    </row>
    <row r="569" ht="14.25" customHeight="1">
      <c r="A569" s="1"/>
      <c r="B569" s="1"/>
      <c r="F569" s="1"/>
      <c r="AM569" s="1"/>
    </row>
    <row r="570" ht="14.25" customHeight="1">
      <c r="A570" s="1"/>
      <c r="B570" s="1"/>
      <c r="F570" s="1"/>
      <c r="AM570" s="1"/>
    </row>
    <row r="571" ht="14.25" customHeight="1">
      <c r="A571" s="1"/>
      <c r="B571" s="1"/>
      <c r="F571" s="1"/>
      <c r="AM571" s="1"/>
    </row>
    <row r="572" ht="14.25" customHeight="1">
      <c r="A572" s="1"/>
      <c r="B572" s="1"/>
      <c r="F572" s="1"/>
      <c r="AM572" s="1"/>
    </row>
    <row r="573" ht="14.25" customHeight="1">
      <c r="A573" s="1"/>
      <c r="B573" s="1"/>
      <c r="F573" s="1"/>
      <c r="AM573" s="1"/>
    </row>
    <row r="574" ht="14.25" customHeight="1">
      <c r="A574" s="1"/>
      <c r="B574" s="1"/>
      <c r="F574" s="1"/>
      <c r="AM574" s="1"/>
    </row>
    <row r="575" ht="14.25" customHeight="1">
      <c r="A575" s="1"/>
      <c r="B575" s="1"/>
      <c r="F575" s="1"/>
      <c r="AM575" s="1"/>
    </row>
    <row r="576" ht="14.25" customHeight="1">
      <c r="A576" s="1"/>
      <c r="B576" s="1"/>
      <c r="F576" s="1"/>
      <c r="AM576" s="1"/>
    </row>
    <row r="577" ht="14.25" customHeight="1">
      <c r="A577" s="1"/>
      <c r="B577" s="1"/>
      <c r="F577" s="1"/>
      <c r="AM577" s="1"/>
    </row>
    <row r="578" ht="14.25" customHeight="1">
      <c r="A578" s="1"/>
      <c r="B578" s="1"/>
      <c r="F578" s="1"/>
      <c r="AM578" s="1"/>
    </row>
    <row r="579" ht="14.25" customHeight="1">
      <c r="A579" s="1"/>
      <c r="B579" s="1"/>
      <c r="F579" s="1"/>
      <c r="AM579" s="1"/>
    </row>
    <row r="580" ht="14.25" customHeight="1">
      <c r="A580" s="1"/>
      <c r="B580" s="1"/>
      <c r="F580" s="1"/>
      <c r="AM580" s="1"/>
    </row>
    <row r="581" ht="14.25" customHeight="1">
      <c r="A581" s="1"/>
      <c r="B581" s="1"/>
      <c r="F581" s="1"/>
      <c r="AM581" s="1"/>
    </row>
    <row r="582" ht="14.25" customHeight="1">
      <c r="A582" s="1"/>
      <c r="B582" s="1"/>
      <c r="F582" s="1"/>
      <c r="AM582" s="1"/>
    </row>
    <row r="583" ht="14.25" customHeight="1">
      <c r="A583" s="1"/>
      <c r="B583" s="1"/>
      <c r="F583" s="1"/>
      <c r="AM583" s="1"/>
    </row>
    <row r="584" ht="14.25" customHeight="1">
      <c r="A584" s="1"/>
      <c r="B584" s="1"/>
      <c r="F584" s="1"/>
      <c r="AM584" s="1"/>
    </row>
    <row r="585" ht="14.25" customHeight="1">
      <c r="A585" s="1"/>
      <c r="B585" s="1"/>
      <c r="F585" s="1"/>
      <c r="AM585" s="1"/>
    </row>
    <row r="586" ht="14.25" customHeight="1">
      <c r="A586" s="1"/>
      <c r="B586" s="1"/>
      <c r="F586" s="1"/>
      <c r="AM586" s="1"/>
    </row>
    <row r="587" ht="14.25" customHeight="1">
      <c r="A587" s="1"/>
      <c r="B587" s="1"/>
      <c r="F587" s="1"/>
      <c r="AM587" s="1"/>
    </row>
    <row r="588" ht="14.25" customHeight="1">
      <c r="A588" s="1"/>
      <c r="B588" s="1"/>
      <c r="F588" s="1"/>
      <c r="AM588" s="1"/>
    </row>
    <row r="589" ht="14.25" customHeight="1">
      <c r="A589" s="1"/>
      <c r="B589" s="1"/>
      <c r="F589" s="1"/>
      <c r="AM589" s="1"/>
    </row>
    <row r="590" ht="14.25" customHeight="1">
      <c r="A590" s="1"/>
      <c r="B590" s="1"/>
      <c r="F590" s="1"/>
      <c r="AM590" s="1"/>
    </row>
    <row r="591" ht="14.25" customHeight="1">
      <c r="A591" s="1"/>
      <c r="B591" s="1"/>
      <c r="F591" s="1"/>
      <c r="AM591" s="1"/>
    </row>
    <row r="592" ht="14.25" customHeight="1">
      <c r="A592" s="1"/>
      <c r="B592" s="1"/>
      <c r="F592" s="1"/>
      <c r="AM592" s="1"/>
    </row>
    <row r="593" ht="14.25" customHeight="1">
      <c r="A593" s="1"/>
      <c r="B593" s="1"/>
      <c r="F593" s="1"/>
      <c r="AM593" s="1"/>
    </row>
    <row r="594" ht="14.25" customHeight="1">
      <c r="A594" s="1"/>
      <c r="B594" s="1"/>
      <c r="F594" s="1"/>
      <c r="AM594" s="1"/>
    </row>
    <row r="595" ht="14.25" customHeight="1">
      <c r="A595" s="1"/>
      <c r="B595" s="1"/>
      <c r="F595" s="1"/>
      <c r="AM595" s="1"/>
    </row>
    <row r="596" ht="14.25" customHeight="1">
      <c r="A596" s="1"/>
      <c r="B596" s="1"/>
      <c r="F596" s="1"/>
      <c r="AM596" s="1"/>
    </row>
    <row r="597" ht="14.25" customHeight="1">
      <c r="A597" s="1"/>
      <c r="B597" s="1"/>
      <c r="F597" s="1"/>
      <c r="AM597" s="1"/>
    </row>
    <row r="598" ht="14.25" customHeight="1">
      <c r="A598" s="1"/>
      <c r="B598" s="1"/>
      <c r="F598" s="1"/>
      <c r="AM598" s="1"/>
    </row>
    <row r="599" ht="14.25" customHeight="1">
      <c r="A599" s="1"/>
      <c r="B599" s="1"/>
      <c r="F599" s="1"/>
      <c r="AM599" s="1"/>
    </row>
    <row r="600" ht="14.25" customHeight="1">
      <c r="A600" s="1"/>
      <c r="B600" s="1"/>
      <c r="F600" s="1"/>
      <c r="AM600" s="1"/>
    </row>
    <row r="601" ht="14.25" customHeight="1">
      <c r="A601" s="1"/>
      <c r="B601" s="1"/>
      <c r="F601" s="1"/>
      <c r="AM601" s="1"/>
    </row>
    <row r="602" ht="14.25" customHeight="1">
      <c r="A602" s="1"/>
      <c r="B602" s="1"/>
      <c r="F602" s="1"/>
      <c r="AM602" s="1"/>
    </row>
    <row r="603" ht="14.25" customHeight="1">
      <c r="A603" s="1"/>
      <c r="B603" s="1"/>
      <c r="F603" s="1"/>
      <c r="AM603" s="1"/>
    </row>
    <row r="604" ht="14.25" customHeight="1">
      <c r="A604" s="1"/>
      <c r="B604" s="1"/>
      <c r="F604" s="1"/>
      <c r="AM604" s="1"/>
    </row>
    <row r="605" ht="14.25" customHeight="1">
      <c r="A605" s="1"/>
      <c r="B605" s="1"/>
      <c r="F605" s="1"/>
      <c r="AM605" s="1"/>
    </row>
    <row r="606" ht="14.25" customHeight="1">
      <c r="A606" s="1"/>
      <c r="B606" s="1"/>
      <c r="F606" s="1"/>
      <c r="AM606" s="1"/>
    </row>
    <row r="607" ht="14.25" customHeight="1">
      <c r="A607" s="1"/>
      <c r="B607" s="1"/>
      <c r="F607" s="1"/>
      <c r="AM607" s="1"/>
    </row>
    <row r="608" ht="14.25" customHeight="1">
      <c r="A608" s="1"/>
      <c r="B608" s="1"/>
      <c r="F608" s="1"/>
      <c r="AM608" s="1"/>
    </row>
    <row r="609" ht="14.25" customHeight="1">
      <c r="A609" s="1"/>
      <c r="B609" s="1"/>
      <c r="F609" s="1"/>
      <c r="AM609" s="1"/>
    </row>
    <row r="610" ht="14.25" customHeight="1">
      <c r="A610" s="1"/>
      <c r="B610" s="1"/>
      <c r="F610" s="1"/>
      <c r="AM610" s="1"/>
    </row>
    <row r="611" ht="14.25" customHeight="1">
      <c r="A611" s="1"/>
      <c r="B611" s="1"/>
      <c r="F611" s="1"/>
      <c r="AM611" s="1"/>
    </row>
    <row r="612" ht="14.25" customHeight="1">
      <c r="A612" s="1"/>
      <c r="B612" s="1"/>
      <c r="F612" s="1"/>
      <c r="AM612" s="1"/>
    </row>
    <row r="613" ht="14.25" customHeight="1">
      <c r="A613" s="1"/>
      <c r="B613" s="1"/>
      <c r="F613" s="1"/>
      <c r="AM613" s="1"/>
    </row>
    <row r="614" ht="14.25" customHeight="1">
      <c r="A614" s="1"/>
      <c r="B614" s="1"/>
      <c r="F614" s="1"/>
      <c r="AM614" s="1"/>
    </row>
    <row r="615" ht="14.25" customHeight="1">
      <c r="A615" s="1"/>
      <c r="B615" s="1"/>
      <c r="F615" s="1"/>
      <c r="AM615" s="1"/>
    </row>
    <row r="616" ht="14.25" customHeight="1">
      <c r="A616" s="1"/>
      <c r="B616" s="1"/>
      <c r="F616" s="1"/>
      <c r="AM616" s="1"/>
    </row>
    <row r="617" ht="14.25" customHeight="1">
      <c r="A617" s="1"/>
      <c r="B617" s="1"/>
      <c r="F617" s="1"/>
      <c r="AM617" s="1"/>
    </row>
    <row r="618" ht="14.25" customHeight="1">
      <c r="A618" s="1"/>
      <c r="B618" s="1"/>
      <c r="F618" s="1"/>
      <c r="AM618" s="1"/>
    </row>
    <row r="619" ht="14.25" customHeight="1">
      <c r="A619" s="1"/>
      <c r="B619" s="1"/>
      <c r="F619" s="1"/>
      <c r="AM619" s="1"/>
    </row>
    <row r="620" ht="14.25" customHeight="1">
      <c r="A620" s="1"/>
      <c r="B620" s="1"/>
      <c r="F620" s="1"/>
      <c r="AM620" s="1"/>
    </row>
    <row r="621" ht="14.25" customHeight="1">
      <c r="A621" s="1"/>
      <c r="B621" s="1"/>
      <c r="F621" s="1"/>
      <c r="AM621" s="1"/>
    </row>
    <row r="622" ht="14.25" customHeight="1">
      <c r="A622" s="1"/>
      <c r="B622" s="1"/>
      <c r="F622" s="1"/>
      <c r="AM622" s="1"/>
    </row>
    <row r="623" ht="14.25" customHeight="1">
      <c r="A623" s="1"/>
      <c r="B623" s="1"/>
      <c r="F623" s="1"/>
      <c r="AM623" s="1"/>
    </row>
    <row r="624" ht="14.25" customHeight="1">
      <c r="A624" s="1"/>
      <c r="B624" s="1"/>
      <c r="F624" s="1"/>
      <c r="AM624" s="1"/>
    </row>
    <row r="625" ht="14.25" customHeight="1">
      <c r="A625" s="1"/>
      <c r="B625" s="1"/>
      <c r="F625" s="1"/>
      <c r="AM625" s="1"/>
    </row>
    <row r="626" ht="14.25" customHeight="1">
      <c r="A626" s="1"/>
      <c r="B626" s="1"/>
      <c r="F626" s="1"/>
      <c r="AM626" s="1"/>
    </row>
    <row r="627" ht="14.25" customHeight="1">
      <c r="A627" s="1"/>
      <c r="B627" s="1"/>
      <c r="F627" s="1"/>
      <c r="AM627" s="1"/>
    </row>
    <row r="628" ht="14.25" customHeight="1">
      <c r="A628" s="1"/>
      <c r="B628" s="1"/>
      <c r="F628" s="1"/>
      <c r="AM628" s="1"/>
    </row>
    <row r="629" ht="14.25" customHeight="1">
      <c r="A629" s="1"/>
      <c r="B629" s="1"/>
      <c r="F629" s="1"/>
      <c r="AM629" s="1"/>
    </row>
    <row r="630" ht="14.25" customHeight="1">
      <c r="A630" s="1"/>
      <c r="B630" s="1"/>
      <c r="F630" s="1"/>
      <c r="AM630" s="1"/>
    </row>
    <row r="631" ht="14.25" customHeight="1">
      <c r="A631" s="1"/>
      <c r="B631" s="1"/>
      <c r="F631" s="1"/>
      <c r="AM631" s="1"/>
    </row>
    <row r="632" ht="14.25" customHeight="1">
      <c r="A632" s="1"/>
      <c r="B632" s="1"/>
      <c r="F632" s="1"/>
      <c r="AM632" s="1"/>
    </row>
    <row r="633" ht="14.25" customHeight="1">
      <c r="A633" s="1"/>
      <c r="B633" s="1"/>
      <c r="F633" s="1"/>
      <c r="AM633" s="1"/>
    </row>
    <row r="634" ht="14.25" customHeight="1">
      <c r="A634" s="1"/>
      <c r="B634" s="1"/>
      <c r="F634" s="1"/>
      <c r="AM634" s="1"/>
    </row>
    <row r="635" ht="14.25" customHeight="1">
      <c r="A635" s="1"/>
      <c r="B635" s="1"/>
      <c r="F635" s="1"/>
      <c r="AM635" s="1"/>
    </row>
    <row r="636" ht="14.25" customHeight="1">
      <c r="A636" s="1"/>
      <c r="B636" s="1"/>
      <c r="F636" s="1"/>
      <c r="AM636" s="1"/>
    </row>
    <row r="637" ht="14.25" customHeight="1">
      <c r="A637" s="1"/>
      <c r="B637" s="1"/>
      <c r="F637" s="1"/>
      <c r="AM637" s="1"/>
    </row>
    <row r="638" ht="14.25" customHeight="1">
      <c r="A638" s="1"/>
      <c r="B638" s="1"/>
      <c r="F638" s="1"/>
      <c r="AM638" s="1"/>
    </row>
    <row r="639" ht="14.25" customHeight="1">
      <c r="A639" s="1"/>
      <c r="B639" s="1"/>
      <c r="F639" s="1"/>
      <c r="AM639" s="1"/>
    </row>
    <row r="640" ht="14.25" customHeight="1">
      <c r="A640" s="1"/>
      <c r="B640" s="1"/>
      <c r="F640" s="1"/>
      <c r="AM640" s="1"/>
    </row>
    <row r="641" ht="14.25" customHeight="1">
      <c r="A641" s="1"/>
      <c r="B641" s="1"/>
      <c r="F641" s="1"/>
      <c r="AM641" s="1"/>
    </row>
    <row r="642" ht="14.25" customHeight="1">
      <c r="A642" s="1"/>
      <c r="B642" s="1"/>
      <c r="F642" s="1"/>
      <c r="AM642" s="1"/>
    </row>
    <row r="643" ht="14.25" customHeight="1">
      <c r="A643" s="1"/>
      <c r="B643" s="1"/>
      <c r="F643" s="1"/>
      <c r="AM643" s="1"/>
    </row>
    <row r="644" ht="14.25" customHeight="1">
      <c r="A644" s="1"/>
      <c r="B644" s="1"/>
      <c r="F644" s="1"/>
      <c r="AM644" s="1"/>
    </row>
    <row r="645" ht="14.25" customHeight="1">
      <c r="A645" s="1"/>
      <c r="B645" s="1"/>
      <c r="F645" s="1"/>
      <c r="AM645" s="1"/>
    </row>
    <row r="646" ht="14.25" customHeight="1">
      <c r="A646" s="1"/>
      <c r="B646" s="1"/>
      <c r="F646" s="1"/>
      <c r="AM646" s="1"/>
    </row>
    <row r="647" ht="14.25" customHeight="1">
      <c r="A647" s="1"/>
      <c r="B647" s="1"/>
      <c r="F647" s="1"/>
      <c r="AM647" s="1"/>
    </row>
    <row r="648" ht="14.25" customHeight="1">
      <c r="A648" s="1"/>
      <c r="B648" s="1"/>
      <c r="F648" s="1"/>
      <c r="AM648" s="1"/>
    </row>
    <row r="649" ht="14.25" customHeight="1">
      <c r="A649" s="1"/>
      <c r="B649" s="1"/>
      <c r="F649" s="1"/>
      <c r="AM649" s="1"/>
    </row>
    <row r="650" ht="14.25" customHeight="1">
      <c r="A650" s="1"/>
      <c r="B650" s="1"/>
      <c r="F650" s="1"/>
      <c r="AM650" s="1"/>
    </row>
    <row r="651" ht="14.25" customHeight="1">
      <c r="A651" s="1"/>
      <c r="B651" s="1"/>
      <c r="F651" s="1"/>
      <c r="AM651" s="1"/>
    </row>
    <row r="652" ht="14.25" customHeight="1">
      <c r="A652" s="1"/>
      <c r="B652" s="1"/>
      <c r="F652" s="1"/>
      <c r="AM652" s="1"/>
    </row>
    <row r="653" ht="14.25" customHeight="1">
      <c r="A653" s="1"/>
      <c r="B653" s="1"/>
      <c r="F653" s="1"/>
      <c r="AM653" s="1"/>
    </row>
    <row r="654" ht="14.25" customHeight="1">
      <c r="A654" s="1"/>
      <c r="B654" s="1"/>
      <c r="F654" s="1"/>
      <c r="AM654" s="1"/>
    </row>
    <row r="655" ht="14.25" customHeight="1">
      <c r="A655" s="1"/>
      <c r="B655" s="1"/>
      <c r="F655" s="1"/>
      <c r="AM655" s="1"/>
    </row>
    <row r="656" ht="14.25" customHeight="1">
      <c r="A656" s="1"/>
      <c r="B656" s="1"/>
      <c r="F656" s="1"/>
      <c r="AM656" s="1"/>
    </row>
    <row r="657" ht="14.25" customHeight="1">
      <c r="A657" s="1"/>
      <c r="B657" s="1"/>
      <c r="F657" s="1"/>
      <c r="AM657" s="1"/>
    </row>
    <row r="658" ht="14.25" customHeight="1">
      <c r="A658" s="1"/>
      <c r="B658" s="1"/>
      <c r="F658" s="1"/>
      <c r="AM658" s="1"/>
    </row>
    <row r="659" ht="14.25" customHeight="1">
      <c r="A659" s="1"/>
      <c r="B659" s="1"/>
      <c r="F659" s="1"/>
      <c r="AM659" s="1"/>
    </row>
    <row r="660" ht="14.25" customHeight="1">
      <c r="A660" s="1"/>
      <c r="B660" s="1"/>
      <c r="F660" s="1"/>
      <c r="AM660" s="1"/>
    </row>
    <row r="661" ht="14.25" customHeight="1">
      <c r="A661" s="1"/>
      <c r="B661" s="1"/>
      <c r="F661" s="1"/>
      <c r="AM661" s="1"/>
    </row>
    <row r="662" ht="14.25" customHeight="1">
      <c r="A662" s="1"/>
      <c r="B662" s="1"/>
      <c r="F662" s="1"/>
      <c r="AM662" s="1"/>
    </row>
    <row r="663" ht="14.25" customHeight="1">
      <c r="A663" s="1"/>
      <c r="B663" s="1"/>
      <c r="F663" s="1"/>
      <c r="AM663" s="1"/>
    </row>
    <row r="664" ht="14.25" customHeight="1">
      <c r="A664" s="1"/>
      <c r="B664" s="1"/>
      <c r="F664" s="1"/>
      <c r="AM664" s="1"/>
    </row>
    <row r="665" ht="14.25" customHeight="1">
      <c r="A665" s="1"/>
      <c r="B665" s="1"/>
      <c r="F665" s="1"/>
      <c r="AM665" s="1"/>
    </row>
    <row r="666" ht="14.25" customHeight="1">
      <c r="A666" s="1"/>
      <c r="B666" s="1"/>
      <c r="F666" s="1"/>
      <c r="AM666" s="1"/>
    </row>
    <row r="667" ht="14.25" customHeight="1">
      <c r="A667" s="1"/>
      <c r="B667" s="1"/>
      <c r="F667" s="1"/>
      <c r="AM667" s="1"/>
    </row>
    <row r="668" ht="14.25" customHeight="1">
      <c r="A668" s="1"/>
      <c r="B668" s="1"/>
      <c r="F668" s="1"/>
      <c r="AM668" s="1"/>
    </row>
    <row r="669" ht="14.25" customHeight="1">
      <c r="A669" s="1"/>
      <c r="B669" s="1"/>
      <c r="F669" s="1"/>
      <c r="AM669" s="1"/>
    </row>
    <row r="670" ht="14.25" customHeight="1">
      <c r="A670" s="1"/>
      <c r="B670" s="1"/>
      <c r="F670" s="1"/>
      <c r="AM670" s="1"/>
    </row>
    <row r="671" ht="14.25" customHeight="1">
      <c r="A671" s="1"/>
      <c r="B671" s="1"/>
      <c r="F671" s="1"/>
      <c r="AM671" s="1"/>
    </row>
    <row r="672" ht="14.25" customHeight="1">
      <c r="A672" s="1"/>
      <c r="B672" s="1"/>
      <c r="F672" s="1"/>
      <c r="AM672" s="1"/>
    </row>
    <row r="673" ht="14.25" customHeight="1">
      <c r="A673" s="1"/>
      <c r="B673" s="1"/>
      <c r="F673" s="1"/>
      <c r="AM673" s="1"/>
    </row>
    <row r="674" ht="14.25" customHeight="1">
      <c r="A674" s="1"/>
      <c r="B674" s="1"/>
      <c r="F674" s="1"/>
      <c r="AM674" s="1"/>
    </row>
    <row r="675" ht="14.25" customHeight="1">
      <c r="A675" s="1"/>
      <c r="B675" s="1"/>
      <c r="F675" s="1"/>
      <c r="AM675" s="1"/>
    </row>
    <row r="676" ht="14.25" customHeight="1">
      <c r="A676" s="1"/>
      <c r="B676" s="1"/>
      <c r="F676" s="1"/>
      <c r="AM676" s="1"/>
    </row>
    <row r="677" ht="14.25" customHeight="1">
      <c r="A677" s="1"/>
      <c r="B677" s="1"/>
      <c r="F677" s="1"/>
      <c r="AM677" s="1"/>
    </row>
    <row r="678" ht="14.25" customHeight="1">
      <c r="A678" s="1"/>
      <c r="B678" s="1"/>
      <c r="F678" s="1"/>
      <c r="AM678" s="1"/>
    </row>
    <row r="679" ht="14.25" customHeight="1">
      <c r="A679" s="1"/>
      <c r="B679" s="1"/>
      <c r="F679" s="1"/>
      <c r="AM679" s="1"/>
    </row>
    <row r="680" ht="14.25" customHeight="1">
      <c r="A680" s="1"/>
      <c r="B680" s="1"/>
      <c r="F680" s="1"/>
      <c r="AM680" s="1"/>
    </row>
    <row r="681" ht="14.25" customHeight="1">
      <c r="A681" s="1"/>
      <c r="B681" s="1"/>
      <c r="F681" s="1"/>
      <c r="AM681" s="1"/>
    </row>
    <row r="682" ht="14.25" customHeight="1">
      <c r="A682" s="1"/>
      <c r="B682" s="1"/>
      <c r="F682" s="1"/>
      <c r="AM682" s="1"/>
    </row>
    <row r="683" ht="14.25" customHeight="1">
      <c r="A683" s="1"/>
      <c r="B683" s="1"/>
      <c r="F683" s="1"/>
      <c r="AM683" s="1"/>
    </row>
    <row r="684" ht="14.25" customHeight="1">
      <c r="A684" s="1"/>
      <c r="B684" s="1"/>
      <c r="F684" s="1"/>
      <c r="AM684" s="1"/>
    </row>
    <row r="685" ht="14.25" customHeight="1">
      <c r="A685" s="1"/>
      <c r="B685" s="1"/>
      <c r="F685" s="1"/>
      <c r="AM685" s="1"/>
    </row>
    <row r="686" ht="14.25" customHeight="1">
      <c r="A686" s="1"/>
      <c r="B686" s="1"/>
      <c r="F686" s="1"/>
      <c r="AM686" s="1"/>
    </row>
    <row r="687" ht="14.25" customHeight="1">
      <c r="A687" s="1"/>
      <c r="B687" s="1"/>
      <c r="F687" s="1"/>
      <c r="AM687" s="1"/>
    </row>
    <row r="688" ht="14.25" customHeight="1">
      <c r="A688" s="1"/>
      <c r="B688" s="1"/>
      <c r="F688" s="1"/>
      <c r="AM688" s="1"/>
    </row>
    <row r="689" ht="14.25" customHeight="1">
      <c r="A689" s="1"/>
      <c r="B689" s="1"/>
      <c r="F689" s="1"/>
      <c r="AM689" s="1"/>
    </row>
    <row r="690" ht="14.25" customHeight="1">
      <c r="A690" s="1"/>
      <c r="B690" s="1"/>
      <c r="F690" s="1"/>
      <c r="AM690" s="1"/>
    </row>
    <row r="691" ht="14.25" customHeight="1">
      <c r="A691" s="1"/>
      <c r="B691" s="1"/>
      <c r="F691" s="1"/>
      <c r="AM691" s="1"/>
    </row>
    <row r="692" ht="14.25" customHeight="1">
      <c r="A692" s="1"/>
      <c r="B692" s="1"/>
      <c r="F692" s="1"/>
      <c r="AM692" s="1"/>
    </row>
    <row r="693" ht="14.25" customHeight="1">
      <c r="A693" s="1"/>
      <c r="B693" s="1"/>
      <c r="F693" s="1"/>
      <c r="AM693" s="1"/>
    </row>
    <row r="694" ht="14.25" customHeight="1">
      <c r="A694" s="1"/>
      <c r="B694" s="1"/>
      <c r="F694" s="1"/>
      <c r="AM694" s="1"/>
    </row>
    <row r="695" ht="14.25" customHeight="1">
      <c r="A695" s="1"/>
      <c r="B695" s="1"/>
      <c r="F695" s="1"/>
      <c r="AM695" s="1"/>
    </row>
    <row r="696" ht="14.25" customHeight="1">
      <c r="A696" s="1"/>
      <c r="B696" s="1"/>
      <c r="F696" s="1"/>
      <c r="AM696" s="1"/>
    </row>
    <row r="697" ht="14.25" customHeight="1">
      <c r="A697" s="1"/>
      <c r="B697" s="1"/>
      <c r="F697" s="1"/>
      <c r="AM697" s="1"/>
    </row>
    <row r="698" ht="14.25" customHeight="1">
      <c r="A698" s="1"/>
      <c r="B698" s="1"/>
      <c r="F698" s="1"/>
      <c r="AM698" s="1"/>
    </row>
    <row r="699" ht="14.25" customHeight="1">
      <c r="A699" s="1"/>
      <c r="B699" s="1"/>
      <c r="F699" s="1"/>
      <c r="AM699" s="1"/>
    </row>
    <row r="700" ht="14.25" customHeight="1">
      <c r="A700" s="1"/>
      <c r="B700" s="1"/>
      <c r="F700" s="1"/>
      <c r="AM700" s="1"/>
    </row>
    <row r="701" ht="14.25" customHeight="1">
      <c r="A701" s="1"/>
      <c r="B701" s="1"/>
      <c r="F701" s="1"/>
      <c r="AM701" s="1"/>
    </row>
    <row r="702" ht="14.25" customHeight="1">
      <c r="A702" s="1"/>
      <c r="B702" s="1"/>
      <c r="F702" s="1"/>
      <c r="AM702" s="1"/>
    </row>
    <row r="703" ht="14.25" customHeight="1">
      <c r="A703" s="1"/>
      <c r="B703" s="1"/>
      <c r="F703" s="1"/>
      <c r="AM703" s="1"/>
    </row>
    <row r="704" ht="14.25" customHeight="1">
      <c r="A704" s="1"/>
      <c r="B704" s="1"/>
      <c r="F704" s="1"/>
      <c r="AM704" s="1"/>
    </row>
    <row r="705" ht="14.25" customHeight="1">
      <c r="A705" s="1"/>
      <c r="B705" s="1"/>
      <c r="F705" s="1"/>
      <c r="AM705" s="1"/>
    </row>
    <row r="706" ht="14.25" customHeight="1">
      <c r="A706" s="1"/>
      <c r="B706" s="1"/>
      <c r="F706" s="1"/>
      <c r="AM706" s="1"/>
    </row>
    <row r="707" ht="14.25" customHeight="1">
      <c r="A707" s="1"/>
      <c r="B707" s="1"/>
      <c r="F707" s="1"/>
      <c r="AM707" s="1"/>
    </row>
    <row r="708" ht="14.25" customHeight="1">
      <c r="A708" s="1"/>
      <c r="B708" s="1"/>
      <c r="F708" s="1"/>
      <c r="AM708" s="1"/>
    </row>
    <row r="709" ht="14.25" customHeight="1">
      <c r="A709" s="1"/>
      <c r="B709" s="1"/>
      <c r="F709" s="1"/>
      <c r="AM709" s="1"/>
    </row>
    <row r="710" ht="14.25" customHeight="1">
      <c r="A710" s="1"/>
      <c r="B710" s="1"/>
      <c r="F710" s="1"/>
      <c r="AM710" s="1"/>
    </row>
    <row r="711" ht="14.25" customHeight="1">
      <c r="A711" s="1"/>
      <c r="B711" s="1"/>
      <c r="F711" s="1"/>
      <c r="AM711" s="1"/>
    </row>
    <row r="712" ht="14.25" customHeight="1">
      <c r="A712" s="1"/>
      <c r="B712" s="1"/>
      <c r="F712" s="1"/>
      <c r="AM712" s="1"/>
    </row>
    <row r="713" ht="14.25" customHeight="1">
      <c r="A713" s="1"/>
      <c r="B713" s="1"/>
      <c r="F713" s="1"/>
      <c r="AM713" s="1"/>
    </row>
    <row r="714" ht="14.25" customHeight="1">
      <c r="A714" s="1"/>
      <c r="B714" s="1"/>
      <c r="F714" s="1"/>
      <c r="AM714" s="1"/>
    </row>
    <row r="715" ht="14.25" customHeight="1">
      <c r="A715" s="1"/>
      <c r="B715" s="1"/>
      <c r="F715" s="1"/>
      <c r="AM715" s="1"/>
    </row>
    <row r="716" ht="14.25" customHeight="1">
      <c r="A716" s="1"/>
      <c r="B716" s="1"/>
      <c r="F716" s="1"/>
      <c r="AM716" s="1"/>
    </row>
    <row r="717" ht="14.25" customHeight="1">
      <c r="A717" s="1"/>
      <c r="B717" s="1"/>
      <c r="F717" s="1"/>
      <c r="AM717" s="1"/>
    </row>
    <row r="718" ht="14.25" customHeight="1">
      <c r="A718" s="1"/>
      <c r="B718" s="1"/>
      <c r="F718" s="1"/>
      <c r="AM718" s="1"/>
    </row>
    <row r="719" ht="14.25" customHeight="1">
      <c r="A719" s="1"/>
      <c r="B719" s="1"/>
      <c r="F719" s="1"/>
      <c r="AM719" s="1"/>
    </row>
    <row r="720" ht="14.25" customHeight="1">
      <c r="A720" s="1"/>
      <c r="B720" s="1"/>
      <c r="F720" s="1"/>
      <c r="AM720" s="1"/>
    </row>
    <row r="721" ht="14.25" customHeight="1">
      <c r="A721" s="1"/>
      <c r="B721" s="1"/>
      <c r="F721" s="1"/>
      <c r="AM721" s="1"/>
    </row>
    <row r="722" ht="14.25" customHeight="1">
      <c r="A722" s="1"/>
      <c r="B722" s="1"/>
      <c r="F722" s="1"/>
      <c r="AM722" s="1"/>
    </row>
    <row r="723" ht="14.25" customHeight="1">
      <c r="A723" s="1"/>
      <c r="B723" s="1"/>
      <c r="F723" s="1"/>
      <c r="AM723" s="1"/>
    </row>
    <row r="724" ht="14.25" customHeight="1">
      <c r="A724" s="1"/>
      <c r="B724" s="1"/>
      <c r="F724" s="1"/>
      <c r="AM724" s="1"/>
    </row>
    <row r="725" ht="14.25" customHeight="1">
      <c r="A725" s="1"/>
      <c r="B725" s="1"/>
      <c r="F725" s="1"/>
      <c r="AM725" s="1"/>
    </row>
    <row r="726" ht="14.25" customHeight="1">
      <c r="A726" s="1"/>
      <c r="B726" s="1"/>
      <c r="F726" s="1"/>
      <c r="AM726" s="1"/>
    </row>
    <row r="727" ht="14.25" customHeight="1">
      <c r="A727" s="1"/>
      <c r="B727" s="1"/>
      <c r="F727" s="1"/>
      <c r="AM727" s="1"/>
    </row>
    <row r="728" ht="14.25" customHeight="1">
      <c r="A728" s="1"/>
      <c r="B728" s="1"/>
      <c r="F728" s="1"/>
      <c r="AM728" s="1"/>
    </row>
    <row r="729" ht="14.25" customHeight="1">
      <c r="A729" s="1"/>
      <c r="B729" s="1"/>
      <c r="F729" s="1"/>
      <c r="AM729" s="1"/>
    </row>
    <row r="730" ht="14.25" customHeight="1">
      <c r="A730" s="1"/>
      <c r="B730" s="1"/>
      <c r="F730" s="1"/>
      <c r="AM730" s="1"/>
    </row>
    <row r="731" ht="14.25" customHeight="1">
      <c r="A731" s="1"/>
      <c r="B731" s="1"/>
      <c r="F731" s="1"/>
      <c r="AM731" s="1"/>
    </row>
    <row r="732" ht="14.25" customHeight="1">
      <c r="A732" s="1"/>
      <c r="B732" s="1"/>
      <c r="F732" s="1"/>
      <c r="AM732" s="1"/>
    </row>
    <row r="733" ht="14.25" customHeight="1">
      <c r="A733" s="1"/>
      <c r="B733" s="1"/>
      <c r="F733" s="1"/>
      <c r="AM733" s="1"/>
    </row>
    <row r="734" ht="14.25" customHeight="1">
      <c r="A734" s="1"/>
      <c r="B734" s="1"/>
      <c r="F734" s="1"/>
      <c r="AM734" s="1"/>
    </row>
    <row r="735" ht="14.25" customHeight="1">
      <c r="A735" s="1"/>
      <c r="B735" s="1"/>
      <c r="F735" s="1"/>
      <c r="AM735" s="1"/>
    </row>
    <row r="736" ht="14.25" customHeight="1">
      <c r="A736" s="1"/>
      <c r="B736" s="1"/>
      <c r="F736" s="1"/>
      <c r="AM736" s="1"/>
    </row>
    <row r="737" ht="14.25" customHeight="1">
      <c r="A737" s="1"/>
      <c r="B737" s="1"/>
      <c r="F737" s="1"/>
      <c r="AM737" s="1"/>
    </row>
    <row r="738" ht="14.25" customHeight="1">
      <c r="A738" s="1"/>
      <c r="B738" s="1"/>
      <c r="F738" s="1"/>
      <c r="AM738" s="1"/>
    </row>
    <row r="739" ht="14.25" customHeight="1">
      <c r="A739" s="1"/>
      <c r="B739" s="1"/>
      <c r="F739" s="1"/>
      <c r="AM739" s="1"/>
    </row>
    <row r="740" ht="14.25" customHeight="1">
      <c r="A740" s="1"/>
      <c r="B740" s="1"/>
      <c r="F740" s="1"/>
      <c r="AM740" s="1"/>
    </row>
    <row r="741" ht="14.25" customHeight="1">
      <c r="A741" s="1"/>
      <c r="B741" s="1"/>
      <c r="F741" s="1"/>
      <c r="AM741" s="1"/>
    </row>
    <row r="742" ht="14.25" customHeight="1">
      <c r="A742" s="1"/>
      <c r="B742" s="1"/>
      <c r="F742" s="1"/>
      <c r="AM742" s="1"/>
    </row>
    <row r="743" ht="14.25" customHeight="1">
      <c r="A743" s="1"/>
      <c r="B743" s="1"/>
      <c r="F743" s="1"/>
      <c r="AM743" s="1"/>
    </row>
    <row r="744" ht="14.25" customHeight="1">
      <c r="A744" s="1"/>
      <c r="B744" s="1"/>
      <c r="F744" s="1"/>
      <c r="AM744" s="1"/>
    </row>
    <row r="745" ht="14.25" customHeight="1">
      <c r="A745" s="1"/>
      <c r="B745" s="1"/>
      <c r="F745" s="1"/>
      <c r="AM745" s="1"/>
    </row>
    <row r="746" ht="14.25" customHeight="1">
      <c r="A746" s="1"/>
      <c r="B746" s="1"/>
      <c r="F746" s="1"/>
      <c r="AM746" s="1"/>
    </row>
    <row r="747" ht="14.25" customHeight="1">
      <c r="A747" s="1"/>
      <c r="B747" s="1"/>
      <c r="F747" s="1"/>
      <c r="AM747" s="1"/>
    </row>
    <row r="748" ht="14.25" customHeight="1">
      <c r="A748" s="1"/>
      <c r="B748" s="1"/>
      <c r="F748" s="1"/>
      <c r="AM748" s="1"/>
    </row>
    <row r="749" ht="14.25" customHeight="1">
      <c r="A749" s="1"/>
      <c r="B749" s="1"/>
      <c r="F749" s="1"/>
      <c r="AM749" s="1"/>
    </row>
    <row r="750" ht="14.25" customHeight="1">
      <c r="A750" s="1"/>
      <c r="B750" s="1"/>
      <c r="F750" s="1"/>
      <c r="AM750" s="1"/>
    </row>
    <row r="751" ht="14.25" customHeight="1">
      <c r="A751" s="1"/>
      <c r="B751" s="1"/>
      <c r="F751" s="1"/>
      <c r="AM751" s="1"/>
    </row>
    <row r="752" ht="14.25" customHeight="1">
      <c r="A752" s="1"/>
      <c r="B752" s="1"/>
      <c r="F752" s="1"/>
      <c r="AM752" s="1"/>
    </row>
    <row r="753" ht="14.25" customHeight="1">
      <c r="A753" s="1"/>
      <c r="B753" s="1"/>
      <c r="F753" s="1"/>
      <c r="AM753" s="1"/>
    </row>
    <row r="754" ht="14.25" customHeight="1">
      <c r="A754" s="1"/>
      <c r="B754" s="1"/>
      <c r="F754" s="1"/>
      <c r="AM754" s="1"/>
    </row>
    <row r="755" ht="14.25" customHeight="1">
      <c r="A755" s="1"/>
      <c r="B755" s="1"/>
      <c r="F755" s="1"/>
      <c r="AM755" s="1"/>
    </row>
    <row r="756" ht="14.25" customHeight="1">
      <c r="A756" s="1"/>
      <c r="B756" s="1"/>
      <c r="F756" s="1"/>
      <c r="AM756" s="1"/>
    </row>
    <row r="757" ht="14.25" customHeight="1">
      <c r="A757" s="1"/>
      <c r="B757" s="1"/>
      <c r="F757" s="1"/>
      <c r="AM757" s="1"/>
    </row>
    <row r="758" ht="14.25" customHeight="1">
      <c r="A758" s="1"/>
      <c r="B758" s="1"/>
      <c r="F758" s="1"/>
      <c r="AM758" s="1"/>
    </row>
    <row r="759" ht="14.25" customHeight="1">
      <c r="A759" s="1"/>
      <c r="B759" s="1"/>
      <c r="F759" s="1"/>
      <c r="AM759" s="1"/>
    </row>
    <row r="760" ht="14.25" customHeight="1">
      <c r="A760" s="1"/>
      <c r="B760" s="1"/>
      <c r="F760" s="1"/>
      <c r="AM760" s="1"/>
    </row>
    <row r="761" ht="14.25" customHeight="1">
      <c r="A761" s="1"/>
      <c r="B761" s="1"/>
      <c r="F761" s="1"/>
      <c r="AM761" s="1"/>
    </row>
    <row r="762" ht="14.25" customHeight="1">
      <c r="A762" s="1"/>
      <c r="B762" s="1"/>
      <c r="F762" s="1"/>
      <c r="AM762" s="1"/>
    </row>
    <row r="763" ht="14.25" customHeight="1">
      <c r="A763" s="1"/>
      <c r="B763" s="1"/>
      <c r="F763" s="1"/>
      <c r="AM763" s="1"/>
    </row>
    <row r="764" ht="14.25" customHeight="1">
      <c r="A764" s="1"/>
      <c r="B764" s="1"/>
      <c r="F764" s="1"/>
      <c r="AM764" s="1"/>
    </row>
    <row r="765" ht="14.25" customHeight="1">
      <c r="A765" s="1"/>
      <c r="B765" s="1"/>
      <c r="F765" s="1"/>
      <c r="AM765" s="1"/>
    </row>
    <row r="766" ht="14.25" customHeight="1">
      <c r="A766" s="1"/>
      <c r="B766" s="1"/>
      <c r="F766" s="1"/>
      <c r="AM766" s="1"/>
    </row>
    <row r="767" ht="14.25" customHeight="1">
      <c r="A767" s="1"/>
      <c r="B767" s="1"/>
      <c r="F767" s="1"/>
      <c r="AM767" s="1"/>
    </row>
    <row r="768" ht="14.25" customHeight="1">
      <c r="A768" s="1"/>
      <c r="B768" s="1"/>
      <c r="F768" s="1"/>
      <c r="AM768" s="1"/>
    </row>
    <row r="769" ht="14.25" customHeight="1">
      <c r="A769" s="1"/>
      <c r="B769" s="1"/>
      <c r="F769" s="1"/>
      <c r="AM769" s="1"/>
    </row>
    <row r="770" ht="14.25" customHeight="1">
      <c r="A770" s="1"/>
      <c r="B770" s="1"/>
      <c r="F770" s="1"/>
      <c r="AM770" s="1"/>
    </row>
    <row r="771" ht="14.25" customHeight="1">
      <c r="A771" s="1"/>
      <c r="B771" s="1"/>
      <c r="F771" s="1"/>
      <c r="AM771" s="1"/>
    </row>
    <row r="772" ht="14.25" customHeight="1">
      <c r="A772" s="1"/>
      <c r="B772" s="1"/>
      <c r="F772" s="1"/>
      <c r="AM772" s="1"/>
    </row>
    <row r="773" ht="14.25" customHeight="1">
      <c r="A773" s="1"/>
      <c r="B773" s="1"/>
      <c r="F773" s="1"/>
      <c r="AM773" s="1"/>
    </row>
    <row r="774" ht="14.25" customHeight="1">
      <c r="A774" s="1"/>
      <c r="B774" s="1"/>
      <c r="F774" s="1"/>
      <c r="AM774" s="1"/>
    </row>
    <row r="775" ht="14.25" customHeight="1">
      <c r="A775" s="1"/>
      <c r="B775" s="1"/>
      <c r="F775" s="1"/>
      <c r="AM775" s="1"/>
    </row>
    <row r="776" ht="14.25" customHeight="1">
      <c r="A776" s="1"/>
      <c r="B776" s="1"/>
      <c r="F776" s="1"/>
      <c r="AM776" s="1"/>
    </row>
    <row r="777" ht="14.25" customHeight="1">
      <c r="A777" s="1"/>
      <c r="B777" s="1"/>
      <c r="F777" s="1"/>
      <c r="AM777" s="1"/>
    </row>
    <row r="778" ht="14.25" customHeight="1">
      <c r="A778" s="1"/>
      <c r="B778" s="1"/>
      <c r="F778" s="1"/>
      <c r="AM778" s="1"/>
    </row>
    <row r="779" ht="14.25" customHeight="1">
      <c r="A779" s="1"/>
      <c r="B779" s="1"/>
      <c r="F779" s="1"/>
      <c r="AM779" s="1"/>
    </row>
    <row r="780" ht="14.25" customHeight="1">
      <c r="A780" s="1"/>
      <c r="B780" s="1"/>
      <c r="F780" s="1"/>
      <c r="AM780" s="1"/>
    </row>
    <row r="781" ht="14.25" customHeight="1">
      <c r="A781" s="1"/>
      <c r="B781" s="1"/>
      <c r="F781" s="1"/>
      <c r="AM781" s="1"/>
    </row>
    <row r="782" ht="14.25" customHeight="1">
      <c r="A782" s="1"/>
      <c r="B782" s="1"/>
      <c r="F782" s="1"/>
      <c r="AM782" s="1"/>
    </row>
    <row r="783" ht="14.25" customHeight="1">
      <c r="A783" s="1"/>
      <c r="B783" s="1"/>
      <c r="F783" s="1"/>
      <c r="AM783" s="1"/>
    </row>
    <row r="784" ht="14.25" customHeight="1">
      <c r="A784" s="1"/>
      <c r="B784" s="1"/>
      <c r="F784" s="1"/>
      <c r="AM784" s="1"/>
    </row>
    <row r="785" ht="14.25" customHeight="1">
      <c r="A785" s="1"/>
      <c r="B785" s="1"/>
      <c r="F785" s="1"/>
      <c r="AM785" s="1"/>
    </row>
    <row r="786" ht="14.25" customHeight="1">
      <c r="A786" s="1"/>
      <c r="B786" s="1"/>
      <c r="F786" s="1"/>
      <c r="AM786" s="1"/>
    </row>
    <row r="787" ht="14.25" customHeight="1">
      <c r="A787" s="1"/>
      <c r="B787" s="1"/>
      <c r="F787" s="1"/>
      <c r="AM787" s="1"/>
    </row>
    <row r="788" ht="14.25" customHeight="1">
      <c r="A788" s="1"/>
      <c r="B788" s="1"/>
      <c r="F788" s="1"/>
      <c r="AM788" s="1"/>
    </row>
    <row r="789" ht="14.25" customHeight="1">
      <c r="A789" s="1"/>
      <c r="B789" s="1"/>
      <c r="F789" s="1"/>
      <c r="AM789" s="1"/>
    </row>
    <row r="790" ht="14.25" customHeight="1">
      <c r="A790" s="1"/>
      <c r="B790" s="1"/>
      <c r="F790" s="1"/>
      <c r="AM790" s="1"/>
    </row>
    <row r="791" ht="14.25" customHeight="1">
      <c r="A791" s="1"/>
      <c r="B791" s="1"/>
      <c r="F791" s="1"/>
      <c r="AM791" s="1"/>
    </row>
    <row r="792" ht="14.25" customHeight="1">
      <c r="A792" s="1"/>
      <c r="B792" s="1"/>
      <c r="F792" s="1"/>
      <c r="AM792" s="1"/>
    </row>
    <row r="793" ht="14.25" customHeight="1">
      <c r="A793" s="1"/>
      <c r="B793" s="1"/>
      <c r="F793" s="1"/>
      <c r="AM793" s="1"/>
    </row>
    <row r="794" ht="14.25" customHeight="1">
      <c r="A794" s="1"/>
      <c r="B794" s="1"/>
      <c r="F794" s="1"/>
      <c r="AM794" s="1"/>
    </row>
    <row r="795" ht="14.25" customHeight="1">
      <c r="A795" s="1"/>
      <c r="B795" s="1"/>
      <c r="F795" s="1"/>
      <c r="AM795" s="1"/>
    </row>
    <row r="796" ht="14.25" customHeight="1">
      <c r="A796" s="1"/>
      <c r="B796" s="1"/>
      <c r="F796" s="1"/>
      <c r="AM796" s="1"/>
    </row>
    <row r="797" ht="14.25" customHeight="1">
      <c r="A797" s="1"/>
      <c r="B797" s="1"/>
      <c r="F797" s="1"/>
      <c r="AM797" s="1"/>
    </row>
    <row r="798" ht="14.25" customHeight="1">
      <c r="A798" s="1"/>
      <c r="B798" s="1"/>
      <c r="F798" s="1"/>
      <c r="AM798" s="1"/>
    </row>
    <row r="799" ht="14.25" customHeight="1">
      <c r="A799" s="1"/>
      <c r="B799" s="1"/>
      <c r="F799" s="1"/>
      <c r="AM799" s="1"/>
    </row>
    <row r="800" ht="14.25" customHeight="1">
      <c r="A800" s="1"/>
      <c r="B800" s="1"/>
      <c r="F800" s="1"/>
      <c r="AM800" s="1"/>
    </row>
    <row r="801" ht="14.25" customHeight="1">
      <c r="A801" s="1"/>
      <c r="B801" s="1"/>
      <c r="F801" s="1"/>
      <c r="AM801" s="1"/>
    </row>
    <row r="802" ht="14.25" customHeight="1">
      <c r="A802" s="1"/>
      <c r="B802" s="1"/>
      <c r="F802" s="1"/>
      <c r="AM802" s="1"/>
    </row>
    <row r="803" ht="14.25" customHeight="1">
      <c r="A803" s="1"/>
      <c r="B803" s="1"/>
      <c r="F803" s="1"/>
      <c r="AM803" s="1"/>
    </row>
    <row r="804" ht="14.25" customHeight="1">
      <c r="A804" s="1"/>
      <c r="B804" s="1"/>
      <c r="F804" s="1"/>
      <c r="AM804" s="1"/>
    </row>
    <row r="805" ht="14.25" customHeight="1">
      <c r="A805" s="1"/>
      <c r="B805" s="1"/>
      <c r="F805" s="1"/>
      <c r="AM805" s="1"/>
    </row>
    <row r="806" ht="14.25" customHeight="1">
      <c r="A806" s="1"/>
      <c r="B806" s="1"/>
      <c r="F806" s="1"/>
      <c r="AM806" s="1"/>
    </row>
    <row r="807" ht="14.25" customHeight="1">
      <c r="A807" s="1"/>
      <c r="B807" s="1"/>
      <c r="F807" s="1"/>
      <c r="AM807" s="1"/>
    </row>
    <row r="808" ht="14.25" customHeight="1">
      <c r="A808" s="1"/>
      <c r="B808" s="1"/>
      <c r="F808" s="1"/>
      <c r="AM808" s="1"/>
    </row>
    <row r="809" ht="14.25" customHeight="1">
      <c r="A809" s="1"/>
      <c r="B809" s="1"/>
      <c r="F809" s="1"/>
      <c r="AM809" s="1"/>
    </row>
    <row r="810" ht="14.25" customHeight="1">
      <c r="A810" s="1"/>
      <c r="B810" s="1"/>
      <c r="F810" s="1"/>
      <c r="AM810" s="1"/>
    </row>
    <row r="811" ht="14.25" customHeight="1">
      <c r="A811" s="1"/>
      <c r="B811" s="1"/>
      <c r="F811" s="1"/>
      <c r="AM811" s="1"/>
    </row>
    <row r="812" ht="14.25" customHeight="1">
      <c r="A812" s="1"/>
      <c r="B812" s="1"/>
      <c r="F812" s="1"/>
      <c r="AM812" s="1"/>
    </row>
    <row r="813" ht="14.25" customHeight="1">
      <c r="A813" s="1"/>
      <c r="B813" s="1"/>
      <c r="F813" s="1"/>
      <c r="AM813" s="1"/>
    </row>
    <row r="814" ht="14.25" customHeight="1">
      <c r="A814" s="1"/>
      <c r="B814" s="1"/>
      <c r="F814" s="1"/>
      <c r="AM814" s="1"/>
    </row>
    <row r="815" ht="14.25" customHeight="1">
      <c r="A815" s="1"/>
      <c r="B815" s="1"/>
      <c r="F815" s="1"/>
      <c r="AM815" s="1"/>
    </row>
    <row r="816" ht="14.25" customHeight="1">
      <c r="A816" s="1"/>
      <c r="B816" s="1"/>
      <c r="F816" s="1"/>
      <c r="AM816" s="1"/>
    </row>
    <row r="817" ht="14.25" customHeight="1">
      <c r="A817" s="1"/>
      <c r="B817" s="1"/>
      <c r="F817" s="1"/>
      <c r="AM817" s="1"/>
    </row>
    <row r="818" ht="14.25" customHeight="1">
      <c r="A818" s="1"/>
      <c r="B818" s="1"/>
      <c r="F818" s="1"/>
      <c r="AM818" s="1"/>
    </row>
    <row r="819" ht="14.25" customHeight="1">
      <c r="A819" s="1"/>
      <c r="B819" s="1"/>
      <c r="F819" s="1"/>
      <c r="AM819" s="1"/>
    </row>
    <row r="820" ht="14.25" customHeight="1">
      <c r="A820" s="1"/>
      <c r="B820" s="1"/>
      <c r="F820" s="1"/>
      <c r="AM820" s="1"/>
    </row>
    <row r="821" ht="14.25" customHeight="1">
      <c r="A821" s="1"/>
      <c r="B821" s="1"/>
      <c r="F821" s="1"/>
      <c r="AM821" s="1"/>
    </row>
    <row r="822" ht="14.25" customHeight="1">
      <c r="A822" s="1"/>
      <c r="B822" s="1"/>
      <c r="F822" s="1"/>
      <c r="AM822" s="1"/>
    </row>
    <row r="823" ht="14.25" customHeight="1">
      <c r="A823" s="1"/>
      <c r="B823" s="1"/>
      <c r="F823" s="1"/>
      <c r="AM823" s="1"/>
    </row>
    <row r="824" ht="14.25" customHeight="1">
      <c r="A824" s="1"/>
      <c r="B824" s="1"/>
      <c r="F824" s="1"/>
      <c r="AM824" s="1"/>
    </row>
    <row r="825" ht="14.25" customHeight="1">
      <c r="A825" s="1"/>
      <c r="B825" s="1"/>
      <c r="F825" s="1"/>
      <c r="AM825" s="1"/>
    </row>
    <row r="826" ht="14.25" customHeight="1">
      <c r="A826" s="1"/>
      <c r="B826" s="1"/>
      <c r="F826" s="1"/>
      <c r="AM826" s="1"/>
    </row>
    <row r="827" ht="14.25" customHeight="1">
      <c r="A827" s="1"/>
      <c r="B827" s="1"/>
      <c r="F827" s="1"/>
      <c r="AM827" s="1"/>
    </row>
    <row r="828" ht="14.25" customHeight="1">
      <c r="A828" s="1"/>
      <c r="B828" s="1"/>
      <c r="F828" s="1"/>
      <c r="AM828" s="1"/>
    </row>
    <row r="829" ht="14.25" customHeight="1">
      <c r="A829" s="1"/>
      <c r="B829" s="1"/>
      <c r="F829" s="1"/>
      <c r="AM829" s="1"/>
    </row>
    <row r="830" ht="14.25" customHeight="1">
      <c r="A830" s="1"/>
      <c r="B830" s="1"/>
      <c r="F830" s="1"/>
      <c r="AM830" s="1"/>
    </row>
    <row r="831" ht="14.25" customHeight="1">
      <c r="A831" s="1"/>
      <c r="B831" s="1"/>
      <c r="F831" s="1"/>
      <c r="AM831" s="1"/>
    </row>
    <row r="832" ht="14.25" customHeight="1">
      <c r="A832" s="1"/>
      <c r="B832" s="1"/>
      <c r="F832" s="1"/>
      <c r="AM832" s="1"/>
    </row>
    <row r="833" ht="14.25" customHeight="1">
      <c r="A833" s="1"/>
      <c r="B833" s="1"/>
      <c r="F833" s="1"/>
      <c r="AM833" s="1"/>
    </row>
    <row r="834" ht="14.25" customHeight="1">
      <c r="A834" s="1"/>
      <c r="B834" s="1"/>
      <c r="F834" s="1"/>
      <c r="AM834" s="1"/>
    </row>
    <row r="835" ht="14.25" customHeight="1">
      <c r="A835" s="1"/>
      <c r="B835" s="1"/>
      <c r="F835" s="1"/>
      <c r="AM835" s="1"/>
    </row>
    <row r="836" ht="14.25" customHeight="1">
      <c r="A836" s="1"/>
      <c r="B836" s="1"/>
      <c r="F836" s="1"/>
      <c r="AM836" s="1"/>
    </row>
    <row r="837" ht="14.25" customHeight="1">
      <c r="A837" s="1"/>
      <c r="B837" s="1"/>
      <c r="F837" s="1"/>
      <c r="AM837" s="1"/>
    </row>
    <row r="838" ht="14.25" customHeight="1">
      <c r="A838" s="1"/>
      <c r="B838" s="1"/>
      <c r="F838" s="1"/>
      <c r="AM838" s="1"/>
    </row>
    <row r="839" ht="14.25" customHeight="1">
      <c r="A839" s="1"/>
      <c r="B839" s="1"/>
      <c r="F839" s="1"/>
      <c r="AM839" s="1"/>
    </row>
    <row r="840" ht="14.25" customHeight="1">
      <c r="A840" s="1"/>
      <c r="B840" s="1"/>
      <c r="F840" s="1"/>
      <c r="AM840" s="1"/>
    </row>
    <row r="841" ht="14.25" customHeight="1">
      <c r="A841" s="1"/>
      <c r="B841" s="1"/>
      <c r="F841" s="1"/>
      <c r="AM841" s="1"/>
    </row>
    <row r="842" ht="14.25" customHeight="1">
      <c r="A842" s="1"/>
      <c r="B842" s="1"/>
      <c r="F842" s="1"/>
      <c r="AM842" s="1"/>
    </row>
    <row r="843" ht="14.25" customHeight="1">
      <c r="A843" s="1"/>
      <c r="B843" s="1"/>
      <c r="F843" s="1"/>
      <c r="AM843" s="1"/>
    </row>
    <row r="844" ht="14.25" customHeight="1">
      <c r="A844" s="1"/>
      <c r="B844" s="1"/>
      <c r="F844" s="1"/>
      <c r="AM844" s="1"/>
    </row>
    <row r="845" ht="14.25" customHeight="1">
      <c r="A845" s="1"/>
      <c r="B845" s="1"/>
      <c r="F845" s="1"/>
      <c r="AM845" s="1"/>
    </row>
    <row r="846" ht="14.25" customHeight="1">
      <c r="A846" s="1"/>
      <c r="B846" s="1"/>
      <c r="F846" s="1"/>
      <c r="AM846" s="1"/>
    </row>
    <row r="847" ht="14.25" customHeight="1">
      <c r="A847" s="1"/>
      <c r="B847" s="1"/>
      <c r="F847" s="1"/>
      <c r="AM847" s="1"/>
    </row>
    <row r="848" ht="14.25" customHeight="1">
      <c r="A848" s="1"/>
      <c r="B848" s="1"/>
      <c r="F848" s="1"/>
      <c r="AM848" s="1"/>
    </row>
    <row r="849" ht="14.25" customHeight="1">
      <c r="A849" s="1"/>
      <c r="B849" s="1"/>
      <c r="F849" s="1"/>
      <c r="AM849" s="1"/>
    </row>
    <row r="850" ht="14.25" customHeight="1">
      <c r="A850" s="1"/>
      <c r="B850" s="1"/>
      <c r="F850" s="1"/>
      <c r="AM850" s="1"/>
    </row>
    <row r="851" ht="14.25" customHeight="1">
      <c r="A851" s="1"/>
      <c r="B851" s="1"/>
      <c r="F851" s="1"/>
      <c r="AM851" s="1"/>
    </row>
    <row r="852" ht="14.25" customHeight="1">
      <c r="A852" s="1"/>
      <c r="B852" s="1"/>
      <c r="F852" s="1"/>
      <c r="AM852" s="1"/>
    </row>
    <row r="853" ht="14.25" customHeight="1">
      <c r="A853" s="1"/>
      <c r="B853" s="1"/>
      <c r="F853" s="1"/>
      <c r="AM853" s="1"/>
    </row>
    <row r="854" ht="14.25" customHeight="1">
      <c r="A854" s="1"/>
      <c r="B854" s="1"/>
      <c r="F854" s="1"/>
      <c r="AM854" s="1"/>
    </row>
    <row r="855" ht="14.25" customHeight="1">
      <c r="A855" s="1"/>
      <c r="B855" s="1"/>
      <c r="F855" s="1"/>
      <c r="AM855" s="1"/>
    </row>
    <row r="856" ht="14.25" customHeight="1">
      <c r="A856" s="1"/>
      <c r="B856" s="1"/>
      <c r="F856" s="1"/>
      <c r="AM856" s="1"/>
    </row>
    <row r="857" ht="14.25" customHeight="1">
      <c r="A857" s="1"/>
      <c r="B857" s="1"/>
      <c r="F857" s="1"/>
      <c r="AM857" s="1"/>
    </row>
    <row r="858" ht="14.25" customHeight="1">
      <c r="A858" s="1"/>
      <c r="B858" s="1"/>
      <c r="F858" s="1"/>
      <c r="AM858" s="1"/>
    </row>
    <row r="859" ht="14.25" customHeight="1">
      <c r="A859" s="1"/>
      <c r="B859" s="1"/>
      <c r="F859" s="1"/>
      <c r="AM859" s="1"/>
    </row>
    <row r="860" ht="14.25" customHeight="1">
      <c r="A860" s="1"/>
      <c r="B860" s="1"/>
      <c r="F860" s="1"/>
      <c r="AM860" s="1"/>
    </row>
    <row r="861" ht="14.25" customHeight="1">
      <c r="A861" s="1"/>
      <c r="B861" s="1"/>
      <c r="F861" s="1"/>
      <c r="AM861" s="1"/>
    </row>
    <row r="862" ht="14.25" customHeight="1">
      <c r="A862" s="1"/>
      <c r="B862" s="1"/>
      <c r="F862" s="1"/>
      <c r="AM862" s="1"/>
    </row>
    <row r="863" ht="14.25" customHeight="1">
      <c r="A863" s="1"/>
      <c r="B863" s="1"/>
      <c r="F863" s="1"/>
      <c r="AM863" s="1"/>
    </row>
    <row r="864" ht="14.25" customHeight="1">
      <c r="A864" s="1"/>
      <c r="B864" s="1"/>
      <c r="F864" s="1"/>
      <c r="AM864" s="1"/>
    </row>
    <row r="865" ht="14.25" customHeight="1">
      <c r="A865" s="1"/>
      <c r="B865" s="1"/>
      <c r="F865" s="1"/>
      <c r="AM865" s="1"/>
    </row>
    <row r="866" ht="14.25" customHeight="1">
      <c r="A866" s="1"/>
      <c r="B866" s="1"/>
      <c r="F866" s="1"/>
      <c r="AM866" s="1"/>
    </row>
    <row r="867" ht="14.25" customHeight="1">
      <c r="A867" s="1"/>
      <c r="B867" s="1"/>
      <c r="F867" s="1"/>
      <c r="AM867" s="1"/>
    </row>
    <row r="868" ht="14.25" customHeight="1">
      <c r="A868" s="1"/>
      <c r="B868" s="1"/>
      <c r="F868" s="1"/>
      <c r="AM868" s="1"/>
    </row>
    <row r="869" ht="14.25" customHeight="1">
      <c r="A869" s="1"/>
      <c r="B869" s="1"/>
      <c r="F869" s="1"/>
      <c r="AM869" s="1"/>
    </row>
    <row r="870" ht="14.25" customHeight="1">
      <c r="A870" s="1"/>
      <c r="B870" s="1"/>
      <c r="F870" s="1"/>
      <c r="AM870" s="1"/>
    </row>
    <row r="871" ht="14.25" customHeight="1">
      <c r="A871" s="1"/>
      <c r="B871" s="1"/>
      <c r="F871" s="1"/>
      <c r="AM871" s="1"/>
    </row>
    <row r="872" ht="14.25" customHeight="1">
      <c r="A872" s="1"/>
      <c r="B872" s="1"/>
      <c r="F872" s="1"/>
      <c r="AM872" s="1"/>
    </row>
    <row r="873" ht="14.25" customHeight="1">
      <c r="A873" s="1"/>
      <c r="B873" s="1"/>
      <c r="F873" s="1"/>
      <c r="AM873" s="1"/>
    </row>
    <row r="874" ht="14.25" customHeight="1">
      <c r="A874" s="1"/>
      <c r="B874" s="1"/>
      <c r="F874" s="1"/>
      <c r="AM874" s="1"/>
    </row>
    <row r="875" ht="14.25" customHeight="1">
      <c r="A875" s="1"/>
      <c r="B875" s="1"/>
      <c r="F875" s="1"/>
      <c r="AM875" s="1"/>
    </row>
    <row r="876" ht="14.25" customHeight="1">
      <c r="A876" s="1"/>
      <c r="B876" s="1"/>
      <c r="F876" s="1"/>
      <c r="AM876" s="1"/>
    </row>
    <row r="877" ht="14.25" customHeight="1">
      <c r="A877" s="1"/>
      <c r="B877" s="1"/>
      <c r="F877" s="1"/>
      <c r="AM877" s="1"/>
    </row>
    <row r="878" ht="14.25" customHeight="1">
      <c r="A878" s="1"/>
      <c r="B878" s="1"/>
      <c r="F878" s="1"/>
      <c r="AM878" s="1"/>
    </row>
    <row r="879" ht="14.25" customHeight="1">
      <c r="A879" s="1"/>
      <c r="B879" s="1"/>
      <c r="F879" s="1"/>
      <c r="AM879" s="1"/>
    </row>
    <row r="880" ht="14.25" customHeight="1">
      <c r="A880" s="1"/>
      <c r="B880" s="1"/>
      <c r="F880" s="1"/>
      <c r="AM880" s="1"/>
    </row>
    <row r="881" ht="14.25" customHeight="1">
      <c r="A881" s="1"/>
      <c r="B881" s="1"/>
      <c r="F881" s="1"/>
      <c r="AM881" s="1"/>
    </row>
    <row r="882" ht="14.25" customHeight="1">
      <c r="A882" s="1"/>
      <c r="B882" s="1"/>
      <c r="F882" s="1"/>
      <c r="AM882" s="1"/>
    </row>
    <row r="883" ht="14.25" customHeight="1">
      <c r="A883" s="1"/>
      <c r="B883" s="1"/>
      <c r="F883" s="1"/>
      <c r="AM883" s="1"/>
    </row>
    <row r="884" ht="14.25" customHeight="1">
      <c r="A884" s="1"/>
      <c r="B884" s="1"/>
      <c r="F884" s="1"/>
      <c r="AM884" s="1"/>
    </row>
    <row r="885" ht="14.25" customHeight="1">
      <c r="A885" s="1"/>
      <c r="B885" s="1"/>
      <c r="F885" s="1"/>
      <c r="AM885" s="1"/>
    </row>
    <row r="886" ht="14.25" customHeight="1">
      <c r="A886" s="1"/>
      <c r="B886" s="1"/>
      <c r="F886" s="1"/>
      <c r="AM886" s="1"/>
    </row>
    <row r="887" ht="14.25" customHeight="1">
      <c r="A887" s="1"/>
      <c r="B887" s="1"/>
      <c r="F887" s="1"/>
      <c r="AM887" s="1"/>
    </row>
    <row r="888" ht="14.25" customHeight="1">
      <c r="A888" s="1"/>
      <c r="B888" s="1"/>
      <c r="F888" s="1"/>
      <c r="AM888" s="1"/>
    </row>
    <row r="889" ht="14.25" customHeight="1">
      <c r="A889" s="1"/>
      <c r="B889" s="1"/>
      <c r="F889" s="1"/>
      <c r="AM889" s="1"/>
    </row>
    <row r="890" ht="14.25" customHeight="1">
      <c r="A890" s="1"/>
      <c r="B890" s="1"/>
      <c r="F890" s="1"/>
      <c r="AM890" s="1"/>
    </row>
    <row r="891" ht="14.25" customHeight="1">
      <c r="A891" s="1"/>
      <c r="B891" s="1"/>
      <c r="F891" s="1"/>
      <c r="AM891" s="1"/>
    </row>
    <row r="892" ht="14.25" customHeight="1">
      <c r="A892" s="1"/>
      <c r="B892" s="1"/>
      <c r="F892" s="1"/>
      <c r="AM892" s="1"/>
    </row>
    <row r="893" ht="14.25" customHeight="1">
      <c r="A893" s="1"/>
      <c r="B893" s="1"/>
      <c r="F893" s="1"/>
      <c r="AM893" s="1"/>
    </row>
    <row r="894" ht="14.25" customHeight="1">
      <c r="A894" s="1"/>
      <c r="B894" s="1"/>
      <c r="F894" s="1"/>
      <c r="AM894" s="1"/>
    </row>
    <row r="895" ht="14.25" customHeight="1">
      <c r="A895" s="1"/>
      <c r="B895" s="1"/>
      <c r="F895" s="1"/>
      <c r="AM895" s="1"/>
    </row>
    <row r="896" ht="14.25" customHeight="1">
      <c r="A896" s="1"/>
      <c r="B896" s="1"/>
      <c r="F896" s="1"/>
      <c r="AM896" s="1"/>
    </row>
    <row r="897" ht="14.25" customHeight="1">
      <c r="A897" s="1"/>
      <c r="B897" s="1"/>
      <c r="F897" s="1"/>
      <c r="AM897" s="1"/>
    </row>
    <row r="898" ht="14.25" customHeight="1">
      <c r="A898" s="1"/>
      <c r="B898" s="1"/>
      <c r="F898" s="1"/>
      <c r="AM898" s="1"/>
    </row>
    <row r="899" ht="14.25" customHeight="1">
      <c r="A899" s="1"/>
      <c r="B899" s="1"/>
      <c r="F899" s="1"/>
      <c r="AM899" s="1"/>
    </row>
    <row r="900" ht="14.25" customHeight="1">
      <c r="A900" s="1"/>
      <c r="B900" s="1"/>
      <c r="F900" s="1"/>
      <c r="AM900" s="1"/>
    </row>
    <row r="901" ht="14.25" customHeight="1">
      <c r="A901" s="1"/>
      <c r="B901" s="1"/>
      <c r="F901" s="1"/>
      <c r="AM901" s="1"/>
    </row>
    <row r="902" ht="14.25" customHeight="1">
      <c r="A902" s="1"/>
      <c r="B902" s="1"/>
      <c r="F902" s="1"/>
      <c r="AM902" s="1"/>
    </row>
    <row r="903" ht="14.25" customHeight="1">
      <c r="A903" s="1"/>
      <c r="B903" s="1"/>
      <c r="F903" s="1"/>
      <c r="AM903" s="1"/>
    </row>
    <row r="904" ht="14.25" customHeight="1">
      <c r="A904" s="1"/>
      <c r="B904" s="1"/>
      <c r="F904" s="1"/>
      <c r="AM904" s="1"/>
    </row>
    <row r="905" ht="14.25" customHeight="1">
      <c r="A905" s="1"/>
      <c r="B905" s="1"/>
      <c r="F905" s="1"/>
      <c r="AM905" s="1"/>
    </row>
    <row r="906" ht="14.25" customHeight="1">
      <c r="A906" s="1"/>
      <c r="B906" s="1"/>
      <c r="F906" s="1"/>
      <c r="AM906" s="1"/>
    </row>
    <row r="907" ht="14.25" customHeight="1">
      <c r="A907" s="1"/>
      <c r="B907" s="1"/>
      <c r="F907" s="1"/>
      <c r="AM907" s="1"/>
    </row>
    <row r="908" ht="14.25" customHeight="1">
      <c r="A908" s="1"/>
      <c r="B908" s="1"/>
      <c r="F908" s="1"/>
      <c r="AM908" s="1"/>
    </row>
    <row r="909" ht="14.25" customHeight="1">
      <c r="A909" s="1"/>
      <c r="B909" s="1"/>
      <c r="F909" s="1"/>
      <c r="AM909" s="1"/>
    </row>
    <row r="910" ht="14.25" customHeight="1">
      <c r="A910" s="1"/>
      <c r="B910" s="1"/>
      <c r="F910" s="1"/>
      <c r="AM910" s="1"/>
    </row>
    <row r="911" ht="14.25" customHeight="1">
      <c r="A911" s="1"/>
      <c r="B911" s="1"/>
      <c r="F911" s="1"/>
      <c r="AM911" s="1"/>
    </row>
    <row r="912" ht="14.25" customHeight="1">
      <c r="A912" s="1"/>
      <c r="B912" s="1"/>
      <c r="F912" s="1"/>
      <c r="AM912" s="1"/>
    </row>
    <row r="913" ht="14.25" customHeight="1">
      <c r="A913" s="1"/>
      <c r="B913" s="1"/>
      <c r="F913" s="1"/>
      <c r="AM913" s="1"/>
    </row>
    <row r="914" ht="14.25" customHeight="1">
      <c r="A914" s="1"/>
      <c r="B914" s="1"/>
      <c r="F914" s="1"/>
      <c r="AM914" s="1"/>
    </row>
    <row r="915" ht="14.25" customHeight="1">
      <c r="A915" s="1"/>
      <c r="B915" s="1"/>
      <c r="F915" s="1"/>
      <c r="AM915" s="1"/>
    </row>
    <row r="916" ht="14.25" customHeight="1">
      <c r="A916" s="1"/>
      <c r="B916" s="1"/>
      <c r="F916" s="1"/>
      <c r="AM916" s="1"/>
    </row>
    <row r="917" ht="14.25" customHeight="1">
      <c r="A917" s="1"/>
      <c r="B917" s="1"/>
      <c r="F917" s="1"/>
      <c r="AM917" s="1"/>
    </row>
    <row r="918" ht="14.25" customHeight="1">
      <c r="A918" s="1"/>
      <c r="B918" s="1"/>
      <c r="F918" s="1"/>
      <c r="AM918" s="1"/>
    </row>
    <row r="919" ht="14.25" customHeight="1">
      <c r="A919" s="1"/>
      <c r="B919" s="1"/>
      <c r="F919" s="1"/>
      <c r="AM919" s="1"/>
    </row>
    <row r="920" ht="14.25" customHeight="1">
      <c r="A920" s="1"/>
      <c r="B920" s="1"/>
      <c r="F920" s="1"/>
      <c r="AM920" s="1"/>
    </row>
    <row r="921" ht="14.25" customHeight="1">
      <c r="A921" s="1"/>
      <c r="B921" s="1"/>
      <c r="F921" s="1"/>
      <c r="AM921" s="1"/>
    </row>
    <row r="922" ht="14.25" customHeight="1">
      <c r="A922" s="1"/>
      <c r="B922" s="1"/>
      <c r="F922" s="1"/>
      <c r="AM922" s="1"/>
    </row>
    <row r="923" ht="14.25" customHeight="1">
      <c r="A923" s="1"/>
      <c r="B923" s="1"/>
      <c r="F923" s="1"/>
      <c r="AM923" s="1"/>
    </row>
    <row r="924" ht="14.25" customHeight="1">
      <c r="A924" s="1"/>
      <c r="B924" s="1"/>
      <c r="F924" s="1"/>
      <c r="AM924" s="1"/>
    </row>
    <row r="925" ht="14.25" customHeight="1">
      <c r="A925" s="1"/>
      <c r="B925" s="1"/>
      <c r="F925" s="1"/>
      <c r="AM925" s="1"/>
    </row>
    <row r="926" ht="14.25" customHeight="1">
      <c r="A926" s="1"/>
      <c r="B926" s="1"/>
      <c r="F926" s="1"/>
      <c r="AM926" s="1"/>
    </row>
    <row r="927" ht="14.25" customHeight="1">
      <c r="A927" s="1"/>
      <c r="B927" s="1"/>
      <c r="F927" s="1"/>
      <c r="AM927" s="1"/>
    </row>
    <row r="928" ht="14.25" customHeight="1">
      <c r="A928" s="1"/>
      <c r="B928" s="1"/>
      <c r="F928" s="1"/>
      <c r="AM928" s="1"/>
    </row>
    <row r="929" ht="14.25" customHeight="1">
      <c r="A929" s="1"/>
      <c r="B929" s="1"/>
      <c r="F929" s="1"/>
      <c r="AM929" s="1"/>
    </row>
    <row r="930" ht="14.25" customHeight="1">
      <c r="A930" s="1"/>
      <c r="B930" s="1"/>
      <c r="F930" s="1"/>
      <c r="AM930" s="1"/>
    </row>
    <row r="931" ht="14.25" customHeight="1">
      <c r="A931" s="1"/>
      <c r="B931" s="1"/>
      <c r="F931" s="1"/>
      <c r="AM931" s="1"/>
    </row>
    <row r="932" ht="14.25" customHeight="1">
      <c r="A932" s="1"/>
      <c r="B932" s="1"/>
      <c r="F932" s="1"/>
      <c r="AM932" s="1"/>
    </row>
    <row r="933" ht="14.25" customHeight="1">
      <c r="A933" s="1"/>
      <c r="B933" s="1"/>
      <c r="F933" s="1"/>
      <c r="AM933" s="1"/>
    </row>
    <row r="934" ht="14.25" customHeight="1">
      <c r="A934" s="1"/>
      <c r="B934" s="1"/>
      <c r="F934" s="1"/>
      <c r="AM934" s="1"/>
    </row>
    <row r="935" ht="14.25" customHeight="1">
      <c r="A935" s="1"/>
      <c r="B935" s="1"/>
      <c r="F935" s="1"/>
      <c r="AM935" s="1"/>
    </row>
    <row r="936" ht="14.25" customHeight="1">
      <c r="A936" s="1"/>
      <c r="B936" s="1"/>
      <c r="F936" s="1"/>
      <c r="AM936" s="1"/>
    </row>
    <row r="937" ht="14.25" customHeight="1">
      <c r="A937" s="1"/>
      <c r="B937" s="1"/>
      <c r="F937" s="1"/>
      <c r="AM937" s="1"/>
    </row>
    <row r="938" ht="14.25" customHeight="1">
      <c r="A938" s="1"/>
      <c r="B938" s="1"/>
      <c r="F938" s="1"/>
      <c r="AM938" s="1"/>
    </row>
    <row r="939" ht="14.25" customHeight="1">
      <c r="A939" s="1"/>
      <c r="B939" s="1"/>
      <c r="F939" s="1"/>
      <c r="AM939" s="1"/>
    </row>
    <row r="940" ht="14.25" customHeight="1">
      <c r="A940" s="1"/>
      <c r="B940" s="1"/>
      <c r="F940" s="1"/>
      <c r="AM940" s="1"/>
    </row>
    <row r="941" ht="14.25" customHeight="1">
      <c r="A941" s="1"/>
      <c r="B941" s="1"/>
      <c r="F941" s="1"/>
      <c r="AM941" s="1"/>
    </row>
    <row r="942" ht="14.25" customHeight="1">
      <c r="A942" s="1"/>
      <c r="B942" s="1"/>
      <c r="F942" s="1"/>
      <c r="AM942" s="1"/>
    </row>
    <row r="943" ht="14.25" customHeight="1">
      <c r="A943" s="1"/>
      <c r="B943" s="1"/>
      <c r="F943" s="1"/>
      <c r="AM943" s="1"/>
    </row>
    <row r="944" ht="14.25" customHeight="1">
      <c r="A944" s="1"/>
      <c r="B944" s="1"/>
      <c r="F944" s="1"/>
      <c r="AM944" s="1"/>
    </row>
    <row r="945" ht="14.25" customHeight="1">
      <c r="A945" s="1"/>
      <c r="B945" s="1"/>
      <c r="F945" s="1"/>
      <c r="AM945" s="1"/>
    </row>
    <row r="946" ht="14.25" customHeight="1">
      <c r="A946" s="1"/>
      <c r="B946" s="1"/>
      <c r="F946" s="1"/>
      <c r="AM946" s="1"/>
    </row>
    <row r="947" ht="14.25" customHeight="1">
      <c r="A947" s="1"/>
      <c r="B947" s="1"/>
      <c r="F947" s="1"/>
      <c r="AM947" s="1"/>
    </row>
    <row r="948" ht="14.25" customHeight="1">
      <c r="A948" s="1"/>
      <c r="B948" s="1"/>
      <c r="F948" s="1"/>
      <c r="AM948" s="1"/>
    </row>
    <row r="949" ht="14.25" customHeight="1">
      <c r="A949" s="1"/>
      <c r="B949" s="1"/>
      <c r="F949" s="1"/>
      <c r="AM949" s="1"/>
    </row>
    <row r="950" ht="14.25" customHeight="1">
      <c r="A950" s="1"/>
      <c r="B950" s="1"/>
      <c r="F950" s="1"/>
      <c r="AM950" s="1"/>
    </row>
    <row r="951" ht="14.25" customHeight="1">
      <c r="A951" s="1"/>
      <c r="B951" s="1"/>
      <c r="F951" s="1"/>
      <c r="AM951" s="1"/>
    </row>
    <row r="952" ht="14.25" customHeight="1">
      <c r="A952" s="1"/>
      <c r="B952" s="1"/>
      <c r="F952" s="1"/>
      <c r="AM952" s="1"/>
    </row>
    <row r="953" ht="14.25" customHeight="1">
      <c r="A953" s="1"/>
      <c r="B953" s="1"/>
      <c r="F953" s="1"/>
      <c r="AM953" s="1"/>
    </row>
    <row r="954" ht="14.25" customHeight="1">
      <c r="A954" s="1"/>
      <c r="B954" s="1"/>
      <c r="F954" s="1"/>
      <c r="AM954" s="1"/>
    </row>
    <row r="955" ht="14.25" customHeight="1">
      <c r="A955" s="1"/>
      <c r="B955" s="1"/>
      <c r="F955" s="1"/>
      <c r="AM955" s="1"/>
    </row>
    <row r="956" ht="14.25" customHeight="1">
      <c r="A956" s="1"/>
      <c r="B956" s="1"/>
      <c r="F956" s="1"/>
      <c r="AM956" s="1"/>
    </row>
    <row r="957" ht="14.25" customHeight="1">
      <c r="A957" s="1"/>
      <c r="B957" s="1"/>
      <c r="F957" s="1"/>
      <c r="AM957" s="1"/>
    </row>
    <row r="958" ht="14.25" customHeight="1">
      <c r="A958" s="1"/>
      <c r="B958" s="1"/>
      <c r="F958" s="1"/>
      <c r="AM958" s="1"/>
    </row>
    <row r="959" ht="14.25" customHeight="1">
      <c r="A959" s="1"/>
      <c r="B959" s="1"/>
      <c r="F959" s="1"/>
      <c r="AM959" s="1"/>
    </row>
    <row r="960" ht="14.25" customHeight="1">
      <c r="A960" s="1"/>
      <c r="B960" s="1"/>
      <c r="F960" s="1"/>
      <c r="AM960" s="1"/>
    </row>
    <row r="961" ht="14.25" customHeight="1">
      <c r="A961" s="1"/>
      <c r="B961" s="1"/>
      <c r="F961" s="1"/>
      <c r="AM961" s="1"/>
    </row>
    <row r="962" ht="14.25" customHeight="1">
      <c r="A962" s="1"/>
      <c r="B962" s="1"/>
      <c r="F962" s="1"/>
      <c r="AM962" s="1"/>
    </row>
    <row r="963" ht="14.25" customHeight="1">
      <c r="A963" s="1"/>
      <c r="B963" s="1"/>
      <c r="F963" s="1"/>
      <c r="AM963" s="1"/>
    </row>
    <row r="964" ht="14.25" customHeight="1">
      <c r="A964" s="1"/>
      <c r="B964" s="1"/>
      <c r="F964" s="1"/>
      <c r="AM964" s="1"/>
    </row>
    <row r="965" ht="14.25" customHeight="1">
      <c r="A965" s="1"/>
      <c r="B965" s="1"/>
      <c r="F965" s="1"/>
      <c r="AM965" s="1"/>
    </row>
    <row r="966" ht="14.25" customHeight="1">
      <c r="A966" s="1"/>
      <c r="B966" s="1"/>
      <c r="F966" s="1"/>
      <c r="AM966" s="1"/>
    </row>
    <row r="967" ht="14.25" customHeight="1">
      <c r="A967" s="1"/>
      <c r="B967" s="1"/>
      <c r="F967" s="1"/>
      <c r="AM967" s="1"/>
    </row>
    <row r="968" ht="14.25" customHeight="1">
      <c r="A968" s="1"/>
      <c r="B968" s="1"/>
      <c r="F968" s="1"/>
      <c r="AM968" s="1"/>
    </row>
    <row r="969" ht="14.25" customHeight="1">
      <c r="A969" s="1"/>
      <c r="B969" s="1"/>
      <c r="F969" s="1"/>
      <c r="AM969" s="1"/>
    </row>
    <row r="970" ht="14.25" customHeight="1">
      <c r="A970" s="1"/>
      <c r="B970" s="1"/>
      <c r="F970" s="1"/>
      <c r="AM970" s="1"/>
    </row>
    <row r="971" ht="14.25" customHeight="1">
      <c r="A971" s="1"/>
      <c r="B971" s="1"/>
      <c r="F971" s="1"/>
      <c r="AM971" s="1"/>
    </row>
    <row r="972" ht="14.25" customHeight="1">
      <c r="A972" s="1"/>
      <c r="B972" s="1"/>
      <c r="F972" s="1"/>
      <c r="AM972" s="1"/>
    </row>
    <row r="973" ht="14.25" customHeight="1">
      <c r="A973" s="1"/>
      <c r="B973" s="1"/>
      <c r="F973" s="1"/>
      <c r="AM973" s="1"/>
    </row>
    <row r="974" ht="14.25" customHeight="1">
      <c r="A974" s="1"/>
      <c r="B974" s="1"/>
      <c r="F974" s="1"/>
      <c r="AM974" s="1"/>
    </row>
    <row r="975" ht="14.25" customHeight="1">
      <c r="A975" s="1"/>
      <c r="B975" s="1"/>
      <c r="F975" s="1"/>
      <c r="AM975" s="1"/>
    </row>
    <row r="976" ht="14.25" customHeight="1">
      <c r="A976" s="1"/>
      <c r="B976" s="1"/>
      <c r="F976" s="1"/>
      <c r="AM976" s="1"/>
    </row>
    <row r="977" ht="14.25" customHeight="1">
      <c r="A977" s="1"/>
      <c r="B977" s="1"/>
      <c r="F977" s="1"/>
      <c r="AM977" s="1"/>
    </row>
    <row r="978" ht="14.25" customHeight="1">
      <c r="A978" s="1"/>
      <c r="B978" s="1"/>
      <c r="F978" s="1"/>
      <c r="AM978" s="1"/>
    </row>
    <row r="979" ht="14.25" customHeight="1">
      <c r="A979" s="1"/>
      <c r="B979" s="1"/>
      <c r="F979" s="1"/>
      <c r="AM979" s="1"/>
    </row>
    <row r="980" ht="14.25" customHeight="1">
      <c r="A980" s="1"/>
      <c r="B980" s="1"/>
      <c r="F980" s="1"/>
      <c r="AM980" s="1"/>
    </row>
    <row r="981" ht="14.25" customHeight="1">
      <c r="A981" s="1"/>
      <c r="B981" s="1"/>
      <c r="F981" s="1"/>
      <c r="AM981" s="1"/>
    </row>
    <row r="982" ht="14.25" customHeight="1">
      <c r="A982" s="1"/>
      <c r="B982" s="1"/>
      <c r="F982" s="1"/>
      <c r="AM982" s="1"/>
    </row>
    <row r="983" ht="14.25" customHeight="1">
      <c r="A983" s="1"/>
      <c r="B983" s="1"/>
      <c r="F983" s="1"/>
      <c r="AM983" s="1"/>
    </row>
    <row r="984" ht="14.25" customHeight="1">
      <c r="A984" s="1"/>
      <c r="B984" s="1"/>
      <c r="F984" s="1"/>
      <c r="AM984" s="1"/>
    </row>
    <row r="985" ht="14.25" customHeight="1">
      <c r="A985" s="1"/>
      <c r="B985" s="1"/>
      <c r="F985" s="1"/>
      <c r="AM985" s="1"/>
    </row>
    <row r="986" ht="14.25" customHeight="1">
      <c r="A986" s="1"/>
      <c r="B986" s="1"/>
      <c r="F986" s="1"/>
      <c r="AM986" s="1"/>
    </row>
    <row r="987" ht="14.25" customHeight="1">
      <c r="A987" s="1"/>
      <c r="B987" s="1"/>
      <c r="F987" s="1"/>
      <c r="AM987" s="1"/>
    </row>
    <row r="988" ht="14.25" customHeight="1">
      <c r="A988" s="1"/>
      <c r="B988" s="1"/>
      <c r="F988" s="1"/>
      <c r="AM988" s="1"/>
    </row>
    <row r="989" ht="14.25" customHeight="1">
      <c r="A989" s="1"/>
      <c r="B989" s="1"/>
      <c r="F989" s="1"/>
      <c r="AM989" s="1"/>
    </row>
    <row r="990" ht="14.25" customHeight="1">
      <c r="A990" s="1"/>
      <c r="B990" s="1"/>
      <c r="F990" s="1"/>
      <c r="AM990" s="1"/>
    </row>
    <row r="991" ht="14.25" customHeight="1">
      <c r="A991" s="1"/>
      <c r="B991" s="1"/>
      <c r="F991" s="1"/>
      <c r="AM991" s="1"/>
    </row>
    <row r="992" ht="14.25" customHeight="1">
      <c r="A992" s="1"/>
      <c r="B992" s="1"/>
      <c r="F992" s="1"/>
      <c r="AM992" s="1"/>
    </row>
    <row r="993" ht="14.25" customHeight="1">
      <c r="A993" s="1"/>
      <c r="B993" s="1"/>
      <c r="F993" s="1"/>
      <c r="AM993" s="1"/>
    </row>
    <row r="994" ht="14.25" customHeight="1">
      <c r="A994" s="1"/>
      <c r="B994" s="1"/>
      <c r="F994" s="1"/>
      <c r="AM994" s="1"/>
    </row>
    <row r="995" ht="14.25" customHeight="1">
      <c r="A995" s="1"/>
      <c r="B995" s="1"/>
      <c r="F995" s="1"/>
      <c r="AM995" s="1"/>
    </row>
    <row r="996" ht="14.25" customHeight="1">
      <c r="A996" s="1"/>
      <c r="B996" s="1"/>
      <c r="F996" s="1"/>
      <c r="AM996" s="1"/>
    </row>
    <row r="997" ht="14.25" customHeight="1">
      <c r="A997" s="1"/>
      <c r="B997" s="1"/>
      <c r="F997" s="1"/>
      <c r="AM997" s="1"/>
    </row>
    <row r="998" ht="14.25" customHeight="1">
      <c r="A998" s="1"/>
      <c r="B998" s="1"/>
      <c r="F998" s="1"/>
      <c r="AM998" s="1"/>
    </row>
    <row r="999" ht="14.25" customHeight="1">
      <c r="A999" s="1"/>
      <c r="B999" s="1"/>
      <c r="F999" s="1"/>
      <c r="AM999" s="1"/>
    </row>
    <row r="1000" ht="14.25" customHeight="1">
      <c r="A1000" s="1"/>
      <c r="B1000" s="1"/>
      <c r="F1000" s="1"/>
      <c r="AM1000" s="1"/>
    </row>
  </sheetData>
  <mergeCells count="69">
    <mergeCell ref="H8:O8"/>
    <mergeCell ref="P8:W8"/>
    <mergeCell ref="X8:AE8"/>
    <mergeCell ref="AF8:AM8"/>
    <mergeCell ref="H9:AM9"/>
    <mergeCell ref="H10:AM10"/>
    <mergeCell ref="H11:AD11"/>
    <mergeCell ref="AF11:AG11"/>
    <mergeCell ref="AK11:AM11"/>
    <mergeCell ref="H12:AM12"/>
    <mergeCell ref="H13:AK13"/>
    <mergeCell ref="H14:AF14"/>
    <mergeCell ref="AG14:AI14"/>
    <mergeCell ref="AK14:AM14"/>
    <mergeCell ref="H15:AD15"/>
    <mergeCell ref="K33:R33"/>
    <mergeCell ref="K34:R34"/>
    <mergeCell ref="I27:J27"/>
    <mergeCell ref="K27:P27"/>
    <mergeCell ref="I29:R29"/>
    <mergeCell ref="I30:J30"/>
    <mergeCell ref="K30:R30"/>
    <mergeCell ref="I32:R32"/>
    <mergeCell ref="I33:J34"/>
    <mergeCell ref="K40:R40"/>
    <mergeCell ref="I42:Y42"/>
    <mergeCell ref="I43:J43"/>
    <mergeCell ref="K43:P43"/>
    <mergeCell ref="R43:S43"/>
    <mergeCell ref="T43:Y43"/>
    <mergeCell ref="I35:J36"/>
    <mergeCell ref="K35:R35"/>
    <mergeCell ref="K36:R36"/>
    <mergeCell ref="I38:R38"/>
    <mergeCell ref="I39:J39"/>
    <mergeCell ref="K39:R39"/>
    <mergeCell ref="I40:J40"/>
    <mergeCell ref="H3:AM6"/>
    <mergeCell ref="H7:W7"/>
    <mergeCell ref="X7:AE7"/>
    <mergeCell ref="AF7:AM7"/>
    <mergeCell ref="AF15:AG15"/>
    <mergeCell ref="AK15:AM15"/>
    <mergeCell ref="X18:AM18"/>
    <mergeCell ref="X19:AM19"/>
    <mergeCell ref="X20:AM20"/>
    <mergeCell ref="X21:AM21"/>
    <mergeCell ref="H1:O1"/>
    <mergeCell ref="P1:W1"/>
    <mergeCell ref="X1:AE1"/>
    <mergeCell ref="AF1:AM1"/>
    <mergeCell ref="B3:B21"/>
    <mergeCell ref="C3:C21"/>
    <mergeCell ref="E3:E6"/>
    <mergeCell ref="E18:E21"/>
    <mergeCell ref="H18:W18"/>
    <mergeCell ref="H19:W19"/>
    <mergeCell ref="H20:W20"/>
    <mergeCell ref="H21:W21"/>
    <mergeCell ref="I23:Z23"/>
    <mergeCell ref="I24:J24"/>
    <mergeCell ref="T24:Z24"/>
    <mergeCell ref="K24:P24"/>
    <mergeCell ref="R24:S25"/>
    <mergeCell ref="I25:J25"/>
    <mergeCell ref="K25:P25"/>
    <mergeCell ref="T25:Z25"/>
    <mergeCell ref="I26:J26"/>
    <mergeCell ref="K26:P26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9.0" ySplit="15.0" topLeftCell="AN16" activePane="bottomRight" state="frozen"/>
      <selection activeCell="AN1" sqref="AN1" pane="topRight"/>
      <selection activeCell="A16" sqref="A16" pane="bottomLeft"/>
      <selection activeCell="AN16" sqref="AN16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7.63"/>
  </cols>
  <sheetData>
    <row r="1" ht="14.25" customHeight="1">
      <c r="B1" s="1"/>
      <c r="F1" s="1"/>
      <c r="H1" s="120">
        <v>3.0</v>
      </c>
      <c r="I1" s="121"/>
      <c r="J1" s="121"/>
      <c r="K1" s="121"/>
      <c r="L1" s="121"/>
      <c r="M1" s="121"/>
      <c r="N1" s="121"/>
      <c r="O1" s="122"/>
      <c r="P1" s="120">
        <v>2.0</v>
      </c>
      <c r="Q1" s="121"/>
      <c r="R1" s="121"/>
      <c r="S1" s="121"/>
      <c r="T1" s="121"/>
      <c r="U1" s="121"/>
      <c r="V1" s="121"/>
      <c r="W1" s="122"/>
      <c r="X1" s="120">
        <v>1.0</v>
      </c>
      <c r="Y1" s="121"/>
      <c r="Z1" s="121"/>
      <c r="AA1" s="121"/>
      <c r="AB1" s="121"/>
      <c r="AC1" s="121"/>
      <c r="AD1" s="121"/>
      <c r="AE1" s="122"/>
      <c r="AF1" s="120">
        <v>0.0</v>
      </c>
      <c r="AG1" s="121"/>
      <c r="AH1" s="121"/>
      <c r="AI1" s="121"/>
      <c r="AJ1" s="121"/>
      <c r="AK1" s="121"/>
      <c r="AL1" s="121"/>
      <c r="AM1" s="122"/>
    </row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5" t="s">
        <v>315</v>
      </c>
      <c r="C3" s="46" t="s">
        <v>316</v>
      </c>
      <c r="D3" s="49" t="str">
        <f t="shared" ref="D3:D15" si="2">DEC2HEX(A3*4, 3)</f>
        <v>000</v>
      </c>
      <c r="E3" s="48" t="s">
        <v>83</v>
      </c>
      <c r="F3" s="49" t="s">
        <v>87</v>
      </c>
      <c r="G3" s="41"/>
      <c r="H3" s="51" t="s">
        <v>317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4"/>
      <c r="C4" s="55"/>
      <c r="D4" s="56" t="str">
        <f t="shared" si="2"/>
        <v>004</v>
      </c>
      <c r="E4" s="55"/>
      <c r="F4" s="56" t="s">
        <v>87</v>
      </c>
      <c r="G4" s="7"/>
      <c r="H4" s="55"/>
      <c r="AM4" s="57"/>
    </row>
    <row r="5" ht="16.5" customHeight="1">
      <c r="A5" s="1">
        <v>2.0</v>
      </c>
      <c r="B5" s="54"/>
      <c r="C5" s="55"/>
      <c r="D5" s="56" t="str">
        <f t="shared" si="2"/>
        <v>008</v>
      </c>
      <c r="E5" s="55"/>
      <c r="F5" s="56" t="s">
        <v>87</v>
      </c>
      <c r="G5" s="7"/>
      <c r="H5" s="55"/>
      <c r="AM5" s="57"/>
    </row>
    <row r="6" ht="14.25" customHeight="1">
      <c r="A6" s="1">
        <v>3.0</v>
      </c>
      <c r="B6" s="54"/>
      <c r="C6" s="55"/>
      <c r="D6" s="56" t="str">
        <f t="shared" si="2"/>
        <v>00C</v>
      </c>
      <c r="E6" s="55"/>
      <c r="F6" s="56" t="s">
        <v>87</v>
      </c>
      <c r="G6" s="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4"/>
      <c r="C7" s="55"/>
      <c r="D7" s="56" t="str">
        <f t="shared" si="2"/>
        <v>010</v>
      </c>
      <c r="E7" s="61" t="s">
        <v>89</v>
      </c>
      <c r="F7" s="56" t="s">
        <v>87</v>
      </c>
      <c r="G7" s="7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4"/>
      <c r="C8" s="55"/>
      <c r="D8" s="56" t="str">
        <f t="shared" si="2"/>
        <v>014</v>
      </c>
      <c r="E8" s="61" t="s">
        <v>92</v>
      </c>
      <c r="F8" s="56" t="s">
        <v>87</v>
      </c>
      <c r="G8" s="7"/>
      <c r="H8" s="62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64"/>
    </row>
    <row r="9" ht="14.25" customHeight="1">
      <c r="A9" s="1">
        <v>6.0</v>
      </c>
      <c r="B9" s="54"/>
      <c r="C9" s="55"/>
      <c r="D9" s="56" t="str">
        <f t="shared" si="2"/>
        <v>018</v>
      </c>
      <c r="E9" s="72" t="s">
        <v>96</v>
      </c>
      <c r="F9" s="56" t="s">
        <v>84</v>
      </c>
      <c r="G9" s="7"/>
      <c r="H9" s="6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64"/>
    </row>
    <row r="10" ht="14.25" customHeight="1">
      <c r="A10" s="1">
        <v>7.0</v>
      </c>
      <c r="B10" s="54"/>
      <c r="C10" s="55"/>
      <c r="D10" s="56" t="str">
        <f t="shared" si="2"/>
        <v>01C</v>
      </c>
      <c r="E10" s="72" t="s">
        <v>96</v>
      </c>
      <c r="F10" s="73" t="s">
        <v>84</v>
      </c>
      <c r="G10" s="7"/>
      <c r="H10" s="6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4"/>
    </row>
    <row r="11" ht="14.25" customHeight="1">
      <c r="A11" s="1">
        <v>8.0</v>
      </c>
      <c r="B11" s="54"/>
      <c r="C11" s="55"/>
      <c r="D11" s="56" t="str">
        <f t="shared" si="2"/>
        <v>020</v>
      </c>
      <c r="E11" s="61" t="s">
        <v>126</v>
      </c>
      <c r="F11" s="56" t="s">
        <v>84</v>
      </c>
      <c r="G11" s="7"/>
      <c r="H11" s="61" t="s">
        <v>264</v>
      </c>
      <c r="I11" s="88" t="s">
        <v>127</v>
      </c>
      <c r="J11" s="89"/>
      <c r="K11" s="32"/>
      <c r="L11" s="32"/>
      <c r="M11" s="33"/>
      <c r="N11" s="88" t="s">
        <v>263</v>
      </c>
      <c r="O11" s="88" t="s">
        <v>318</v>
      </c>
      <c r="P11" s="63" t="s">
        <v>319</v>
      </c>
      <c r="Q11" s="32"/>
      <c r="R11" s="32"/>
      <c r="S11" s="33"/>
      <c r="T11" s="63" t="s">
        <v>320</v>
      </c>
      <c r="U11" s="32"/>
      <c r="V11" s="32"/>
      <c r="W11" s="33"/>
      <c r="X11" s="63" t="s">
        <v>321</v>
      </c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199"/>
      <c r="AK11" s="32"/>
      <c r="AL11" s="32"/>
      <c r="AM11" s="64"/>
    </row>
    <row r="12" ht="14.25" customHeight="1">
      <c r="A12" s="1">
        <v>9.0</v>
      </c>
      <c r="B12" s="54"/>
      <c r="C12" s="55"/>
      <c r="D12" s="56" t="str">
        <f t="shared" si="2"/>
        <v>024</v>
      </c>
      <c r="E12" s="61"/>
      <c r="F12" s="56"/>
      <c r="G12" s="7"/>
      <c r="H12" s="6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64"/>
    </row>
    <row r="13" ht="14.25" customHeight="1">
      <c r="A13" s="1">
        <v>10.0</v>
      </c>
      <c r="B13" s="54"/>
      <c r="C13" s="55"/>
      <c r="D13" s="56" t="str">
        <f t="shared" si="2"/>
        <v>028</v>
      </c>
      <c r="E13" s="61"/>
      <c r="F13" s="56"/>
      <c r="G13" s="7"/>
      <c r="H13" s="6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64"/>
    </row>
    <row r="14" ht="14.25" customHeight="1">
      <c r="A14" s="1">
        <v>11.0</v>
      </c>
      <c r="B14" s="54"/>
      <c r="C14" s="55"/>
      <c r="D14" s="56" t="str">
        <f t="shared" si="2"/>
        <v>02C</v>
      </c>
      <c r="E14" s="61"/>
      <c r="F14" s="56"/>
      <c r="G14" s="7"/>
      <c r="H14" s="6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64"/>
    </row>
    <row r="15" ht="14.25" customHeight="1">
      <c r="A15" s="1">
        <v>12.0</v>
      </c>
      <c r="B15" s="77"/>
      <c r="C15" s="78"/>
      <c r="D15" s="91" t="str">
        <f t="shared" si="2"/>
        <v>030</v>
      </c>
      <c r="E15" s="90" t="s">
        <v>137</v>
      </c>
      <c r="F15" s="91" t="s">
        <v>87</v>
      </c>
      <c r="G15" s="15"/>
      <c r="H15" s="90" t="s">
        <v>149</v>
      </c>
      <c r="I15" s="200" t="s">
        <v>322</v>
      </c>
      <c r="J15" s="126"/>
      <c r="K15" s="93"/>
      <c r="L15" s="93"/>
      <c r="M15" s="93"/>
      <c r="N15" s="93"/>
      <c r="O15" s="94"/>
      <c r="P15" s="95" t="s">
        <v>323</v>
      </c>
      <c r="Q15" s="93"/>
      <c r="R15" s="93"/>
      <c r="S15" s="94"/>
      <c r="T15" s="95" t="s">
        <v>324</v>
      </c>
      <c r="U15" s="93"/>
      <c r="V15" s="93"/>
      <c r="W15" s="94"/>
      <c r="X15" s="95" t="s">
        <v>325</v>
      </c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201"/>
      <c r="AK15" s="93"/>
      <c r="AL15" s="93"/>
      <c r="AM15" s="96"/>
    </row>
    <row r="16" ht="14.25" customHeight="1">
      <c r="A16" s="1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ht="14.25" customHeight="1">
      <c r="I17" s="97" t="s">
        <v>326</v>
      </c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9"/>
    </row>
    <row r="18" ht="14.25" customHeight="1">
      <c r="I18" s="190" t="s">
        <v>327</v>
      </c>
      <c r="J18" s="191"/>
      <c r="K18" s="192" t="s">
        <v>328</v>
      </c>
      <c r="L18" s="59"/>
      <c r="M18" s="59"/>
      <c r="N18" s="59"/>
      <c r="O18" s="59"/>
      <c r="P18" s="60"/>
      <c r="R18" s="130" t="s">
        <v>329</v>
      </c>
      <c r="S18" s="129"/>
      <c r="T18" s="138" t="s">
        <v>330</v>
      </c>
      <c r="U18" s="112"/>
      <c r="V18" s="112"/>
      <c r="W18" s="112"/>
      <c r="X18" s="112"/>
      <c r="Y18" s="112"/>
      <c r="Z18" s="113"/>
    </row>
    <row r="19" ht="14.25" customHeight="1">
      <c r="I19" s="153" t="s">
        <v>331</v>
      </c>
      <c r="J19" s="33"/>
      <c r="K19" s="139" t="s">
        <v>207</v>
      </c>
      <c r="L19" s="32"/>
      <c r="M19" s="32"/>
      <c r="N19" s="32"/>
      <c r="O19" s="32"/>
      <c r="P19" s="64"/>
      <c r="R19" s="153" t="s">
        <v>332</v>
      </c>
      <c r="S19" s="33"/>
      <c r="T19" s="139" t="s">
        <v>333</v>
      </c>
      <c r="U19" s="32"/>
      <c r="V19" s="32"/>
      <c r="W19" s="32"/>
      <c r="X19" s="32"/>
      <c r="Y19" s="32"/>
      <c r="Z19" s="64"/>
    </row>
    <row r="20" ht="14.25" customHeight="1">
      <c r="I20" s="153" t="s">
        <v>334</v>
      </c>
      <c r="J20" s="33"/>
      <c r="K20" s="139" t="s">
        <v>335</v>
      </c>
      <c r="L20" s="32"/>
      <c r="M20" s="32"/>
      <c r="N20" s="32"/>
      <c r="O20" s="32"/>
      <c r="P20" s="64"/>
      <c r="R20" s="116" t="s">
        <v>336</v>
      </c>
      <c r="S20" s="94"/>
      <c r="T20" s="117" t="s">
        <v>337</v>
      </c>
      <c r="U20" s="93"/>
      <c r="V20" s="93"/>
      <c r="W20" s="93"/>
      <c r="X20" s="93"/>
      <c r="Y20" s="93"/>
      <c r="Z20" s="96"/>
    </row>
    <row r="21" ht="14.25" customHeight="1">
      <c r="I21" s="116" t="s">
        <v>338</v>
      </c>
      <c r="J21" s="94"/>
      <c r="K21" s="117" t="s">
        <v>339</v>
      </c>
      <c r="L21" s="93"/>
      <c r="M21" s="93"/>
      <c r="N21" s="93"/>
      <c r="O21" s="93"/>
      <c r="P21" s="96"/>
      <c r="V21" s="27"/>
      <c r="W21" s="27"/>
      <c r="X21" s="27"/>
      <c r="Y21" s="27"/>
      <c r="Z21" s="27"/>
    </row>
    <row r="22" ht="14.25" customHeight="1"/>
    <row r="23" ht="14.25" customHeight="1">
      <c r="I23" s="165" t="s">
        <v>340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ht="14.25" customHeight="1">
      <c r="I24" s="196" t="s">
        <v>341</v>
      </c>
      <c r="J24" s="150"/>
      <c r="K24" s="151" t="s">
        <v>342</v>
      </c>
      <c r="L24" s="108"/>
      <c r="M24" s="108"/>
      <c r="N24" s="108"/>
      <c r="O24" s="108"/>
      <c r="P24" s="109"/>
      <c r="R24" s="130" t="s">
        <v>343</v>
      </c>
      <c r="S24" s="129"/>
      <c r="T24" s="138" t="s">
        <v>344</v>
      </c>
      <c r="U24" s="112"/>
      <c r="V24" s="112"/>
      <c r="W24" s="112"/>
      <c r="X24" s="112"/>
      <c r="Y24" s="113"/>
    </row>
    <row r="25" ht="14.25" customHeight="1">
      <c r="I25" s="196" t="s">
        <v>345</v>
      </c>
      <c r="J25" s="150"/>
      <c r="K25" s="197" t="s">
        <v>346</v>
      </c>
      <c r="L25" s="108"/>
      <c r="M25" s="108"/>
      <c r="N25" s="108"/>
      <c r="O25" s="108"/>
      <c r="P25" s="109"/>
      <c r="R25" s="116" t="s">
        <v>336</v>
      </c>
      <c r="S25" s="94"/>
      <c r="T25" s="117" t="s">
        <v>347</v>
      </c>
      <c r="U25" s="93"/>
      <c r="V25" s="93"/>
      <c r="W25" s="93"/>
      <c r="X25" s="93"/>
      <c r="Y25" s="9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4">
    <mergeCell ref="H3:AM6"/>
    <mergeCell ref="H7:W7"/>
    <mergeCell ref="X7:AE7"/>
    <mergeCell ref="AF7:AM7"/>
    <mergeCell ref="T15:W15"/>
    <mergeCell ref="X15:AI15"/>
    <mergeCell ref="H1:O1"/>
    <mergeCell ref="P1:W1"/>
    <mergeCell ref="X1:AE1"/>
    <mergeCell ref="AF1:AM1"/>
    <mergeCell ref="B3:B15"/>
    <mergeCell ref="C3:C15"/>
    <mergeCell ref="E3:E6"/>
    <mergeCell ref="AJ15:AM15"/>
    <mergeCell ref="J15:O15"/>
    <mergeCell ref="P15:S15"/>
    <mergeCell ref="I17:Z17"/>
    <mergeCell ref="I18:J18"/>
    <mergeCell ref="K18:P18"/>
    <mergeCell ref="R18:S18"/>
    <mergeCell ref="T18:Z18"/>
    <mergeCell ref="I19:J19"/>
    <mergeCell ref="K19:P19"/>
    <mergeCell ref="R19:S19"/>
    <mergeCell ref="T19:Z19"/>
    <mergeCell ref="K20:P20"/>
    <mergeCell ref="R20:S20"/>
    <mergeCell ref="T20:Z20"/>
    <mergeCell ref="I24:J24"/>
    <mergeCell ref="I25:J25"/>
    <mergeCell ref="K25:P25"/>
    <mergeCell ref="R25:S25"/>
    <mergeCell ref="T25:Y25"/>
    <mergeCell ref="I20:J20"/>
    <mergeCell ref="I21:J21"/>
    <mergeCell ref="K21:P21"/>
    <mergeCell ref="I23:Y23"/>
    <mergeCell ref="K24:P24"/>
    <mergeCell ref="R24:S24"/>
    <mergeCell ref="T24:Y24"/>
    <mergeCell ref="H8:O8"/>
    <mergeCell ref="P8:W8"/>
    <mergeCell ref="X8:AE8"/>
    <mergeCell ref="AF8:AM8"/>
    <mergeCell ref="H9:AM9"/>
    <mergeCell ref="H10:AM10"/>
    <mergeCell ref="J11:M11"/>
    <mergeCell ref="P11:S11"/>
    <mergeCell ref="T11:W11"/>
    <mergeCell ref="X11:AI11"/>
    <mergeCell ref="AJ11:AM11"/>
    <mergeCell ref="H12:AM12"/>
    <mergeCell ref="H13:AM13"/>
    <mergeCell ref="H14:AM14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9.0" ySplit="24.0" topLeftCell="AN25" activePane="bottomRight" state="frozen"/>
      <selection activeCell="AN1" sqref="AN1" pane="topRight"/>
      <selection activeCell="A25" sqref="A25" pane="bottomLeft"/>
      <selection activeCell="AN25" sqref="AN25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0" width="7.63"/>
  </cols>
  <sheetData>
    <row r="1" ht="14.25" customHeight="1"/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5" t="s">
        <v>348</v>
      </c>
      <c r="C3" s="46" t="s">
        <v>349</v>
      </c>
      <c r="D3" s="49" t="str">
        <f t="shared" ref="D3:D20" si="2">DEC2HEX(A3*4, 3)</f>
        <v>000</v>
      </c>
      <c r="E3" s="48" t="s">
        <v>83</v>
      </c>
      <c r="F3" s="49" t="s">
        <v>87</v>
      </c>
      <c r="G3" s="202"/>
      <c r="H3" s="68" t="s">
        <v>350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70"/>
    </row>
    <row r="4" ht="14.25" customHeight="1">
      <c r="A4" s="1">
        <v>1.0</v>
      </c>
      <c r="B4" s="54"/>
      <c r="C4" s="55"/>
      <c r="D4" s="56" t="str">
        <f t="shared" si="2"/>
        <v>004</v>
      </c>
      <c r="E4" s="55"/>
      <c r="F4" s="56" t="s">
        <v>87</v>
      </c>
      <c r="G4" s="124"/>
      <c r="H4" s="203"/>
      <c r="AM4" s="204"/>
    </row>
    <row r="5" ht="14.25" customHeight="1">
      <c r="A5" s="1">
        <v>2.0</v>
      </c>
      <c r="B5" s="54"/>
      <c r="C5" s="55"/>
      <c r="D5" s="56" t="str">
        <f t="shared" si="2"/>
        <v>008</v>
      </c>
      <c r="E5" s="55"/>
      <c r="F5" s="56" t="s">
        <v>87</v>
      </c>
      <c r="G5" s="124"/>
      <c r="H5" s="203"/>
      <c r="AM5" s="204"/>
    </row>
    <row r="6" ht="14.25" customHeight="1">
      <c r="A6" s="1">
        <v>3.0</v>
      </c>
      <c r="B6" s="54"/>
      <c r="C6" s="55"/>
      <c r="D6" s="56" t="str">
        <f t="shared" si="2"/>
        <v>00C</v>
      </c>
      <c r="E6" s="55"/>
      <c r="F6" s="56" t="s">
        <v>87</v>
      </c>
      <c r="G6" s="124"/>
      <c r="H6" s="205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114"/>
    </row>
    <row r="7" ht="14.25" customHeight="1">
      <c r="A7" s="1">
        <v>4.0</v>
      </c>
      <c r="B7" s="54"/>
      <c r="C7" s="55"/>
      <c r="D7" s="56" t="str">
        <f t="shared" si="2"/>
        <v>010</v>
      </c>
      <c r="E7" s="61" t="s">
        <v>89</v>
      </c>
      <c r="F7" s="56" t="s">
        <v>87</v>
      </c>
      <c r="G7" s="124"/>
      <c r="H7" s="89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33"/>
    </row>
    <row r="8" ht="14.25" customHeight="1">
      <c r="A8" s="1">
        <v>5.0</v>
      </c>
      <c r="B8" s="54"/>
      <c r="C8" s="55"/>
      <c r="D8" s="56" t="str">
        <f t="shared" si="2"/>
        <v>014</v>
      </c>
      <c r="E8" s="61" t="s">
        <v>92</v>
      </c>
      <c r="F8" s="56" t="s">
        <v>87</v>
      </c>
      <c r="G8" s="124"/>
      <c r="H8" s="89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33"/>
    </row>
    <row r="9" ht="14.25" customHeight="1">
      <c r="A9" s="1">
        <v>6.0</v>
      </c>
      <c r="B9" s="54"/>
      <c r="C9" s="55"/>
      <c r="D9" s="56" t="str">
        <f t="shared" si="2"/>
        <v>018</v>
      </c>
      <c r="E9" s="72" t="s">
        <v>96</v>
      </c>
      <c r="F9" s="56" t="s">
        <v>84</v>
      </c>
      <c r="G9" s="124"/>
      <c r="H9" s="89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3"/>
    </row>
    <row r="10" ht="14.25" customHeight="1">
      <c r="A10" s="1">
        <v>7.0</v>
      </c>
      <c r="B10" s="54"/>
      <c r="C10" s="55"/>
      <c r="D10" s="56" t="str">
        <f t="shared" si="2"/>
        <v>01C</v>
      </c>
      <c r="E10" s="72" t="s">
        <v>96</v>
      </c>
      <c r="F10" s="73" t="s">
        <v>84</v>
      </c>
      <c r="G10" s="124"/>
      <c r="H10" s="89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3"/>
    </row>
    <row r="11" ht="14.25" customHeight="1">
      <c r="A11" s="1">
        <v>8.0</v>
      </c>
      <c r="B11" s="54"/>
      <c r="C11" s="55"/>
      <c r="D11" s="56" t="str">
        <f t="shared" si="2"/>
        <v>020</v>
      </c>
      <c r="E11" s="72" t="s">
        <v>126</v>
      </c>
      <c r="F11" s="73" t="s">
        <v>84</v>
      </c>
      <c r="G11" s="27"/>
      <c r="H11" s="164" t="s">
        <v>190</v>
      </c>
      <c r="I11" s="164" t="s">
        <v>191</v>
      </c>
      <c r="J11" s="89"/>
      <c r="K11" s="32"/>
      <c r="L11" s="32"/>
      <c r="M11" s="32"/>
      <c r="N11" s="33"/>
      <c r="O11" s="164" t="s">
        <v>351</v>
      </c>
      <c r="P11" s="144" t="s">
        <v>352</v>
      </c>
      <c r="Q11" s="32"/>
      <c r="R11" s="32"/>
      <c r="S11" s="32"/>
      <c r="T11" s="32"/>
      <c r="U11" s="32"/>
      <c r="V11" s="32"/>
      <c r="W11" s="33"/>
      <c r="X11" s="144" t="s">
        <v>353</v>
      </c>
      <c r="Y11" s="32"/>
      <c r="Z11" s="32"/>
      <c r="AA11" s="32"/>
      <c r="AB11" s="32"/>
      <c r="AC11" s="32"/>
      <c r="AD11" s="32"/>
      <c r="AE11" s="33"/>
      <c r="AF11" s="144" t="s">
        <v>354</v>
      </c>
      <c r="AG11" s="32"/>
      <c r="AH11" s="32"/>
      <c r="AI11" s="32"/>
      <c r="AJ11" s="32"/>
      <c r="AK11" s="32"/>
      <c r="AL11" s="32"/>
      <c r="AM11" s="33"/>
    </row>
    <row r="12" ht="14.25" customHeight="1">
      <c r="A12" s="1">
        <v>9.0</v>
      </c>
      <c r="B12" s="54"/>
      <c r="C12" s="55"/>
      <c r="D12" s="56" t="str">
        <f t="shared" si="2"/>
        <v>024</v>
      </c>
      <c r="E12" s="72"/>
      <c r="F12" s="73"/>
      <c r="G12" s="27"/>
      <c r="H12" s="8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3"/>
    </row>
    <row r="13" ht="14.25" customHeight="1">
      <c r="A13" s="1">
        <v>10.0</v>
      </c>
      <c r="B13" s="54"/>
      <c r="C13" s="55"/>
      <c r="D13" s="56" t="str">
        <f t="shared" si="2"/>
        <v>028</v>
      </c>
      <c r="E13" s="72" t="s">
        <v>355</v>
      </c>
      <c r="F13" s="73" t="s">
        <v>84</v>
      </c>
      <c r="G13" s="27"/>
      <c r="H13" s="8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3"/>
      <c r="AJ13" s="144" t="s">
        <v>356</v>
      </c>
      <c r="AK13" s="32"/>
      <c r="AL13" s="32"/>
      <c r="AM13" s="33"/>
    </row>
    <row r="14" ht="14.25" customHeight="1">
      <c r="A14" s="1">
        <v>11.0</v>
      </c>
      <c r="B14" s="54"/>
      <c r="C14" s="55"/>
      <c r="D14" s="56" t="str">
        <f t="shared" si="2"/>
        <v>02C</v>
      </c>
      <c r="E14" s="72" t="s">
        <v>357</v>
      </c>
      <c r="F14" s="73" t="s">
        <v>84</v>
      </c>
      <c r="G14" s="27"/>
      <c r="H14" s="8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3"/>
      <c r="AM14" s="164" t="s">
        <v>358</v>
      </c>
    </row>
    <row r="15" ht="14.25" customHeight="1">
      <c r="A15" s="1">
        <v>12.0</v>
      </c>
      <c r="B15" s="54"/>
      <c r="C15" s="55"/>
      <c r="D15" s="56" t="str">
        <f t="shared" si="2"/>
        <v>030</v>
      </c>
      <c r="E15" s="72" t="s">
        <v>137</v>
      </c>
      <c r="F15" s="73" t="s">
        <v>87</v>
      </c>
      <c r="G15" s="27"/>
      <c r="H15" s="89"/>
      <c r="I15" s="32"/>
      <c r="J15" s="32"/>
      <c r="K15" s="33"/>
      <c r="L15" s="144" t="s">
        <v>359</v>
      </c>
      <c r="M15" s="32"/>
      <c r="N15" s="32"/>
      <c r="O15" s="33"/>
      <c r="P15" s="89"/>
      <c r="Q15" s="32"/>
      <c r="R15" s="32"/>
      <c r="S15" s="33"/>
      <c r="T15" s="144" t="s">
        <v>360</v>
      </c>
      <c r="U15" s="32"/>
      <c r="V15" s="32"/>
      <c r="W15" s="33"/>
      <c r="X15" s="89"/>
      <c r="Y15" s="32"/>
      <c r="Z15" s="32"/>
      <c r="AA15" s="32"/>
      <c r="AB15" s="32"/>
      <c r="AC15" s="32"/>
      <c r="AD15" s="32"/>
      <c r="AE15" s="33"/>
      <c r="AF15" s="88" t="s">
        <v>149</v>
      </c>
      <c r="AG15" s="89"/>
      <c r="AH15" s="32"/>
      <c r="AI15" s="33"/>
      <c r="AJ15" s="88" t="s">
        <v>322</v>
      </c>
      <c r="AK15" s="89"/>
      <c r="AL15" s="33"/>
      <c r="AM15" s="88" t="s">
        <v>150</v>
      </c>
    </row>
    <row r="16" ht="14.25" customHeight="1">
      <c r="A16" s="1">
        <v>13.0</v>
      </c>
      <c r="B16" s="54"/>
      <c r="C16" s="55"/>
      <c r="D16" s="56" t="str">
        <f t="shared" si="2"/>
        <v>034</v>
      </c>
      <c r="E16" s="72"/>
      <c r="F16" s="73"/>
      <c r="G16" s="27"/>
      <c r="H16" s="8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3"/>
    </row>
    <row r="17" ht="14.25" customHeight="1">
      <c r="A17" s="1">
        <v>14.0</v>
      </c>
      <c r="B17" s="54"/>
      <c r="C17" s="55"/>
      <c r="D17" s="56" t="str">
        <f t="shared" si="2"/>
        <v>038</v>
      </c>
      <c r="E17" s="72"/>
      <c r="F17" s="73"/>
      <c r="G17" s="27"/>
      <c r="H17" s="8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3"/>
    </row>
    <row r="18" ht="14.25" customHeight="1">
      <c r="A18" s="1">
        <v>15.0</v>
      </c>
      <c r="B18" s="54"/>
      <c r="C18" s="55"/>
      <c r="D18" s="56" t="str">
        <f t="shared" si="2"/>
        <v>03C</v>
      </c>
      <c r="E18" s="72"/>
      <c r="F18" s="73"/>
      <c r="G18" s="27"/>
      <c r="H18" s="89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3"/>
    </row>
    <row r="19" ht="16.5" customHeight="1">
      <c r="A19" s="1">
        <v>16.0</v>
      </c>
      <c r="B19" s="54"/>
      <c r="C19" s="55"/>
      <c r="D19" s="56" t="str">
        <f t="shared" si="2"/>
        <v>040</v>
      </c>
      <c r="E19" s="72" t="s">
        <v>361</v>
      </c>
      <c r="F19" s="56" t="s">
        <v>84</v>
      </c>
      <c r="H19" s="63" t="s">
        <v>362</v>
      </c>
      <c r="I19" s="32"/>
      <c r="J19" s="32"/>
      <c r="K19" s="32"/>
      <c r="L19" s="32"/>
      <c r="M19" s="32"/>
      <c r="N19" s="32"/>
      <c r="O19" s="33"/>
      <c r="P19" s="63" t="s">
        <v>363</v>
      </c>
      <c r="Q19" s="32"/>
      <c r="R19" s="32"/>
      <c r="S19" s="32"/>
      <c r="T19" s="32"/>
      <c r="U19" s="32"/>
      <c r="V19" s="32"/>
      <c r="W19" s="33"/>
      <c r="X19" s="63" t="s">
        <v>364</v>
      </c>
      <c r="Y19" s="32"/>
      <c r="Z19" s="32"/>
      <c r="AA19" s="32"/>
      <c r="AB19" s="32"/>
      <c r="AC19" s="32"/>
      <c r="AD19" s="32"/>
      <c r="AE19" s="33"/>
      <c r="AF19" s="63" t="s">
        <v>365</v>
      </c>
      <c r="AG19" s="32"/>
      <c r="AH19" s="32"/>
      <c r="AI19" s="32"/>
      <c r="AJ19" s="32"/>
      <c r="AK19" s="32"/>
      <c r="AL19" s="32"/>
      <c r="AM19" s="33"/>
    </row>
    <row r="20" ht="14.25" customHeight="1">
      <c r="A20" s="1">
        <v>17.0</v>
      </c>
      <c r="B20" s="54"/>
      <c r="C20" s="55"/>
      <c r="D20" s="56" t="str">
        <f t="shared" si="2"/>
        <v>044</v>
      </c>
      <c r="E20" s="55"/>
      <c r="F20" s="56" t="s">
        <v>84</v>
      </c>
      <c r="H20" s="63" t="s">
        <v>366</v>
      </c>
      <c r="I20" s="32"/>
      <c r="J20" s="32"/>
      <c r="K20" s="32"/>
      <c r="L20" s="32"/>
      <c r="M20" s="32"/>
      <c r="N20" s="32"/>
      <c r="O20" s="33"/>
      <c r="P20" s="63" t="s">
        <v>367</v>
      </c>
      <c r="Q20" s="32"/>
      <c r="R20" s="32"/>
      <c r="S20" s="32"/>
      <c r="T20" s="32"/>
      <c r="U20" s="32"/>
      <c r="V20" s="32"/>
      <c r="W20" s="33"/>
      <c r="X20" s="63" t="s">
        <v>368</v>
      </c>
      <c r="Y20" s="32"/>
      <c r="Z20" s="32"/>
      <c r="AA20" s="32"/>
      <c r="AB20" s="32"/>
      <c r="AC20" s="32"/>
      <c r="AD20" s="32"/>
      <c r="AE20" s="33"/>
      <c r="AF20" s="63" t="s">
        <v>369</v>
      </c>
      <c r="AG20" s="32"/>
      <c r="AH20" s="32"/>
      <c r="AI20" s="32"/>
      <c r="AJ20" s="32"/>
      <c r="AK20" s="32"/>
      <c r="AL20" s="32"/>
      <c r="AM20" s="33"/>
    </row>
    <row r="21" ht="14.25" customHeight="1">
      <c r="A21" s="1"/>
      <c r="B21" s="54"/>
      <c r="C21" s="55"/>
      <c r="D21" s="184"/>
      <c r="E21" s="55"/>
      <c r="F21" s="184"/>
      <c r="H21" s="206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70"/>
    </row>
    <row r="22" ht="14.25" customHeight="1">
      <c r="A22" s="1"/>
      <c r="B22" s="54"/>
      <c r="C22" s="55"/>
      <c r="D22" s="184"/>
      <c r="E22" s="55"/>
      <c r="F22" s="184"/>
      <c r="H22" s="205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114"/>
    </row>
    <row r="23" ht="14.25" customHeight="1">
      <c r="A23" s="1">
        <v>270.0</v>
      </c>
      <c r="B23" s="54"/>
      <c r="C23" s="55"/>
      <c r="D23" s="56" t="str">
        <f t="shared" ref="D23:D24" si="3">DEC2HEX(A23*4, 3)</f>
        <v>438</v>
      </c>
      <c r="E23" s="55"/>
      <c r="F23" s="56" t="s">
        <v>84</v>
      </c>
      <c r="H23" s="63" t="s">
        <v>370</v>
      </c>
      <c r="I23" s="32"/>
      <c r="J23" s="32"/>
      <c r="K23" s="32"/>
      <c r="L23" s="32"/>
      <c r="M23" s="32"/>
      <c r="N23" s="32"/>
      <c r="O23" s="33"/>
      <c r="P23" s="63" t="s">
        <v>371</v>
      </c>
      <c r="Q23" s="32"/>
      <c r="R23" s="32"/>
      <c r="S23" s="32"/>
      <c r="T23" s="32"/>
      <c r="U23" s="32"/>
      <c r="V23" s="32"/>
      <c r="W23" s="33"/>
      <c r="X23" s="63" t="s">
        <v>372</v>
      </c>
      <c r="Y23" s="32"/>
      <c r="Z23" s="32"/>
      <c r="AA23" s="32"/>
      <c r="AB23" s="32"/>
      <c r="AC23" s="32"/>
      <c r="AD23" s="32"/>
      <c r="AE23" s="33"/>
      <c r="AF23" s="63" t="s">
        <v>373</v>
      </c>
      <c r="AG23" s="32"/>
      <c r="AH23" s="32"/>
      <c r="AI23" s="32"/>
      <c r="AJ23" s="32"/>
      <c r="AK23" s="32"/>
      <c r="AL23" s="32"/>
      <c r="AM23" s="33"/>
    </row>
    <row r="24" ht="14.25" customHeight="1">
      <c r="A24" s="1">
        <v>271.0</v>
      </c>
      <c r="B24" s="77"/>
      <c r="C24" s="78"/>
      <c r="D24" s="91" t="str">
        <f t="shared" si="3"/>
        <v>43C</v>
      </c>
      <c r="E24" s="78"/>
      <c r="F24" s="91" t="s">
        <v>84</v>
      </c>
      <c r="H24" s="63" t="s">
        <v>374</v>
      </c>
      <c r="I24" s="32"/>
      <c r="J24" s="32"/>
      <c r="K24" s="32"/>
      <c r="L24" s="32"/>
      <c r="M24" s="32"/>
      <c r="N24" s="32"/>
      <c r="O24" s="33"/>
      <c r="P24" s="63" t="s">
        <v>375</v>
      </c>
      <c r="Q24" s="32"/>
      <c r="R24" s="32"/>
      <c r="S24" s="32"/>
      <c r="T24" s="32"/>
      <c r="U24" s="32"/>
      <c r="V24" s="32"/>
      <c r="W24" s="33"/>
      <c r="X24" s="63" t="s">
        <v>376</v>
      </c>
      <c r="Y24" s="32"/>
      <c r="Z24" s="32"/>
      <c r="AA24" s="32"/>
      <c r="AB24" s="32"/>
      <c r="AC24" s="32"/>
      <c r="AD24" s="32"/>
      <c r="AE24" s="33"/>
      <c r="AF24" s="63" t="s">
        <v>377</v>
      </c>
      <c r="AG24" s="32"/>
      <c r="AH24" s="32"/>
      <c r="AI24" s="32"/>
      <c r="AJ24" s="32"/>
      <c r="AK24" s="32"/>
      <c r="AL24" s="32"/>
      <c r="AM24" s="33"/>
    </row>
    <row r="25" ht="14.25" customHeight="1"/>
    <row r="26" ht="14.25" customHeight="1">
      <c r="I26" s="97" t="s">
        <v>378</v>
      </c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9"/>
    </row>
    <row r="27" ht="14.25" customHeight="1">
      <c r="I27" s="190" t="s">
        <v>379</v>
      </c>
      <c r="J27" s="191"/>
      <c r="K27" s="192" t="s">
        <v>380</v>
      </c>
      <c r="L27" s="59"/>
      <c r="M27" s="59"/>
      <c r="N27" s="59"/>
      <c r="O27" s="59"/>
      <c r="P27" s="60"/>
      <c r="R27" s="100" t="s">
        <v>381</v>
      </c>
      <c r="S27" s="101"/>
      <c r="T27" s="138" t="s">
        <v>382</v>
      </c>
      <c r="U27" s="112"/>
      <c r="V27" s="112"/>
      <c r="W27" s="112"/>
      <c r="X27" s="112"/>
      <c r="Y27" s="112"/>
      <c r="Z27" s="113"/>
    </row>
    <row r="28" ht="14.25" customHeight="1">
      <c r="I28" s="153" t="s">
        <v>383</v>
      </c>
      <c r="J28" s="33"/>
      <c r="K28" s="139" t="s">
        <v>384</v>
      </c>
      <c r="L28" s="32"/>
      <c r="M28" s="32"/>
      <c r="N28" s="32"/>
      <c r="O28" s="32"/>
      <c r="P28" s="64"/>
      <c r="R28" s="58"/>
      <c r="S28" s="114"/>
      <c r="T28" s="139" t="s">
        <v>385</v>
      </c>
      <c r="U28" s="32"/>
      <c r="V28" s="32"/>
      <c r="W28" s="32"/>
      <c r="X28" s="32"/>
      <c r="Y28" s="32"/>
      <c r="Z28" s="64"/>
    </row>
    <row r="29" ht="14.25" customHeight="1">
      <c r="I29" s="153" t="s">
        <v>386</v>
      </c>
      <c r="J29" s="33"/>
      <c r="K29" s="207" t="s">
        <v>387</v>
      </c>
      <c r="L29" s="32"/>
      <c r="M29" s="32"/>
      <c r="N29" s="32"/>
      <c r="O29" s="32"/>
      <c r="P29" s="64"/>
      <c r="R29" s="116" t="s">
        <v>388</v>
      </c>
      <c r="S29" s="94"/>
      <c r="T29" s="117" t="s">
        <v>389</v>
      </c>
      <c r="U29" s="93"/>
      <c r="V29" s="93"/>
      <c r="W29" s="93"/>
      <c r="X29" s="93"/>
      <c r="Y29" s="93"/>
      <c r="Z29" s="96"/>
    </row>
    <row r="30" ht="14.25" customHeight="1"/>
    <row r="31" ht="14.25" customHeight="1">
      <c r="I31" s="137" t="s">
        <v>390</v>
      </c>
      <c r="J31" s="108"/>
      <c r="K31" s="108"/>
      <c r="L31" s="108"/>
      <c r="M31" s="108"/>
      <c r="N31" s="108"/>
      <c r="O31" s="108"/>
      <c r="P31" s="109"/>
    </row>
    <row r="32" ht="14.25" customHeight="1">
      <c r="I32" s="196" t="s">
        <v>391</v>
      </c>
      <c r="J32" s="150"/>
      <c r="K32" s="197" t="s">
        <v>392</v>
      </c>
      <c r="L32" s="108"/>
      <c r="M32" s="108"/>
      <c r="N32" s="108"/>
      <c r="O32" s="108"/>
      <c r="P32" s="109"/>
      <c r="R32" s="27"/>
      <c r="S32" s="27"/>
      <c r="T32" s="27"/>
      <c r="U32" s="27"/>
      <c r="V32" s="27"/>
      <c r="W32" s="27"/>
      <c r="X32" s="27"/>
      <c r="Y32" s="27"/>
    </row>
    <row r="33" ht="14.25" customHeight="1"/>
    <row r="34" ht="14.25" customHeight="1">
      <c r="I34" s="137" t="s">
        <v>393</v>
      </c>
      <c r="J34" s="108"/>
      <c r="K34" s="108"/>
      <c r="L34" s="108"/>
      <c r="M34" s="108"/>
      <c r="N34" s="108"/>
      <c r="O34" s="108"/>
      <c r="P34" s="109"/>
    </row>
    <row r="35" ht="14.25" customHeight="1">
      <c r="A35" s="161"/>
      <c r="I35" s="149" t="s">
        <v>394</v>
      </c>
      <c r="J35" s="150"/>
      <c r="K35" s="197" t="s">
        <v>395</v>
      </c>
      <c r="L35" s="108"/>
      <c r="M35" s="108"/>
      <c r="N35" s="108"/>
      <c r="O35" s="108"/>
      <c r="P35" s="109"/>
    </row>
    <row r="36" ht="14.25" customHeight="1"/>
    <row r="37" ht="14.25" customHeight="1">
      <c r="A37" s="161"/>
      <c r="I37" s="137" t="s">
        <v>396</v>
      </c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9"/>
    </row>
    <row r="38" ht="14.25" customHeight="1">
      <c r="I38" s="208" t="s">
        <v>397</v>
      </c>
      <c r="J38" s="191"/>
      <c r="K38" s="192" t="s">
        <v>398</v>
      </c>
      <c r="L38" s="59"/>
      <c r="M38" s="59"/>
      <c r="N38" s="59"/>
      <c r="O38" s="59"/>
      <c r="P38" s="60"/>
      <c r="R38" s="190" t="s">
        <v>399</v>
      </c>
      <c r="S38" s="191"/>
      <c r="T38" s="192" t="s">
        <v>170</v>
      </c>
      <c r="U38" s="59"/>
      <c r="V38" s="59"/>
      <c r="W38" s="59"/>
      <c r="X38" s="59"/>
      <c r="Y38" s="59"/>
      <c r="Z38" s="59"/>
      <c r="AA38" s="59"/>
      <c r="AB38" s="60"/>
    </row>
    <row r="39" ht="14.25" customHeight="1">
      <c r="I39" s="116" t="s">
        <v>400</v>
      </c>
      <c r="J39" s="94"/>
      <c r="K39" s="117" t="s">
        <v>398</v>
      </c>
      <c r="L39" s="93"/>
      <c r="M39" s="93"/>
      <c r="N39" s="93"/>
      <c r="O39" s="93"/>
      <c r="P39" s="96"/>
      <c r="R39" s="133" t="s">
        <v>401</v>
      </c>
      <c r="S39" s="33"/>
      <c r="T39" s="115" t="s">
        <v>402</v>
      </c>
      <c r="U39" s="32"/>
      <c r="V39" s="32"/>
      <c r="W39" s="32"/>
      <c r="X39" s="32"/>
      <c r="Y39" s="32"/>
      <c r="Z39" s="32"/>
      <c r="AA39" s="32"/>
      <c r="AB39" s="64"/>
    </row>
    <row r="40" ht="14.25" customHeight="1">
      <c r="R40" s="140" t="s">
        <v>175</v>
      </c>
      <c r="S40" s="94"/>
      <c r="T40" s="141" t="s">
        <v>403</v>
      </c>
      <c r="U40" s="93"/>
      <c r="V40" s="93"/>
      <c r="W40" s="93"/>
      <c r="X40" s="93"/>
      <c r="Y40" s="93"/>
      <c r="Z40" s="93"/>
      <c r="AA40" s="93"/>
      <c r="AB40" s="96"/>
    </row>
    <row r="41" ht="14.25" customHeight="1"/>
    <row r="42" ht="14.25" customHeight="1">
      <c r="I42" s="137" t="s">
        <v>404</v>
      </c>
      <c r="J42" s="108"/>
      <c r="K42" s="108"/>
      <c r="L42" s="108"/>
      <c r="M42" s="108"/>
      <c r="N42" s="108"/>
      <c r="O42" s="108"/>
      <c r="P42" s="108"/>
      <c r="Q42" s="108"/>
      <c r="R42" s="108"/>
      <c r="S42" s="109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</row>
    <row r="43" ht="14.25" customHeight="1">
      <c r="I43" s="209" t="s">
        <v>405</v>
      </c>
      <c r="J43" s="105"/>
      <c r="K43" s="105"/>
      <c r="L43" s="105"/>
      <c r="M43" s="105"/>
      <c r="N43" s="105"/>
      <c r="O43" s="105"/>
      <c r="P43" s="105"/>
      <c r="Q43" s="105"/>
      <c r="R43" s="105"/>
      <c r="S43" s="106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</row>
    <row r="44" ht="14.25" customHeight="1"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</row>
    <row r="45" ht="14.25" customHeight="1">
      <c r="AB45" s="27"/>
      <c r="AC45" s="27"/>
      <c r="AD45" s="27"/>
      <c r="AE45" s="27"/>
      <c r="AF45" s="27"/>
      <c r="AG45" s="27"/>
    </row>
    <row r="46" ht="14.25" customHeight="1">
      <c r="AB46" s="27"/>
      <c r="AC46" s="27"/>
      <c r="AD46" s="27"/>
      <c r="AE46" s="27"/>
      <c r="AF46" s="27"/>
      <c r="AG46" s="27"/>
    </row>
    <row r="47" ht="14.25" customHeight="1"/>
    <row r="48" ht="14.25" customHeight="1"/>
    <row r="49" ht="14.25" customHeight="1">
      <c r="I49" s="27"/>
      <c r="J49" s="27"/>
      <c r="K49" s="27"/>
      <c r="L49" s="27"/>
      <c r="M49" s="27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0">
    <mergeCell ref="H8:O8"/>
    <mergeCell ref="P8:W8"/>
    <mergeCell ref="X8:AE8"/>
    <mergeCell ref="AF8:AM8"/>
    <mergeCell ref="H9:AM9"/>
    <mergeCell ref="H10:AM10"/>
    <mergeCell ref="J11:N11"/>
    <mergeCell ref="P11:W11"/>
    <mergeCell ref="X11:AE11"/>
    <mergeCell ref="AF11:AM11"/>
    <mergeCell ref="H12:AM12"/>
    <mergeCell ref="H13:AI13"/>
    <mergeCell ref="AJ13:AM13"/>
    <mergeCell ref="H14:AL14"/>
    <mergeCell ref="H15:K15"/>
    <mergeCell ref="L15:O15"/>
    <mergeCell ref="P15:S15"/>
    <mergeCell ref="T15:W15"/>
    <mergeCell ref="X15:AE15"/>
    <mergeCell ref="AG15:AI15"/>
    <mergeCell ref="AK15:AL15"/>
    <mergeCell ref="H21:AM22"/>
    <mergeCell ref="H23:O23"/>
    <mergeCell ref="P23:W23"/>
    <mergeCell ref="X23:AE23"/>
    <mergeCell ref="AF23:AM23"/>
    <mergeCell ref="X24:AE24"/>
    <mergeCell ref="AF24:AM24"/>
    <mergeCell ref="B3:B24"/>
    <mergeCell ref="C3:C24"/>
    <mergeCell ref="H3:AM6"/>
    <mergeCell ref="H7:W7"/>
    <mergeCell ref="X7:AE7"/>
    <mergeCell ref="AF7:AM7"/>
    <mergeCell ref="H18:AM18"/>
    <mergeCell ref="H24:O24"/>
    <mergeCell ref="P24:W24"/>
    <mergeCell ref="I26:Z26"/>
    <mergeCell ref="I27:J27"/>
    <mergeCell ref="K27:P27"/>
    <mergeCell ref="R27:S28"/>
    <mergeCell ref="T27:Z27"/>
    <mergeCell ref="T28:Z28"/>
    <mergeCell ref="I28:J28"/>
    <mergeCell ref="K28:P28"/>
    <mergeCell ref="I29:J29"/>
    <mergeCell ref="K29:P29"/>
    <mergeCell ref="R29:S29"/>
    <mergeCell ref="T29:Z29"/>
    <mergeCell ref="I31:P31"/>
    <mergeCell ref="I34:P34"/>
    <mergeCell ref="I35:J35"/>
    <mergeCell ref="K35:P35"/>
    <mergeCell ref="I37:AB37"/>
    <mergeCell ref="K38:P38"/>
    <mergeCell ref="R38:S38"/>
    <mergeCell ref="T38:AB38"/>
    <mergeCell ref="I42:S42"/>
    <mergeCell ref="I43:S43"/>
    <mergeCell ref="I38:J38"/>
    <mergeCell ref="I39:J39"/>
    <mergeCell ref="K39:P39"/>
    <mergeCell ref="R39:S39"/>
    <mergeCell ref="T39:AB39"/>
    <mergeCell ref="R40:S40"/>
    <mergeCell ref="T40:AB40"/>
    <mergeCell ref="H16:AM16"/>
    <mergeCell ref="H17:AM17"/>
    <mergeCell ref="E3:E6"/>
    <mergeCell ref="E19:E24"/>
    <mergeCell ref="H19:O19"/>
    <mergeCell ref="P19:W19"/>
    <mergeCell ref="X19:AE19"/>
    <mergeCell ref="AF19:AM19"/>
    <mergeCell ref="H20:O20"/>
    <mergeCell ref="P20:W20"/>
    <mergeCell ref="X20:AE20"/>
    <mergeCell ref="AF20:AM20"/>
    <mergeCell ref="I32:J32"/>
    <mergeCell ref="K32:P3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9.0" ySplit="16.0" topLeftCell="AN17" activePane="bottomRight" state="frozen"/>
      <selection activeCell="AN1" sqref="AN1" pane="topRight"/>
      <selection activeCell="A17" sqref="A17" pane="bottomLeft"/>
      <selection activeCell="AN17" sqref="AN17" pane="bottomRight"/>
    </sheetView>
  </sheetViews>
  <sheetFormatPr customHeight="1" defaultColWidth="12.63" defaultRowHeight="15.0"/>
  <cols>
    <col customWidth="1" min="1" max="1" width="3.25"/>
    <col customWidth="1" min="2" max="2" width="17.5"/>
    <col customWidth="1" min="3" max="4" width="9.88"/>
    <col customWidth="1" min="5" max="5" width="19.63"/>
    <col customWidth="1" min="6" max="6" width="5.5"/>
    <col customWidth="1" min="7" max="7" width="2.13"/>
    <col customWidth="1" min="8" max="39" width="4.75"/>
    <col customWidth="1" min="40" max="46" width="7.63"/>
  </cols>
  <sheetData>
    <row r="1" ht="14.25" customHeight="1">
      <c r="B1" s="1"/>
      <c r="F1" s="1"/>
      <c r="H1" s="210">
        <v>3.0</v>
      </c>
      <c r="I1" s="211"/>
      <c r="J1" s="211"/>
      <c r="K1" s="211"/>
      <c r="L1" s="211"/>
      <c r="M1" s="211"/>
      <c r="N1" s="211"/>
      <c r="O1" s="212"/>
      <c r="P1" s="210">
        <v>2.0</v>
      </c>
      <c r="Q1" s="211"/>
      <c r="R1" s="211"/>
      <c r="S1" s="211"/>
      <c r="T1" s="211"/>
      <c r="U1" s="211"/>
      <c r="V1" s="211"/>
      <c r="W1" s="212"/>
      <c r="X1" s="210">
        <v>1.0</v>
      </c>
      <c r="Y1" s="211"/>
      <c r="Z1" s="211"/>
      <c r="AA1" s="211"/>
      <c r="AB1" s="211"/>
      <c r="AC1" s="211"/>
      <c r="AD1" s="211"/>
      <c r="AE1" s="212"/>
      <c r="AF1" s="120">
        <v>0.0</v>
      </c>
      <c r="AG1" s="121"/>
      <c r="AH1" s="121"/>
      <c r="AI1" s="121"/>
      <c r="AJ1" s="121"/>
      <c r="AK1" s="121"/>
      <c r="AL1" s="121"/>
      <c r="AM1" s="122"/>
    </row>
    <row r="2" ht="14.25" customHeight="1">
      <c r="B2" s="38" t="s">
        <v>80</v>
      </c>
      <c r="C2" s="38" t="s">
        <v>81</v>
      </c>
      <c r="D2" s="39" t="s">
        <v>82</v>
      </c>
      <c r="E2" s="39" t="s">
        <v>83</v>
      </c>
      <c r="F2" s="40" t="s">
        <v>84</v>
      </c>
      <c r="G2" s="41"/>
      <c r="H2" s="42">
        <v>31.0</v>
      </c>
      <c r="I2" s="43">
        <f t="shared" ref="I2:AM2" si="1">H2-1</f>
        <v>30</v>
      </c>
      <c r="J2" s="43">
        <f t="shared" si="1"/>
        <v>29</v>
      </c>
      <c r="K2" s="43">
        <f t="shared" si="1"/>
        <v>28</v>
      </c>
      <c r="L2" s="43">
        <f t="shared" si="1"/>
        <v>27</v>
      </c>
      <c r="M2" s="43">
        <f t="shared" si="1"/>
        <v>26</v>
      </c>
      <c r="N2" s="43">
        <f t="shared" si="1"/>
        <v>25</v>
      </c>
      <c r="O2" s="43">
        <f t="shared" si="1"/>
        <v>24</v>
      </c>
      <c r="P2" s="43">
        <f t="shared" si="1"/>
        <v>23</v>
      </c>
      <c r="Q2" s="43">
        <f t="shared" si="1"/>
        <v>22</v>
      </c>
      <c r="R2" s="43">
        <f t="shared" si="1"/>
        <v>21</v>
      </c>
      <c r="S2" s="43">
        <f t="shared" si="1"/>
        <v>20</v>
      </c>
      <c r="T2" s="43">
        <f t="shared" si="1"/>
        <v>19</v>
      </c>
      <c r="U2" s="43">
        <f t="shared" si="1"/>
        <v>18</v>
      </c>
      <c r="V2" s="43">
        <f t="shared" si="1"/>
        <v>17</v>
      </c>
      <c r="W2" s="43">
        <f t="shared" si="1"/>
        <v>16</v>
      </c>
      <c r="X2" s="43">
        <f t="shared" si="1"/>
        <v>15</v>
      </c>
      <c r="Y2" s="43">
        <f t="shared" si="1"/>
        <v>14</v>
      </c>
      <c r="Z2" s="43">
        <f t="shared" si="1"/>
        <v>13</v>
      </c>
      <c r="AA2" s="43">
        <f t="shared" si="1"/>
        <v>12</v>
      </c>
      <c r="AB2" s="43">
        <f t="shared" si="1"/>
        <v>11</v>
      </c>
      <c r="AC2" s="43">
        <f t="shared" si="1"/>
        <v>10</v>
      </c>
      <c r="AD2" s="43">
        <f t="shared" si="1"/>
        <v>9</v>
      </c>
      <c r="AE2" s="43">
        <f t="shared" si="1"/>
        <v>8</v>
      </c>
      <c r="AF2" s="43">
        <f t="shared" si="1"/>
        <v>7</v>
      </c>
      <c r="AG2" s="43">
        <f t="shared" si="1"/>
        <v>6</v>
      </c>
      <c r="AH2" s="43">
        <f t="shared" si="1"/>
        <v>5</v>
      </c>
      <c r="AI2" s="43">
        <f t="shared" si="1"/>
        <v>4</v>
      </c>
      <c r="AJ2" s="43">
        <f t="shared" si="1"/>
        <v>3</v>
      </c>
      <c r="AK2" s="43">
        <f t="shared" si="1"/>
        <v>2</v>
      </c>
      <c r="AL2" s="43">
        <f t="shared" si="1"/>
        <v>1</v>
      </c>
      <c r="AM2" s="44">
        <f t="shared" si="1"/>
        <v>0</v>
      </c>
    </row>
    <row r="3" ht="16.5" customHeight="1">
      <c r="A3" s="1">
        <v>0.0</v>
      </c>
      <c r="B3" s="45" t="s">
        <v>406</v>
      </c>
      <c r="C3" s="46" t="s">
        <v>407</v>
      </c>
      <c r="D3" s="49" t="str">
        <f t="shared" ref="D3:D16" si="2">DEC2HEX(A3*4, 3)</f>
        <v>000</v>
      </c>
      <c r="E3" s="48" t="s">
        <v>83</v>
      </c>
      <c r="F3" s="49" t="s">
        <v>87</v>
      </c>
      <c r="G3" s="202"/>
      <c r="H3" s="51" t="s">
        <v>408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</row>
    <row r="4" ht="14.25" customHeight="1">
      <c r="A4" s="1">
        <v>1.0</v>
      </c>
      <c r="B4" s="54"/>
      <c r="C4" s="55"/>
      <c r="D4" s="56" t="str">
        <f t="shared" si="2"/>
        <v>004</v>
      </c>
      <c r="E4" s="55"/>
      <c r="F4" s="56" t="s">
        <v>87</v>
      </c>
      <c r="G4" s="124"/>
      <c r="H4" s="55"/>
      <c r="AM4" s="57"/>
    </row>
    <row r="5" ht="14.25" customHeight="1">
      <c r="A5" s="1">
        <v>2.0</v>
      </c>
      <c r="B5" s="54"/>
      <c r="C5" s="55"/>
      <c r="D5" s="56" t="str">
        <f t="shared" si="2"/>
        <v>008</v>
      </c>
      <c r="E5" s="55"/>
      <c r="F5" s="56" t="s">
        <v>87</v>
      </c>
      <c r="G5" s="124"/>
      <c r="H5" s="55"/>
      <c r="AM5" s="57"/>
    </row>
    <row r="6" ht="14.25" customHeight="1">
      <c r="A6" s="1">
        <v>3.0</v>
      </c>
      <c r="B6" s="54"/>
      <c r="C6" s="55"/>
      <c r="D6" s="56" t="str">
        <f t="shared" si="2"/>
        <v>00C</v>
      </c>
      <c r="E6" s="55"/>
      <c r="F6" s="56" t="s">
        <v>87</v>
      </c>
      <c r="G6" s="124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</row>
    <row r="7" ht="14.25" customHeight="1">
      <c r="A7" s="1">
        <v>4.0</v>
      </c>
      <c r="B7" s="54"/>
      <c r="C7" s="55"/>
      <c r="D7" s="56" t="str">
        <f t="shared" si="2"/>
        <v>010</v>
      </c>
      <c r="E7" s="61" t="s">
        <v>89</v>
      </c>
      <c r="F7" s="56" t="s">
        <v>87</v>
      </c>
      <c r="G7" s="124"/>
      <c r="H7" s="6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63" t="s">
        <v>90</v>
      </c>
      <c r="Y7" s="32"/>
      <c r="Z7" s="32"/>
      <c r="AA7" s="32"/>
      <c r="AB7" s="32"/>
      <c r="AC7" s="32"/>
      <c r="AD7" s="32"/>
      <c r="AE7" s="33"/>
      <c r="AF7" s="63" t="s">
        <v>91</v>
      </c>
      <c r="AG7" s="32"/>
      <c r="AH7" s="32"/>
      <c r="AI7" s="32"/>
      <c r="AJ7" s="32"/>
      <c r="AK7" s="32"/>
      <c r="AL7" s="32"/>
      <c r="AM7" s="64"/>
    </row>
    <row r="8" ht="14.25" customHeight="1">
      <c r="A8" s="1">
        <v>5.0</v>
      </c>
      <c r="B8" s="54"/>
      <c r="C8" s="55"/>
      <c r="D8" s="56" t="str">
        <f t="shared" si="2"/>
        <v>014</v>
      </c>
      <c r="E8" s="61" t="s">
        <v>92</v>
      </c>
      <c r="F8" s="56" t="s">
        <v>87</v>
      </c>
      <c r="G8" s="124"/>
      <c r="H8" s="62"/>
      <c r="I8" s="32"/>
      <c r="J8" s="32"/>
      <c r="K8" s="32"/>
      <c r="L8" s="32"/>
      <c r="M8" s="32"/>
      <c r="N8" s="32"/>
      <c r="O8" s="33"/>
      <c r="P8" s="63" t="s">
        <v>93</v>
      </c>
      <c r="Q8" s="32"/>
      <c r="R8" s="32"/>
      <c r="S8" s="32"/>
      <c r="T8" s="32"/>
      <c r="U8" s="32"/>
      <c r="V8" s="32"/>
      <c r="W8" s="33"/>
      <c r="X8" s="63" t="s">
        <v>94</v>
      </c>
      <c r="Y8" s="32"/>
      <c r="Z8" s="32"/>
      <c r="AA8" s="32"/>
      <c r="AB8" s="32"/>
      <c r="AC8" s="32"/>
      <c r="AD8" s="32"/>
      <c r="AE8" s="33"/>
      <c r="AF8" s="63" t="s">
        <v>95</v>
      </c>
      <c r="AG8" s="32"/>
      <c r="AH8" s="32"/>
      <c r="AI8" s="32"/>
      <c r="AJ8" s="32"/>
      <c r="AK8" s="32"/>
      <c r="AL8" s="32"/>
      <c r="AM8" s="64"/>
    </row>
    <row r="9" ht="14.25" customHeight="1">
      <c r="A9" s="1">
        <v>6.0</v>
      </c>
      <c r="B9" s="54"/>
      <c r="C9" s="55"/>
      <c r="D9" s="56" t="str">
        <f t="shared" si="2"/>
        <v>018</v>
      </c>
      <c r="E9" s="72" t="s">
        <v>96</v>
      </c>
      <c r="F9" s="56" t="s">
        <v>84</v>
      </c>
      <c r="G9" s="124"/>
      <c r="H9" s="6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64"/>
    </row>
    <row r="10" ht="14.25" customHeight="1">
      <c r="A10" s="1">
        <v>7.0</v>
      </c>
      <c r="B10" s="54"/>
      <c r="C10" s="55"/>
      <c r="D10" s="56" t="str">
        <f t="shared" si="2"/>
        <v>01C</v>
      </c>
      <c r="E10" s="72" t="s">
        <v>96</v>
      </c>
      <c r="F10" s="73" t="s">
        <v>84</v>
      </c>
      <c r="G10" s="124"/>
      <c r="H10" s="6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4"/>
    </row>
    <row r="11" ht="14.25" customHeight="1">
      <c r="A11" s="1">
        <v>8.0</v>
      </c>
      <c r="B11" s="54"/>
      <c r="C11" s="55"/>
      <c r="D11" s="56" t="str">
        <f t="shared" si="2"/>
        <v>020</v>
      </c>
      <c r="E11" s="72" t="s">
        <v>262</v>
      </c>
      <c r="F11" s="73" t="s">
        <v>84</v>
      </c>
      <c r="G11" s="27"/>
      <c r="H11" s="62"/>
      <c r="I11" s="32"/>
      <c r="J11" s="32"/>
      <c r="K11" s="32"/>
      <c r="L11" s="32"/>
      <c r="M11" s="32"/>
      <c r="N11" s="32"/>
      <c r="O11" s="32"/>
      <c r="P11" s="32"/>
      <c r="Q11" s="33"/>
      <c r="R11" s="144" t="s">
        <v>409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64"/>
    </row>
    <row r="12" ht="14.25" customHeight="1">
      <c r="A12" s="1">
        <v>9.0</v>
      </c>
      <c r="B12" s="54"/>
      <c r="C12" s="55"/>
      <c r="D12" s="56" t="str">
        <f t="shared" si="2"/>
        <v>024</v>
      </c>
      <c r="E12" s="72" t="s">
        <v>126</v>
      </c>
      <c r="F12" s="73" t="s">
        <v>84</v>
      </c>
      <c r="G12" s="27"/>
      <c r="H12" s="123" t="s">
        <v>264</v>
      </c>
      <c r="I12" s="164" t="s">
        <v>410</v>
      </c>
      <c r="J12" s="88" t="s">
        <v>411</v>
      </c>
      <c r="K12" s="63" t="s">
        <v>412</v>
      </c>
      <c r="L12" s="32"/>
      <c r="M12" s="32"/>
      <c r="N12" s="32"/>
      <c r="O12" s="32"/>
      <c r="P12" s="32"/>
      <c r="Q12" s="32"/>
      <c r="R12" s="33"/>
      <c r="S12" s="63" t="s">
        <v>413</v>
      </c>
      <c r="T12" s="32"/>
      <c r="U12" s="32"/>
      <c r="V12" s="32"/>
      <c r="W12" s="33"/>
      <c r="X12" s="63" t="s">
        <v>414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64"/>
    </row>
    <row r="13" ht="14.25" customHeight="1">
      <c r="A13" s="1">
        <v>10.0</v>
      </c>
      <c r="B13" s="54"/>
      <c r="C13" s="55"/>
      <c r="D13" s="56" t="str">
        <f t="shared" si="2"/>
        <v>028</v>
      </c>
      <c r="E13" s="61"/>
      <c r="F13" s="56"/>
      <c r="G13" s="27"/>
      <c r="H13" s="6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64"/>
    </row>
    <row r="14" ht="14.25" customHeight="1">
      <c r="A14" s="1">
        <v>11.0</v>
      </c>
      <c r="B14" s="54"/>
      <c r="C14" s="55"/>
      <c r="D14" s="56" t="str">
        <f t="shared" si="2"/>
        <v>02C</v>
      </c>
      <c r="E14" s="72" t="s">
        <v>415</v>
      </c>
      <c r="F14" s="73" t="s">
        <v>84</v>
      </c>
      <c r="G14" s="27"/>
      <c r="H14" s="6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3"/>
      <c r="AL14" s="164" t="s">
        <v>416</v>
      </c>
      <c r="AM14" s="182" t="s">
        <v>417</v>
      </c>
    </row>
    <row r="15" ht="14.25" customHeight="1">
      <c r="A15" s="1">
        <v>12.0</v>
      </c>
      <c r="B15" s="54"/>
      <c r="C15" s="55"/>
      <c r="D15" s="56" t="str">
        <f t="shared" si="2"/>
        <v>030</v>
      </c>
      <c r="E15" s="72" t="s">
        <v>137</v>
      </c>
      <c r="F15" s="73" t="s">
        <v>87</v>
      </c>
      <c r="G15" s="27"/>
      <c r="H15" s="123" t="s">
        <v>149</v>
      </c>
      <c r="I15" s="164" t="s">
        <v>410</v>
      </c>
      <c r="J15" s="88" t="s">
        <v>411</v>
      </c>
      <c r="K15" s="63" t="s">
        <v>412</v>
      </c>
      <c r="L15" s="32"/>
      <c r="M15" s="32"/>
      <c r="N15" s="32"/>
      <c r="O15" s="32"/>
      <c r="P15" s="32"/>
      <c r="Q15" s="32"/>
      <c r="R15" s="33"/>
      <c r="S15" s="63" t="s">
        <v>413</v>
      </c>
      <c r="T15" s="32"/>
      <c r="U15" s="32"/>
      <c r="V15" s="32"/>
      <c r="W15" s="33"/>
      <c r="X15" s="63" t="s">
        <v>414</v>
      </c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64"/>
    </row>
    <row r="16" ht="14.25" customHeight="1">
      <c r="A16" s="1">
        <v>13.0</v>
      </c>
      <c r="B16" s="77"/>
      <c r="C16" s="78"/>
      <c r="D16" s="91" t="str">
        <f t="shared" si="2"/>
        <v>034</v>
      </c>
      <c r="E16" s="80" t="s">
        <v>418</v>
      </c>
      <c r="F16" s="81" t="s">
        <v>87</v>
      </c>
      <c r="G16" s="82"/>
      <c r="H16" s="92"/>
      <c r="I16" s="93"/>
      <c r="J16" s="93"/>
      <c r="K16" s="93"/>
      <c r="L16" s="93"/>
      <c r="M16" s="93"/>
      <c r="N16" s="93"/>
      <c r="O16" s="93"/>
      <c r="P16" s="93"/>
      <c r="Q16" s="94"/>
      <c r="R16" s="148" t="s">
        <v>419</v>
      </c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6"/>
    </row>
    <row r="17" ht="14.25" customHeight="1"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ht="14.25" customHeight="1">
      <c r="H18" s="137" t="s">
        <v>420</v>
      </c>
      <c r="I18" s="108"/>
      <c r="J18" s="108"/>
      <c r="K18" s="108"/>
      <c r="L18" s="108"/>
      <c r="M18" s="108"/>
      <c r="N18" s="108"/>
      <c r="O18" s="109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ht="14.25" customHeight="1">
      <c r="H19" s="149" t="s">
        <v>262</v>
      </c>
      <c r="I19" s="150"/>
      <c r="J19" s="197" t="s">
        <v>421</v>
      </c>
      <c r="K19" s="108"/>
      <c r="L19" s="108"/>
      <c r="M19" s="108"/>
      <c r="N19" s="108"/>
      <c r="O19" s="109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ht="14.25" customHeight="1"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ht="14.25" customHeight="1">
      <c r="H21" s="97" t="s">
        <v>422</v>
      </c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</row>
    <row r="22" ht="14.25" customHeight="1">
      <c r="H22" s="190" t="s">
        <v>423</v>
      </c>
      <c r="I22" s="191"/>
      <c r="J22" s="192" t="s">
        <v>424</v>
      </c>
      <c r="K22" s="59"/>
      <c r="L22" s="59"/>
      <c r="M22" s="59"/>
      <c r="N22" s="59"/>
      <c r="O22" s="60"/>
      <c r="Q22" s="130" t="s">
        <v>412</v>
      </c>
      <c r="R22" s="129"/>
      <c r="S22" s="138" t="s">
        <v>425</v>
      </c>
      <c r="T22" s="112"/>
      <c r="U22" s="112"/>
      <c r="V22" s="112"/>
      <c r="W22" s="112"/>
      <c r="X22" s="112"/>
      <c r="Y22" s="113"/>
    </row>
    <row r="23" ht="14.25" customHeight="1">
      <c r="H23" s="153" t="s">
        <v>426</v>
      </c>
      <c r="I23" s="33"/>
      <c r="J23" s="139" t="s">
        <v>427</v>
      </c>
      <c r="K23" s="32"/>
      <c r="L23" s="32"/>
      <c r="M23" s="32"/>
      <c r="N23" s="32"/>
      <c r="O23" s="64"/>
      <c r="Q23" s="153" t="s">
        <v>428</v>
      </c>
      <c r="R23" s="33"/>
      <c r="S23" s="139" t="s">
        <v>429</v>
      </c>
      <c r="T23" s="32"/>
      <c r="U23" s="32"/>
      <c r="V23" s="32"/>
      <c r="W23" s="32"/>
      <c r="X23" s="32"/>
      <c r="Y23" s="64"/>
    </row>
    <row r="24" ht="14.25" customHeight="1">
      <c r="H24" s="153" t="s">
        <v>430</v>
      </c>
      <c r="I24" s="33"/>
      <c r="J24" s="139" t="s">
        <v>431</v>
      </c>
      <c r="K24" s="32"/>
      <c r="L24" s="32"/>
      <c r="M24" s="32"/>
      <c r="N24" s="32"/>
      <c r="O24" s="64"/>
      <c r="Q24" s="116" t="s">
        <v>414</v>
      </c>
      <c r="R24" s="94"/>
      <c r="S24" s="117" t="s">
        <v>432</v>
      </c>
      <c r="T24" s="93"/>
      <c r="U24" s="93"/>
      <c r="V24" s="93"/>
      <c r="W24" s="93"/>
      <c r="X24" s="93"/>
      <c r="Y24" s="96"/>
    </row>
    <row r="25" ht="14.25" customHeight="1">
      <c r="Q25" s="27"/>
      <c r="R25" s="27"/>
      <c r="S25" s="27"/>
      <c r="T25" s="27"/>
      <c r="U25" s="27"/>
      <c r="V25" s="27"/>
      <c r="W25" s="27"/>
      <c r="X25" s="27"/>
      <c r="Y25" s="27"/>
    </row>
    <row r="26" ht="14.25" customHeight="1"/>
    <row r="27" ht="14.25" customHeight="1">
      <c r="H27" s="165" t="s">
        <v>433</v>
      </c>
      <c r="I27" s="98"/>
      <c r="J27" s="98"/>
      <c r="K27" s="98"/>
      <c r="L27" s="98"/>
      <c r="M27" s="98"/>
      <c r="N27" s="98"/>
      <c r="O27" s="99"/>
    </row>
    <row r="28" ht="14.25" customHeight="1">
      <c r="H28" s="130" t="s">
        <v>416</v>
      </c>
      <c r="I28" s="129"/>
      <c r="J28" s="138" t="s">
        <v>395</v>
      </c>
      <c r="K28" s="112"/>
      <c r="L28" s="112"/>
      <c r="M28" s="112"/>
      <c r="N28" s="112"/>
      <c r="O28" s="113"/>
      <c r="AB28" s="161"/>
    </row>
    <row r="29" ht="14.25" customHeight="1">
      <c r="H29" s="116" t="s">
        <v>417</v>
      </c>
      <c r="I29" s="94"/>
      <c r="J29" s="117" t="s">
        <v>395</v>
      </c>
      <c r="K29" s="93"/>
      <c r="L29" s="93"/>
      <c r="M29" s="93"/>
      <c r="N29" s="93"/>
      <c r="O29" s="96"/>
    </row>
    <row r="30" ht="14.25" customHeight="1"/>
    <row r="31" ht="14.25" customHeight="1">
      <c r="H31" s="165" t="s">
        <v>434</v>
      </c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4.25" customHeight="1">
      <c r="H32" s="196" t="s">
        <v>435</v>
      </c>
      <c r="I32" s="150"/>
      <c r="J32" s="151" t="s">
        <v>436</v>
      </c>
      <c r="K32" s="108"/>
      <c r="L32" s="108"/>
      <c r="M32" s="108"/>
      <c r="N32" s="108"/>
      <c r="O32" s="109"/>
      <c r="Q32" s="130" t="s">
        <v>437</v>
      </c>
      <c r="R32" s="129"/>
      <c r="S32" s="138" t="s">
        <v>438</v>
      </c>
      <c r="T32" s="112"/>
      <c r="U32" s="112"/>
      <c r="V32" s="112"/>
      <c r="W32" s="112"/>
      <c r="X32" s="113"/>
    </row>
    <row r="33" ht="14.25" customHeight="1">
      <c r="Q33" s="116" t="s">
        <v>414</v>
      </c>
      <c r="R33" s="94"/>
      <c r="S33" s="117" t="s">
        <v>439</v>
      </c>
      <c r="T33" s="93"/>
      <c r="U33" s="93"/>
      <c r="V33" s="93"/>
      <c r="W33" s="93"/>
      <c r="X33" s="96"/>
    </row>
    <row r="34" ht="14.25" customHeight="1"/>
    <row r="35" ht="14.25" customHeight="1">
      <c r="H35" s="137" t="s">
        <v>440</v>
      </c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9"/>
    </row>
    <row r="36" ht="14.25" customHeight="1">
      <c r="H36" s="149" t="s">
        <v>418</v>
      </c>
      <c r="I36" s="150"/>
      <c r="J36" s="197" t="s">
        <v>441</v>
      </c>
      <c r="K36" s="108"/>
      <c r="L36" s="108"/>
      <c r="M36" s="108"/>
      <c r="N36" s="108"/>
      <c r="O36" s="108"/>
      <c r="P36" s="108"/>
      <c r="Q36" s="108"/>
      <c r="R36" s="108"/>
      <c r="S36" s="108"/>
      <c r="T36" s="109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0">
    <mergeCell ref="H3:AM6"/>
    <mergeCell ref="H7:W7"/>
    <mergeCell ref="X7:AE7"/>
    <mergeCell ref="AF7:AM7"/>
    <mergeCell ref="S15:W15"/>
    <mergeCell ref="X15:AM15"/>
    <mergeCell ref="H1:O1"/>
    <mergeCell ref="P1:W1"/>
    <mergeCell ref="X1:AE1"/>
    <mergeCell ref="AF1:AM1"/>
    <mergeCell ref="B3:B16"/>
    <mergeCell ref="C3:C16"/>
    <mergeCell ref="E3:E6"/>
    <mergeCell ref="H16:Q16"/>
    <mergeCell ref="R16:AM16"/>
    <mergeCell ref="H18:O18"/>
    <mergeCell ref="H19:I19"/>
    <mergeCell ref="J19:O19"/>
    <mergeCell ref="H21:Y21"/>
    <mergeCell ref="H22:I22"/>
    <mergeCell ref="S22:Y22"/>
    <mergeCell ref="J22:O22"/>
    <mergeCell ref="Q22:R22"/>
    <mergeCell ref="H23:I23"/>
    <mergeCell ref="J23:O23"/>
    <mergeCell ref="S23:Y23"/>
    <mergeCell ref="H24:I24"/>
    <mergeCell ref="J24:O24"/>
    <mergeCell ref="S24:Y24"/>
    <mergeCell ref="H29:I29"/>
    <mergeCell ref="H32:I32"/>
    <mergeCell ref="H36:I36"/>
    <mergeCell ref="J32:O32"/>
    <mergeCell ref="Q32:R32"/>
    <mergeCell ref="S32:X32"/>
    <mergeCell ref="Q33:R33"/>
    <mergeCell ref="S33:X33"/>
    <mergeCell ref="H35:T35"/>
    <mergeCell ref="J36:T36"/>
    <mergeCell ref="Q23:R23"/>
    <mergeCell ref="Q24:R24"/>
    <mergeCell ref="H27:O27"/>
    <mergeCell ref="H28:I28"/>
    <mergeCell ref="J28:O28"/>
    <mergeCell ref="J29:O29"/>
    <mergeCell ref="H31:X31"/>
    <mergeCell ref="H8:O8"/>
    <mergeCell ref="P8:W8"/>
    <mergeCell ref="X8:AE8"/>
    <mergeCell ref="AF8:AM8"/>
    <mergeCell ref="H9:AM9"/>
    <mergeCell ref="H10:AM10"/>
    <mergeCell ref="H11:Q11"/>
    <mergeCell ref="R11:AM11"/>
    <mergeCell ref="K12:R12"/>
    <mergeCell ref="S12:W12"/>
    <mergeCell ref="X12:AM12"/>
    <mergeCell ref="H13:AM13"/>
    <mergeCell ref="H14:AK14"/>
    <mergeCell ref="K15:R15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8.13"/>
  </cols>
  <sheetData>
    <row r="1">
      <c r="B1" s="213"/>
      <c r="C1" s="213" t="s">
        <v>442</v>
      </c>
      <c r="E1" s="213">
        <v>0.0</v>
      </c>
      <c r="F1" s="213" t="s">
        <v>443</v>
      </c>
      <c r="G1" s="213">
        <v>1.0</v>
      </c>
      <c r="H1" s="213" t="s">
        <v>443</v>
      </c>
      <c r="I1" s="213" t="s">
        <v>444</v>
      </c>
      <c r="N1" s="213" t="s">
        <v>444</v>
      </c>
    </row>
    <row r="2">
      <c r="A2" s="193" t="str">
        <f t="shared" ref="A2:A19" si="1">$C$1&amp;" write 21 "&amp;$E$1&amp;" "&amp;G1&amp;" "&amp;I1</f>
        <v>pe write 21 0 1 0B1F</v>
      </c>
      <c r="B2" s="193" t="str">
        <f t="shared" ref="B2:B19" si="2">$C$1&amp;" read 21 "&amp;$E$1&amp;" "&amp;G1</f>
        <v>pe read 21 0 1</v>
      </c>
      <c r="E2" s="213">
        <v>1.0</v>
      </c>
      <c r="F2" s="213" t="s">
        <v>443</v>
      </c>
      <c r="G2" s="213">
        <v>2.0</v>
      </c>
      <c r="H2" s="213" t="s">
        <v>443</v>
      </c>
      <c r="I2" s="213" t="s">
        <v>445</v>
      </c>
      <c r="N2" s="213" t="s">
        <v>445</v>
      </c>
    </row>
    <row r="3">
      <c r="A3" s="193" t="str">
        <f t="shared" si="1"/>
        <v>pe write 21 0 2 0D55</v>
      </c>
      <c r="B3" s="193" t="str">
        <f t="shared" si="2"/>
        <v>pe read 21 0 2</v>
      </c>
      <c r="C3" s="193" t="str">
        <f>$C$1&amp;" read 21 "&amp;E2</f>
        <v>pe read 21 1</v>
      </c>
      <c r="E3" s="213">
        <v>2.0</v>
      </c>
      <c r="F3" s="213" t="s">
        <v>443</v>
      </c>
      <c r="G3" s="213">
        <v>3.0</v>
      </c>
      <c r="H3" s="213" t="s">
        <v>443</v>
      </c>
      <c r="I3" s="213" t="s">
        <v>446</v>
      </c>
      <c r="Q3" s="213" t="s">
        <v>447</v>
      </c>
    </row>
    <row r="4">
      <c r="A4" s="193" t="str">
        <f t="shared" si="1"/>
        <v>pe write 21 0 3 003A</v>
      </c>
      <c r="B4" s="193" t="str">
        <f t="shared" si="2"/>
        <v>pe read 21 0 3</v>
      </c>
      <c r="C4" s="193" t="str">
        <f t="shared" ref="C4:C8" si="3">$C$1&amp;" read 21 "&amp;E4</f>
        <v>pe read 21 3</v>
      </c>
      <c r="E4" s="213">
        <v>3.0</v>
      </c>
      <c r="F4" s="213" t="s">
        <v>443</v>
      </c>
      <c r="G4" s="213">
        <v>4.0</v>
      </c>
      <c r="H4" s="213" t="s">
        <v>443</v>
      </c>
      <c r="I4" s="214" t="s">
        <v>448</v>
      </c>
      <c r="N4" s="213" t="s">
        <v>446</v>
      </c>
    </row>
    <row r="5">
      <c r="A5" s="193" t="str">
        <f t="shared" si="1"/>
        <v>pe write 21 0 4 0190</v>
      </c>
      <c r="B5" s="193" t="str">
        <f t="shared" si="2"/>
        <v>pe read 21 0 4</v>
      </c>
      <c r="C5" s="193" t="str">
        <f t="shared" si="3"/>
        <v>pe read 21 4</v>
      </c>
      <c r="E5" s="213">
        <v>4.0</v>
      </c>
      <c r="F5" s="213" t="s">
        <v>443</v>
      </c>
      <c r="G5" s="213">
        <v>5.0</v>
      </c>
      <c r="H5" s="213" t="s">
        <v>443</v>
      </c>
      <c r="I5" s="213">
        <v>9090.0</v>
      </c>
      <c r="N5" s="213">
        <v>190.0</v>
      </c>
    </row>
    <row r="6">
      <c r="A6" s="193" t="str">
        <f t="shared" si="1"/>
        <v>pe write 21 0 5 9090</v>
      </c>
      <c r="B6" s="193" t="str">
        <f t="shared" si="2"/>
        <v>pe read 21 0 5</v>
      </c>
      <c r="C6" s="193" t="str">
        <f t="shared" si="3"/>
        <v>pe read 21 5</v>
      </c>
      <c r="E6" s="213">
        <v>5.0</v>
      </c>
      <c r="F6" s="213" t="s">
        <v>443</v>
      </c>
      <c r="G6" s="213">
        <v>6.0</v>
      </c>
      <c r="H6" s="213" t="s">
        <v>443</v>
      </c>
      <c r="I6" s="214" t="s">
        <v>449</v>
      </c>
      <c r="N6" s="213">
        <v>9090.0</v>
      </c>
    </row>
    <row r="7">
      <c r="A7" s="193" t="str">
        <f t="shared" si="1"/>
        <v>pe write 21 0 6 0E80</v>
      </c>
      <c r="B7" s="193" t="str">
        <f t="shared" si="2"/>
        <v>pe read 21 0 6</v>
      </c>
      <c r="C7" s="193" t="str">
        <f t="shared" si="3"/>
        <v>pe read 21 6</v>
      </c>
      <c r="E7" s="213">
        <v>6.0</v>
      </c>
      <c r="G7" s="213">
        <v>7.0</v>
      </c>
      <c r="H7" s="213" t="s">
        <v>443</v>
      </c>
      <c r="I7" s="214" t="s">
        <v>450</v>
      </c>
      <c r="N7" s="215">
        <v>0.0</v>
      </c>
      <c r="O7" s="215">
        <v>0.0</v>
      </c>
      <c r="P7" s="215">
        <v>0.0</v>
      </c>
    </row>
    <row r="8">
      <c r="A8" s="193" t="str">
        <f t="shared" si="1"/>
        <v>pe write 21 0 7 0000</v>
      </c>
      <c r="B8" s="193" t="str">
        <f t="shared" si="2"/>
        <v>pe read 21 0 7</v>
      </c>
      <c r="C8" s="193" t="str">
        <f t="shared" si="3"/>
        <v>pe read 21 7</v>
      </c>
      <c r="E8" s="213">
        <v>7.0</v>
      </c>
      <c r="G8" s="213">
        <v>8.0</v>
      </c>
      <c r="H8" s="213" t="s">
        <v>443</v>
      </c>
      <c r="I8" s="214" t="s">
        <v>450</v>
      </c>
      <c r="Q8" s="215">
        <v>0.0</v>
      </c>
    </row>
    <row r="9">
      <c r="A9" s="193" t="str">
        <f t="shared" si="1"/>
        <v>pe write 21 0 8 0000</v>
      </c>
      <c r="B9" s="193" t="str">
        <f t="shared" si="2"/>
        <v>pe read 21 0 8</v>
      </c>
      <c r="G9" s="213">
        <v>9.0</v>
      </c>
      <c r="H9" s="213" t="s">
        <v>443</v>
      </c>
      <c r="I9" s="213">
        <v>8000.0</v>
      </c>
      <c r="N9" s="213">
        <v>0.0</v>
      </c>
    </row>
    <row r="10">
      <c r="A10" s="193" t="str">
        <f t="shared" si="1"/>
        <v>pe write 21 0 9 8000</v>
      </c>
      <c r="B10" s="193" t="str">
        <f t="shared" si="2"/>
        <v>pe read 21 0 9</v>
      </c>
      <c r="G10" s="213">
        <v>10.0</v>
      </c>
      <c r="H10" s="213" t="s">
        <v>443</v>
      </c>
      <c r="I10" s="214" t="s">
        <v>450</v>
      </c>
      <c r="N10" s="213">
        <v>0.0</v>
      </c>
    </row>
    <row r="11">
      <c r="A11" s="193" t="str">
        <f t="shared" si="1"/>
        <v>pe write 21 0 10 0000</v>
      </c>
      <c r="B11" s="193" t="str">
        <f t="shared" si="2"/>
        <v>pe read 21 0 10</v>
      </c>
      <c r="G11" s="213">
        <v>11.0</v>
      </c>
      <c r="H11" s="213" t="s">
        <v>443</v>
      </c>
      <c r="I11" s="214" t="s">
        <v>450</v>
      </c>
      <c r="N11" s="213">
        <v>8000.0</v>
      </c>
    </row>
    <row r="12">
      <c r="A12" s="193" t="str">
        <f t="shared" si="1"/>
        <v>pe write 21 0 11 0000</v>
      </c>
      <c r="B12" s="193" t="str">
        <f t="shared" si="2"/>
        <v>pe read 21 0 11</v>
      </c>
      <c r="G12" s="213">
        <v>12.0</v>
      </c>
      <c r="H12" s="213" t="s">
        <v>443</v>
      </c>
      <c r="I12" s="214" t="s">
        <v>450</v>
      </c>
      <c r="N12" s="213">
        <v>0.0</v>
      </c>
    </row>
    <row r="13">
      <c r="A13" s="193" t="str">
        <f t="shared" si="1"/>
        <v>pe write 21 0 12 0000</v>
      </c>
      <c r="B13" s="193" t="str">
        <f t="shared" si="2"/>
        <v>pe read 21 0 12</v>
      </c>
      <c r="C13" s="213" t="s">
        <v>451</v>
      </c>
      <c r="D13" s="193">
        <f>5</f>
        <v>5</v>
      </c>
      <c r="G13" s="213">
        <v>13.0</v>
      </c>
      <c r="H13" s="213" t="s">
        <v>443</v>
      </c>
      <c r="I13" s="214" t="s">
        <v>450</v>
      </c>
      <c r="N13" s="213">
        <v>0.0</v>
      </c>
    </row>
    <row r="14">
      <c r="A14" s="193" t="str">
        <f t="shared" si="1"/>
        <v>pe write 21 0 13 0000</v>
      </c>
      <c r="B14" s="193" t="str">
        <f t="shared" si="2"/>
        <v>pe read 21 0 13</v>
      </c>
      <c r="C14" s="213" t="s">
        <v>452</v>
      </c>
      <c r="G14" s="213">
        <v>14.0</v>
      </c>
      <c r="H14" s="213" t="s">
        <v>443</v>
      </c>
      <c r="I14" s="213">
        <v>4926.0</v>
      </c>
      <c r="N14" s="213">
        <v>0.0</v>
      </c>
    </row>
    <row r="15">
      <c r="A15" s="193" t="str">
        <f t="shared" si="1"/>
        <v>pe write 21 0 14 4926</v>
      </c>
      <c r="B15" s="193" t="str">
        <f t="shared" si="2"/>
        <v>pe read 21 0 14</v>
      </c>
      <c r="G15" s="213">
        <v>15.0</v>
      </c>
      <c r="H15" s="213" t="s">
        <v>443</v>
      </c>
      <c r="I15" s="213" t="s">
        <v>453</v>
      </c>
      <c r="N15" s="213">
        <v>0.0</v>
      </c>
    </row>
    <row r="16">
      <c r="A16" s="193" t="str">
        <f t="shared" si="1"/>
        <v>pe write 21 0 15 6DB9</v>
      </c>
      <c r="B16" s="193" t="str">
        <f t="shared" si="2"/>
        <v>pe read 21 0 15</v>
      </c>
      <c r="C16" s="193">
        <v>2341.0</v>
      </c>
      <c r="D16" s="213" t="s">
        <v>454</v>
      </c>
      <c r="G16" s="213">
        <v>16.0</v>
      </c>
      <c r="H16" s="213" t="s">
        <v>443</v>
      </c>
      <c r="I16" s="213" t="s">
        <v>455</v>
      </c>
      <c r="N16" s="213">
        <v>4926.0</v>
      </c>
    </row>
    <row r="17">
      <c r="A17" s="193" t="str">
        <f t="shared" si="1"/>
        <v>pe write 21 0 16 524B</v>
      </c>
      <c r="B17" s="193" t="str">
        <f t="shared" si="2"/>
        <v>pe read 21 0 16</v>
      </c>
      <c r="C17" s="193">
        <v>468.2</v>
      </c>
      <c r="D17" s="213" t="s">
        <v>456</v>
      </c>
      <c r="G17" s="213">
        <v>17.0</v>
      </c>
      <c r="H17" s="213" t="s">
        <v>443</v>
      </c>
      <c r="I17" s="214" t="s">
        <v>450</v>
      </c>
      <c r="N17" s="213" t="s">
        <v>453</v>
      </c>
    </row>
    <row r="18">
      <c r="A18" s="193" t="str">
        <f t="shared" si="1"/>
        <v>pe write 21 0 17 0000</v>
      </c>
      <c r="B18" s="193" t="str">
        <f t="shared" si="2"/>
        <v>pe read 21 0 17</v>
      </c>
      <c r="G18" s="213">
        <v>18.0</v>
      </c>
      <c r="H18" s="213" t="s">
        <v>443</v>
      </c>
      <c r="I18" s="214" t="s">
        <v>450</v>
      </c>
      <c r="N18" s="213" t="s">
        <v>455</v>
      </c>
    </row>
    <row r="19">
      <c r="A19" s="193" t="str">
        <f t="shared" si="1"/>
        <v>pe write 21 0 18 0000</v>
      </c>
      <c r="B19" s="193" t="str">
        <f t="shared" si="2"/>
        <v>pe read 21 0 18</v>
      </c>
      <c r="H19" s="213" t="s">
        <v>443</v>
      </c>
      <c r="N19" s="213">
        <v>0.0</v>
      </c>
    </row>
    <row r="20">
      <c r="C20" s="214" t="s">
        <v>457</v>
      </c>
      <c r="D20" s="213">
        <v>9363.0</v>
      </c>
      <c r="H20" s="213" t="s">
        <v>443</v>
      </c>
      <c r="N20" s="213">
        <v>0.0</v>
      </c>
    </row>
    <row r="21">
      <c r="C21" s="214" t="s">
        <v>458</v>
      </c>
      <c r="D21" s="213">
        <v>11704.0</v>
      </c>
    </row>
    <row r="22">
      <c r="C22" s="214" t="s">
        <v>458</v>
      </c>
      <c r="D22" s="213">
        <v>14045.0</v>
      </c>
    </row>
    <row r="23">
      <c r="C23" s="214" t="s">
        <v>459</v>
      </c>
      <c r="D23" s="213">
        <v>16386.0</v>
      </c>
    </row>
    <row r="24">
      <c r="C24" s="213">
        <v>0.0</v>
      </c>
      <c r="D24" s="213">
        <v>18727.0</v>
      </c>
    </row>
    <row r="25">
      <c r="C25" s="213">
        <v>0.5</v>
      </c>
      <c r="D25" s="213">
        <v>21067.0</v>
      </c>
    </row>
    <row r="26">
      <c r="C26" s="213">
        <v>1.0</v>
      </c>
      <c r="D26" s="213">
        <v>23408.0</v>
      </c>
    </row>
    <row r="27">
      <c r="C27" s="213">
        <v>1.5</v>
      </c>
      <c r="D27" s="213">
        <v>25749.0</v>
      </c>
    </row>
    <row r="28">
      <c r="C28" s="213">
        <v>2.0</v>
      </c>
      <c r="D28" s="213">
        <v>28090.0</v>
      </c>
    </row>
    <row r="29">
      <c r="C29" s="213">
        <v>2.5</v>
      </c>
      <c r="D29" s="213">
        <v>30431.0</v>
      </c>
    </row>
    <row r="30">
      <c r="C30" s="213">
        <v>3.0</v>
      </c>
      <c r="D30" s="213">
        <v>32772.0</v>
      </c>
      <c r="L30" s="213" t="s">
        <v>460</v>
      </c>
    </row>
    <row r="31">
      <c r="C31" s="213">
        <v>3.5</v>
      </c>
      <c r="D31" s="213">
        <v>35112.0</v>
      </c>
      <c r="L31" s="213" t="s">
        <v>461</v>
      </c>
    </row>
    <row r="32">
      <c r="B32" s="213" t="s">
        <v>443</v>
      </c>
      <c r="C32" s="213">
        <v>4.0</v>
      </c>
      <c r="D32" s="213">
        <v>37453.0</v>
      </c>
    </row>
    <row r="33">
      <c r="C33" s="213">
        <v>4.5</v>
      </c>
      <c r="D33" s="213">
        <v>39794.0</v>
      </c>
    </row>
    <row r="34">
      <c r="C34" s="213">
        <v>5.0</v>
      </c>
      <c r="D34" s="213">
        <v>42135.0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2016-07-27T07:39:59Z</dcterms:created>
  <dc:creator>JZXU</dc:creator>
</cp:coreProperties>
</file>