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r\Doc hw\"/>
    </mc:Choice>
  </mc:AlternateContent>
  <xr:revisionPtr revIDLastSave="0" documentId="13_ncr:1_{BD03F8F9-8FB4-44A0-8114-6333C7CA448A}" xr6:coauthVersionLast="47" xr6:coauthVersionMax="47" xr10:uidLastSave="{00000000-0000-0000-0000-000000000000}"/>
  <bookViews>
    <workbookView xWindow="-35280" yWindow="3120" windowWidth="28800" windowHeight="15435" tabRatio="876" activeTab="4" xr2:uid="{00000000-000D-0000-FFFF-FFFF00000000}"/>
  </bookViews>
  <sheets>
    <sheet name="OPCODE" sheetId="18" r:id="rId1"/>
    <sheet name="INSTRUCTION" sheetId="2" r:id="rId2"/>
    <sheet name="PAT_MEM" sheetId="3" r:id="rId3"/>
    <sheet name="System REG" sheetId="5" r:id="rId4"/>
    <sheet name="PDS REG" sheetId="6" r:id="rId5"/>
    <sheet name="FORMAT REG" sheetId="7" r:id="rId6"/>
    <sheet name="Scramble REG" sheetId="8" r:id="rId7"/>
    <sheet name="Scan REG" sheetId="9" r:id="rId8"/>
    <sheet name="FAIL MEM" sheetId="10" r:id="rId9"/>
    <sheet name="TG_REG" sheetId="14" r:id="rId10"/>
    <sheet name="TG MEM" sheetId="13" r:id="rId11"/>
    <sheet name="CDINFO_IMPRINT_MEM" sheetId="11" r:id="rId12"/>
    <sheet name="VM_MEM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7" i="18" l="1"/>
  <c r="E6" i="18" l="1"/>
  <c r="AW5" i="18"/>
  <c r="AX5" i="18"/>
  <c r="AY5" i="18"/>
  <c r="AZ5" i="18"/>
  <c r="BA5" i="18"/>
  <c r="BB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G5" i="18"/>
  <c r="H5" i="18"/>
  <c r="I5" i="18"/>
  <c r="J5" i="18"/>
  <c r="F5" i="18"/>
  <c r="D137" i="18"/>
  <c r="BB7" i="18"/>
  <c r="BC7" i="18" s="1"/>
  <c r="Q53" i="2" l="1"/>
  <c r="Q54" i="2"/>
  <c r="R54" i="2" s="1"/>
  <c r="Q55" i="2"/>
  <c r="R55" i="2"/>
  <c r="Q56" i="2"/>
  <c r="R56" i="2" s="1"/>
  <c r="Q57" i="2"/>
  <c r="R57" i="2"/>
  <c r="Q58" i="2"/>
  <c r="R58" i="2" s="1"/>
  <c r="Q59" i="2"/>
  <c r="R59" i="2"/>
  <c r="Q60" i="2"/>
  <c r="R60" i="2"/>
  <c r="Q61" i="2"/>
  <c r="R61" i="2"/>
  <c r="Q62" i="2"/>
  <c r="R62" i="2" s="1"/>
  <c r="Q63" i="2"/>
  <c r="R63" i="2"/>
  <c r="Q64" i="2"/>
  <c r="R64" i="2" s="1"/>
  <c r="Q65" i="2"/>
  <c r="R65" i="2"/>
  <c r="Q66" i="2"/>
  <c r="R66" i="2"/>
  <c r="Q67" i="2"/>
  <c r="R67" i="2"/>
  <c r="Q68" i="2"/>
  <c r="R68" i="2"/>
  <c r="Q69" i="2"/>
  <c r="R69" i="2"/>
  <c r="Q70" i="2"/>
  <c r="R70" i="2" s="1"/>
  <c r="Q71" i="2"/>
  <c r="R71" i="2"/>
  <c r="Q72" i="2"/>
  <c r="R72" i="2" s="1"/>
  <c r="Q73" i="2"/>
  <c r="R73" i="2"/>
  <c r="Q74" i="2"/>
  <c r="R74" i="2"/>
  <c r="Q75" i="2"/>
  <c r="R75" i="2"/>
  <c r="Q76" i="2"/>
  <c r="R76" i="2"/>
  <c r="Q77" i="2"/>
  <c r="R77" i="2"/>
  <c r="Q78" i="2"/>
  <c r="R78" i="2" s="1"/>
  <c r="Q79" i="2"/>
  <c r="R79" i="2"/>
  <c r="Q80" i="2"/>
  <c r="R80" i="2" s="1"/>
  <c r="R53" i="2"/>
  <c r="R30" i="9"/>
  <c r="R31" i="9" s="1"/>
  <c r="S30" i="9"/>
  <c r="S31" i="9" s="1"/>
  <c r="R29" i="9"/>
  <c r="S29" i="9"/>
  <c r="W47" i="7" l="1"/>
  <c r="V47" i="7" s="1"/>
  <c r="U47" i="7" s="1"/>
  <c r="X46" i="7" s="1"/>
  <c r="W46" i="7" s="1"/>
  <c r="V46" i="7" s="1"/>
  <c r="U46" i="7" s="1"/>
  <c r="X45" i="7" s="1"/>
  <c r="W45" i="7" s="1"/>
  <c r="V45" i="7" s="1"/>
  <c r="U45" i="7" s="1"/>
  <c r="X44" i="7" s="1"/>
  <c r="W44" i="7" s="1"/>
  <c r="V44" i="7" s="1"/>
  <c r="U44" i="7" s="1"/>
  <c r="N11" i="3"/>
  <c r="M11" i="3" s="1"/>
  <c r="N12" i="3" s="1"/>
  <c r="M12" i="3" s="1"/>
  <c r="N13" i="3" s="1"/>
  <c r="M13" i="3" s="1"/>
  <c r="N14" i="3" s="1"/>
  <c r="M14" i="3" s="1"/>
  <c r="N15" i="3" s="1"/>
  <c r="M15" i="3" s="1"/>
  <c r="N16" i="3" s="1"/>
  <c r="M16" i="3" s="1"/>
  <c r="N17" i="3" s="1"/>
  <c r="M17" i="3" s="1"/>
  <c r="N18" i="3" s="1"/>
  <c r="M18" i="3" s="1"/>
  <c r="N19" i="3" s="1"/>
  <c r="M19" i="3" s="1"/>
  <c r="N20" i="3" s="1"/>
  <c r="M20" i="3" s="1"/>
  <c r="N21" i="3" s="1"/>
  <c r="M21" i="3" s="1"/>
  <c r="N22" i="3" s="1"/>
  <c r="M22" i="3" s="1"/>
  <c r="N23" i="3" s="1"/>
  <c r="M23" i="3" s="1"/>
  <c r="N24" i="3" s="1"/>
  <c r="M24" i="3" s="1"/>
  <c r="N25" i="3" s="1"/>
  <c r="M25" i="3" s="1"/>
  <c r="N26" i="3" s="1"/>
  <c r="M26" i="3" s="1"/>
  <c r="N27" i="3" s="1"/>
  <c r="M27" i="3" s="1"/>
  <c r="N28" i="3" s="1"/>
  <c r="M28" i="3" s="1"/>
  <c r="N29" i="3" s="1"/>
  <c r="M29" i="3" s="1"/>
  <c r="N30" i="3" s="1"/>
  <c r="M30" i="3" s="1"/>
  <c r="N31" i="3" s="1"/>
  <c r="M31" i="3" s="1"/>
  <c r="N32" i="3" s="1"/>
  <c r="M32" i="3" s="1"/>
  <c r="N33" i="3" s="1"/>
  <c r="M33" i="3" s="1"/>
  <c r="N34" i="3" s="1"/>
  <c r="M34" i="3" s="1"/>
  <c r="N35" i="3" s="1"/>
  <c r="M35" i="3" s="1"/>
  <c r="N36" i="3" s="1"/>
  <c r="M36" i="3" s="1"/>
  <c r="N37" i="3" s="1"/>
  <c r="M37" i="3" s="1"/>
  <c r="N38" i="3" s="1"/>
  <c r="M38" i="3" s="1"/>
  <c r="N39" i="3" s="1"/>
  <c r="M39" i="3" s="1"/>
  <c r="N40" i="3" s="1"/>
  <c r="M40" i="3" s="1"/>
  <c r="N41" i="3" s="1"/>
  <c r="M41" i="3" s="1"/>
  <c r="N42" i="3" s="1"/>
  <c r="M42" i="3" s="1"/>
  <c r="N43" i="3" s="1"/>
  <c r="M43" i="3" s="1"/>
  <c r="N44" i="3" s="1"/>
  <c r="M44" i="3" s="1"/>
  <c r="N45" i="3" s="1"/>
  <c r="M45" i="3" s="1"/>
  <c r="N46" i="3" s="1"/>
  <c r="M46" i="3" s="1"/>
  <c r="N47" i="3" s="1"/>
  <c r="M47" i="3" s="1"/>
  <c r="N48" i="3" s="1"/>
  <c r="M48" i="3" s="1"/>
  <c r="N49" i="3" s="1"/>
  <c r="M49" i="3" s="1"/>
  <c r="N50" i="3" s="1"/>
  <c r="M50" i="3" s="1"/>
  <c r="N51" i="3" s="1"/>
  <c r="M51" i="3" s="1"/>
  <c r="N52" i="3" s="1"/>
  <c r="M52" i="3" s="1"/>
  <c r="N10" i="3"/>
  <c r="M10" i="3" s="1"/>
  <c r="M9" i="3"/>
  <c r="R84" i="2"/>
  <c r="Q84" i="2" s="1"/>
  <c r="P84" i="2" s="1"/>
  <c r="J30" i="3" l="1"/>
  <c r="H30" i="3"/>
  <c r="E163" i="2"/>
  <c r="E164" i="2" s="1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4" i="7"/>
  <c r="M25" i="7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A8" i="5"/>
  <c r="K8" i="5"/>
  <c r="M8" i="5"/>
  <c r="F9" i="5"/>
  <c r="K9" i="5" s="1"/>
  <c r="Q9" i="5"/>
  <c r="M9" i="5" s="1"/>
  <c r="Q10" i="5"/>
  <c r="M10" i="5" s="1"/>
  <c r="Q11" i="5"/>
  <c r="A26" i="5"/>
  <c r="A27" i="5"/>
  <c r="A28" i="5"/>
  <c r="A29" i="5"/>
  <c r="A30" i="5"/>
  <c r="A31" i="5"/>
  <c r="A32" i="5"/>
  <c r="A33" i="5"/>
  <c r="A34" i="5"/>
  <c r="A35" i="5"/>
  <c r="A36" i="5"/>
  <c r="D16" i="3"/>
  <c r="D23" i="3" s="1"/>
  <c r="D30" i="3" s="1"/>
  <c r="D14" i="3"/>
  <c r="D21" i="3" s="1"/>
  <c r="D28" i="3" s="1"/>
  <c r="D13" i="3"/>
  <c r="D20" i="3" s="1"/>
  <c r="D27" i="3" s="1"/>
  <c r="D12" i="3"/>
  <c r="D19" i="3" s="1"/>
  <c r="D26" i="3" s="1"/>
  <c r="D11" i="3"/>
  <c r="D18" i="3" s="1"/>
  <c r="D25" i="3" s="1"/>
  <c r="D10" i="3"/>
  <c r="D17" i="3" s="1"/>
  <c r="D24" i="3" s="1"/>
  <c r="D9" i="2"/>
  <c r="R85" i="2" l="1"/>
  <c r="Q85" i="2" s="1"/>
  <c r="P85" i="2" s="1"/>
  <c r="D10" i="2"/>
  <c r="F10" i="5"/>
  <c r="F11" i="5"/>
  <c r="A10" i="5"/>
  <c r="K10" i="5"/>
  <c r="M11" i="5"/>
  <c r="Q12" i="5"/>
  <c r="A9" i="5"/>
  <c r="D11" i="2" l="1"/>
  <c r="R86" i="2"/>
  <c r="Q86" i="2" s="1"/>
  <c r="P86" i="2" s="1"/>
  <c r="A11" i="5"/>
  <c r="K11" i="5"/>
  <c r="F12" i="5"/>
  <c r="M12" i="5"/>
  <c r="Q13" i="5"/>
  <c r="D12" i="2" l="1"/>
  <c r="R87" i="2"/>
  <c r="Q87" i="2" s="1"/>
  <c r="P87" i="2" s="1"/>
  <c r="F13" i="5"/>
  <c r="A12" i="5"/>
  <c r="K12" i="5"/>
  <c r="Q14" i="5"/>
  <c r="M13" i="5"/>
  <c r="D13" i="2" l="1"/>
  <c r="R88" i="2"/>
  <c r="Q88" i="2" s="1"/>
  <c r="P88" i="2" s="1"/>
  <c r="F14" i="5"/>
  <c r="A13" i="5"/>
  <c r="K13" i="5"/>
  <c r="Q15" i="5"/>
  <c r="M14" i="5"/>
  <c r="D14" i="2" l="1"/>
  <c r="R89" i="2"/>
  <c r="Q89" i="2" s="1"/>
  <c r="P89" i="2" s="1"/>
  <c r="K14" i="5"/>
  <c r="F15" i="5"/>
  <c r="A14" i="5"/>
  <c r="Q16" i="5"/>
  <c r="M15" i="5"/>
  <c r="R90" i="2" l="1"/>
  <c r="Q90" i="2" s="1"/>
  <c r="P90" i="2" s="1"/>
  <c r="D15" i="2"/>
  <c r="F16" i="5"/>
  <c r="K15" i="5"/>
  <c r="A15" i="5"/>
  <c r="Q17" i="5"/>
  <c r="M16" i="5"/>
  <c r="D16" i="2" l="1"/>
  <c r="R91" i="2"/>
  <c r="Q91" i="2" s="1"/>
  <c r="P91" i="2" s="1"/>
  <c r="A16" i="5"/>
  <c r="K16" i="5"/>
  <c r="F17" i="5"/>
  <c r="M17" i="5"/>
  <c r="Q18" i="5"/>
  <c r="D17" i="2" l="1"/>
  <c r="R92" i="2"/>
  <c r="Q92" i="2" s="1"/>
  <c r="P92" i="2" s="1"/>
  <c r="M18" i="5"/>
  <c r="Q19" i="5"/>
  <c r="K17" i="5"/>
  <c r="A17" i="5"/>
  <c r="F18" i="5"/>
  <c r="D18" i="2" l="1"/>
  <c r="R93" i="2"/>
  <c r="Q93" i="2" s="1"/>
  <c r="P93" i="2" s="1"/>
  <c r="A18" i="5"/>
  <c r="F19" i="5"/>
  <c r="K18" i="5"/>
  <c r="Q20" i="5"/>
  <c r="M19" i="5"/>
  <c r="R94" i="2" l="1"/>
  <c r="Q94" i="2" s="1"/>
  <c r="P94" i="2" s="1"/>
  <c r="D19" i="2"/>
  <c r="M20" i="5"/>
  <c r="Q21" i="5"/>
  <c r="A19" i="5"/>
  <c r="K19" i="5"/>
  <c r="F20" i="5"/>
  <c r="R95" i="2" l="1"/>
  <c r="Q95" i="2" s="1"/>
  <c r="P95" i="2" s="1"/>
  <c r="D20" i="2"/>
  <c r="F21" i="5"/>
  <c r="A20" i="5"/>
  <c r="K20" i="5"/>
  <c r="Q22" i="5"/>
  <c r="M21" i="5"/>
  <c r="R96" i="2" l="1"/>
  <c r="Q96" i="2" s="1"/>
  <c r="P96" i="2" s="1"/>
  <c r="D21" i="2"/>
  <c r="Q23" i="5"/>
  <c r="M22" i="5"/>
  <c r="F22" i="5"/>
  <c r="A21" i="5"/>
  <c r="K21" i="5"/>
  <c r="R97" i="2" l="1"/>
  <c r="Q97" i="2" s="1"/>
  <c r="P97" i="2" s="1"/>
  <c r="D22" i="2"/>
  <c r="K22" i="5"/>
  <c r="F23" i="5"/>
  <c r="A22" i="5"/>
  <c r="Q24" i="5"/>
  <c r="M23" i="5"/>
  <c r="R98" i="2" l="1"/>
  <c r="Q98" i="2" s="1"/>
  <c r="P98" i="2" s="1"/>
  <c r="D23" i="2"/>
  <c r="Q25" i="5"/>
  <c r="M24" i="5"/>
  <c r="F24" i="5"/>
  <c r="K23" i="5"/>
  <c r="A23" i="5"/>
  <c r="R99" i="2" l="1"/>
  <c r="Q99" i="2" s="1"/>
  <c r="P99" i="2" s="1"/>
  <c r="D24" i="2"/>
  <c r="K24" i="5"/>
  <c r="A24" i="5"/>
  <c r="F25" i="5"/>
  <c r="M25" i="5"/>
  <c r="Q26" i="5"/>
  <c r="D25" i="2" l="1"/>
  <c r="R100" i="2"/>
  <c r="Q100" i="2" s="1"/>
  <c r="P100" i="2" s="1"/>
  <c r="M26" i="5"/>
  <c r="Q27" i="5"/>
  <c r="K25" i="5"/>
  <c r="A25" i="5"/>
  <c r="F26" i="5"/>
  <c r="R101" i="2" l="1"/>
  <c r="Q101" i="2" s="1"/>
  <c r="P101" i="2" s="1"/>
  <c r="D26" i="2"/>
  <c r="F27" i="5"/>
  <c r="K26" i="5"/>
  <c r="Q28" i="5"/>
  <c r="M27" i="5"/>
  <c r="D27" i="2" l="1"/>
  <c r="R102" i="2"/>
  <c r="Q102" i="2" s="1"/>
  <c r="P102" i="2" s="1"/>
  <c r="M28" i="5"/>
  <c r="Q29" i="5"/>
  <c r="K27" i="5"/>
  <c r="F28" i="5"/>
  <c r="R103" i="2" l="1"/>
  <c r="Q103" i="2" s="1"/>
  <c r="P103" i="2" s="1"/>
  <c r="D28" i="2"/>
  <c r="F29" i="5"/>
  <c r="K28" i="5"/>
  <c r="Q30" i="5"/>
  <c r="M29" i="5"/>
  <c r="R104" i="2" l="1"/>
  <c r="Q104" i="2" s="1"/>
  <c r="P104" i="2" s="1"/>
  <c r="D29" i="2"/>
  <c r="Q31" i="5"/>
  <c r="M30" i="5"/>
  <c r="F30" i="5"/>
  <c r="K29" i="5"/>
  <c r="R105" i="2" l="1"/>
  <c r="Q105" i="2" s="1"/>
  <c r="P105" i="2" s="1"/>
  <c r="D30" i="2"/>
  <c r="K30" i="5"/>
  <c r="F31" i="5"/>
  <c r="Q32" i="5"/>
  <c r="M31" i="5"/>
  <c r="D31" i="2" l="1"/>
  <c r="R106" i="2"/>
  <c r="Q106" i="2" s="1"/>
  <c r="P106" i="2" s="1"/>
  <c r="Q33" i="5"/>
  <c r="M32" i="5"/>
  <c r="F32" i="5"/>
  <c r="K31" i="5"/>
  <c r="D32" i="2" l="1"/>
  <c r="R107" i="2"/>
  <c r="Q107" i="2" s="1"/>
  <c r="P107" i="2" s="1"/>
  <c r="M33" i="5"/>
  <c r="Q34" i="5"/>
  <c r="K32" i="5"/>
  <c r="F33" i="5"/>
  <c r="D33" i="2" l="1"/>
  <c r="R108" i="2"/>
  <c r="Q108" i="2" s="1"/>
  <c r="P108" i="2" s="1"/>
  <c r="M34" i="5"/>
  <c r="Q35" i="5"/>
  <c r="K33" i="5"/>
  <c r="F34" i="5"/>
  <c r="D34" i="2" l="1"/>
  <c r="R109" i="2"/>
  <c r="Q109" i="2" s="1"/>
  <c r="P109" i="2" s="1"/>
  <c r="F35" i="5"/>
  <c r="K34" i="5"/>
  <c r="M35" i="5"/>
  <c r="Q36" i="5"/>
  <c r="R110" i="2" l="1"/>
  <c r="Q110" i="2" s="1"/>
  <c r="P110" i="2" s="1"/>
  <c r="D35" i="2"/>
  <c r="M36" i="5"/>
  <c r="Q37" i="5"/>
  <c r="K35" i="5"/>
  <c r="F36" i="5"/>
  <c r="R111" i="2" l="1"/>
  <c r="Q111" i="2" s="1"/>
  <c r="P111" i="2" s="1"/>
  <c r="D36" i="2"/>
  <c r="F37" i="5"/>
  <c r="K36" i="5"/>
  <c r="Q38" i="5"/>
  <c r="M37" i="5"/>
  <c r="D37" i="2" l="1"/>
  <c r="R112" i="2"/>
  <c r="Q112" i="2" s="1"/>
  <c r="P112" i="2" s="1"/>
  <c r="K37" i="5"/>
  <c r="F38" i="5"/>
  <c r="M38" i="5"/>
  <c r="Q39" i="5"/>
  <c r="D38" i="2" l="1"/>
  <c r="R113" i="2"/>
  <c r="Q113" i="2" s="1"/>
  <c r="P113" i="2" s="1"/>
  <c r="Q40" i="5"/>
  <c r="M39" i="5"/>
  <c r="F39" i="5"/>
  <c r="K38" i="5"/>
  <c r="D39" i="2" l="1"/>
  <c r="R114" i="2"/>
  <c r="Q114" i="2" s="1"/>
  <c r="P114" i="2" s="1"/>
  <c r="M40" i="5"/>
  <c r="Q41" i="5"/>
  <c r="F40" i="5"/>
  <c r="K39" i="5"/>
  <c r="R115" i="2" l="1"/>
  <c r="Q115" i="2" s="1"/>
  <c r="P115" i="2" s="1"/>
  <c r="D40" i="2"/>
  <c r="Q42" i="5"/>
  <c r="M41" i="5"/>
  <c r="F41" i="5"/>
  <c r="K40" i="5"/>
  <c r="R116" i="2" l="1"/>
  <c r="Q116" i="2" s="1"/>
  <c r="P116" i="2" s="1"/>
  <c r="D41" i="2"/>
  <c r="K41" i="5"/>
  <c r="F42" i="5"/>
  <c r="M42" i="5"/>
  <c r="Q43" i="5"/>
  <c r="R117" i="2" l="1"/>
  <c r="Q117" i="2" s="1"/>
  <c r="P117" i="2" s="1"/>
  <c r="D42" i="2"/>
  <c r="Q44" i="5"/>
  <c r="M43" i="5"/>
  <c r="F43" i="5"/>
  <c r="K42" i="5"/>
  <c r="D43" i="2" l="1"/>
  <c r="R118" i="2"/>
  <c r="Q118" i="2" s="1"/>
  <c r="P118" i="2" s="1"/>
  <c r="F44" i="5"/>
  <c r="K43" i="5"/>
  <c r="M44" i="5"/>
  <c r="Q45" i="5"/>
  <c r="D44" i="2" l="1"/>
  <c r="R119" i="2"/>
  <c r="Q119" i="2" s="1"/>
  <c r="P119" i="2" s="1"/>
  <c r="Q46" i="5"/>
  <c r="M45" i="5"/>
  <c r="F45" i="5"/>
  <c r="K44" i="5"/>
  <c r="D45" i="2" l="1"/>
  <c r="R120" i="2"/>
  <c r="Q120" i="2" s="1"/>
  <c r="P120" i="2" s="1"/>
  <c r="K45" i="5"/>
  <c r="F46" i="5"/>
  <c r="M46" i="5"/>
  <c r="Q47" i="5"/>
  <c r="R121" i="2" l="1"/>
  <c r="Q121" i="2" s="1"/>
  <c r="P121" i="2" s="1"/>
  <c r="D46" i="2"/>
  <c r="Q48" i="5"/>
  <c r="M47" i="5"/>
  <c r="F47" i="5"/>
  <c r="K46" i="5"/>
  <c r="D47" i="2" l="1"/>
  <c r="R122" i="2"/>
  <c r="Q122" i="2" s="1"/>
  <c r="P122" i="2" s="1"/>
  <c r="K47" i="5"/>
  <c r="F48" i="5"/>
  <c r="M48" i="5"/>
  <c r="Q49" i="5"/>
  <c r="D48" i="2" l="1"/>
  <c r="R123" i="2"/>
  <c r="Q123" i="2" s="1"/>
  <c r="P123" i="2" s="1"/>
  <c r="Q50" i="5"/>
  <c r="M49" i="5"/>
  <c r="F49" i="5"/>
  <c r="K48" i="5"/>
  <c r="D49" i="2" l="1"/>
  <c r="R124" i="2"/>
  <c r="Q124" i="2" s="1"/>
  <c r="P124" i="2" s="1"/>
  <c r="K49" i="5"/>
  <c r="F50" i="5"/>
  <c r="M50" i="5"/>
  <c r="Q51" i="5"/>
  <c r="D50" i="2" l="1"/>
  <c r="R125" i="2"/>
  <c r="Q125" i="2" s="1"/>
  <c r="P125" i="2" s="1"/>
  <c r="Q52" i="5"/>
  <c r="M51" i="5"/>
  <c r="F51" i="5"/>
  <c r="K50" i="5"/>
  <c r="R126" i="2" l="1"/>
  <c r="Q126" i="2" s="1"/>
  <c r="P126" i="2" s="1"/>
  <c r="D51" i="2"/>
  <c r="K51" i="5"/>
  <c r="F52" i="5"/>
  <c r="M52" i="5"/>
  <c r="Q53" i="5"/>
  <c r="D52" i="2" l="1"/>
  <c r="R127" i="2"/>
  <c r="Q127" i="2" s="1"/>
  <c r="P127" i="2" s="1"/>
  <c r="Q54" i="5"/>
  <c r="M53" i="5"/>
  <c r="F53" i="5"/>
  <c r="K52" i="5"/>
  <c r="D53" i="2" l="1"/>
  <c r="R128" i="2"/>
  <c r="Q128" i="2" s="1"/>
  <c r="P128" i="2" s="1"/>
  <c r="K53" i="5"/>
  <c r="F54" i="5"/>
  <c r="M54" i="5"/>
  <c r="Q55" i="5"/>
  <c r="D54" i="2" l="1"/>
  <c r="R129" i="2"/>
  <c r="Q129" i="2" s="1"/>
  <c r="P129" i="2" s="1"/>
  <c r="Q56" i="5"/>
  <c r="M55" i="5"/>
  <c r="F55" i="5"/>
  <c r="K54" i="5"/>
  <c r="D55" i="2" l="1"/>
  <c r="R130" i="2"/>
  <c r="Q130" i="2" s="1"/>
  <c r="P130" i="2" s="1"/>
  <c r="K55" i="5"/>
  <c r="F56" i="5"/>
  <c r="M56" i="5"/>
  <c r="Q57" i="5"/>
  <c r="R131" i="2" l="1"/>
  <c r="Q131" i="2" s="1"/>
  <c r="P131" i="2" s="1"/>
  <c r="D56" i="2"/>
  <c r="Q58" i="5"/>
  <c r="M57" i="5"/>
  <c r="F57" i="5"/>
  <c r="K56" i="5"/>
  <c r="D57" i="2" l="1"/>
  <c r="R132" i="2"/>
  <c r="Q132" i="2" s="1"/>
  <c r="P132" i="2" s="1"/>
  <c r="K57" i="5"/>
  <c r="F58" i="5"/>
  <c r="M58" i="5"/>
  <c r="Q59" i="5"/>
  <c r="D58" i="2" l="1"/>
  <c r="R133" i="2"/>
  <c r="Q133" i="2" s="1"/>
  <c r="P133" i="2" s="1"/>
  <c r="Q60" i="5"/>
  <c r="M59" i="5"/>
  <c r="F59" i="5"/>
  <c r="K58" i="5"/>
  <c r="D59" i="2" l="1"/>
  <c r="R134" i="2"/>
  <c r="Q134" i="2" s="1"/>
  <c r="P134" i="2" s="1"/>
  <c r="F60" i="5"/>
  <c r="K59" i="5"/>
  <c r="M60" i="5"/>
  <c r="Q61" i="5"/>
  <c r="D60" i="2" l="1"/>
  <c r="R135" i="2"/>
  <c r="Q135" i="2" s="1"/>
  <c r="P135" i="2" s="1"/>
  <c r="Q62" i="5"/>
  <c r="M61" i="5"/>
  <c r="F61" i="5"/>
  <c r="K60" i="5"/>
  <c r="D61" i="2" l="1"/>
  <c r="R136" i="2"/>
  <c r="Q136" i="2" s="1"/>
  <c r="P136" i="2" s="1"/>
  <c r="F62" i="5"/>
  <c r="K61" i="5"/>
  <c r="M62" i="5"/>
  <c r="Q63" i="5"/>
  <c r="D62" i="2" l="1"/>
  <c r="R137" i="2"/>
  <c r="Q137" i="2" s="1"/>
  <c r="P137" i="2" s="1"/>
  <c r="F63" i="5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K62" i="5"/>
  <c r="M63" i="5"/>
  <c r="Q64" i="5"/>
  <c r="D63" i="2" l="1"/>
  <c r="R138" i="2"/>
  <c r="Q138" i="2" s="1"/>
  <c r="P138" i="2" s="1"/>
  <c r="Q65" i="5"/>
  <c r="M64" i="5"/>
  <c r="R139" i="2" l="1"/>
  <c r="Q139" i="2" s="1"/>
  <c r="P139" i="2" s="1"/>
  <c r="D64" i="2"/>
  <c r="M65" i="5"/>
  <c r="Q66" i="5"/>
  <c r="D65" i="2" l="1"/>
  <c r="R140" i="2"/>
  <c r="Q140" i="2" s="1"/>
  <c r="P140" i="2" s="1"/>
  <c r="Q67" i="5"/>
  <c r="M66" i="5"/>
  <c r="R141" i="2" l="1"/>
  <c r="Q141" i="2" s="1"/>
  <c r="P141" i="2" s="1"/>
  <c r="D66" i="2"/>
  <c r="M67" i="5"/>
  <c r="Q68" i="5"/>
  <c r="D67" i="2" l="1"/>
  <c r="R142" i="2"/>
  <c r="Q142" i="2" s="1"/>
  <c r="P142" i="2" s="1"/>
  <c r="M68" i="5"/>
  <c r="Q69" i="5"/>
  <c r="D68" i="2" l="1"/>
  <c r="R143" i="2"/>
  <c r="Q143" i="2" s="1"/>
  <c r="P143" i="2" s="1"/>
  <c r="Q70" i="5"/>
  <c r="M69" i="5"/>
  <c r="D69" i="2" l="1"/>
  <c r="R144" i="2"/>
  <c r="Q144" i="2" s="1"/>
  <c r="P144" i="2" s="1"/>
  <c r="M70" i="5"/>
  <c r="Q71" i="5"/>
  <c r="D70" i="2" l="1"/>
  <c r="R145" i="2"/>
  <c r="Q145" i="2" s="1"/>
  <c r="P145" i="2" s="1"/>
  <c r="Q72" i="5"/>
  <c r="M71" i="5"/>
  <c r="R146" i="2" l="1"/>
  <c r="Q146" i="2" s="1"/>
  <c r="P146" i="2" s="1"/>
  <c r="D71" i="2"/>
  <c r="Q73" i="5"/>
  <c r="M72" i="5"/>
  <c r="D72" i="2" l="1"/>
  <c r="R147" i="2"/>
  <c r="Q147" i="2" s="1"/>
  <c r="P147" i="2" s="1"/>
  <c r="M73" i="5"/>
  <c r="Q74" i="5"/>
  <c r="R148" i="2" l="1"/>
  <c r="Q148" i="2" s="1"/>
  <c r="P148" i="2" s="1"/>
  <c r="D73" i="2"/>
  <c r="Q75" i="5"/>
  <c r="M74" i="5"/>
  <c r="R149" i="2" l="1"/>
  <c r="Q149" i="2" s="1"/>
  <c r="P149" i="2" s="1"/>
  <c r="D74" i="2"/>
  <c r="M75" i="5"/>
  <c r="Q76" i="5"/>
  <c r="R150" i="2" l="1"/>
  <c r="Q150" i="2" s="1"/>
  <c r="P150" i="2" s="1"/>
  <c r="D75" i="2"/>
  <c r="M76" i="5"/>
  <c r="Q77" i="5"/>
  <c r="D76" i="2" l="1"/>
  <c r="R151" i="2"/>
  <c r="Q151" i="2" s="1"/>
  <c r="P151" i="2" s="1"/>
  <c r="Q78" i="5"/>
  <c r="M77" i="5"/>
  <c r="D77" i="2" l="1"/>
  <c r="R152" i="2"/>
  <c r="Q152" i="2" s="1"/>
  <c r="P152" i="2" s="1"/>
  <c r="M78" i="5"/>
  <c r="Q79" i="5"/>
  <c r="D78" i="2" l="1"/>
  <c r="R153" i="2"/>
  <c r="Q153" i="2" s="1"/>
  <c r="P153" i="2" s="1"/>
  <c r="Q80" i="5"/>
  <c r="M79" i="5"/>
  <c r="R154" i="2" l="1"/>
  <c r="Q154" i="2" s="1"/>
  <c r="P154" i="2" s="1"/>
  <c r="D79" i="2"/>
  <c r="Q81" i="5"/>
  <c r="M80" i="5"/>
  <c r="R155" i="2" l="1"/>
  <c r="Q155" i="2" s="1"/>
  <c r="P155" i="2" s="1"/>
  <c r="D80" i="2"/>
  <c r="M81" i="5"/>
  <c r="Q82" i="5"/>
  <c r="R156" i="2" l="1"/>
  <c r="Q156" i="2" s="1"/>
  <c r="P156" i="2" s="1"/>
  <c r="D81" i="2"/>
  <c r="Q83" i="5"/>
  <c r="M82" i="5"/>
  <c r="D82" i="2" l="1"/>
  <c r="R157" i="2"/>
  <c r="Q157" i="2" s="1"/>
  <c r="P157" i="2" s="1"/>
  <c r="M83" i="5"/>
  <c r="Q84" i="5"/>
  <c r="D83" i="2" l="1"/>
  <c r="R158" i="2"/>
  <c r="Q158" i="2" s="1"/>
  <c r="P158" i="2" s="1"/>
  <c r="M84" i="5"/>
  <c r="Q85" i="5"/>
  <c r="D84" i="2" l="1"/>
  <c r="R159" i="2"/>
  <c r="Q159" i="2" s="1"/>
  <c r="P159" i="2" s="1"/>
  <c r="Q86" i="5"/>
  <c r="M85" i="5"/>
  <c r="D85" i="2" l="1"/>
  <c r="R160" i="2"/>
  <c r="Q160" i="2" s="1"/>
  <c r="P160" i="2" s="1"/>
  <c r="Q87" i="5"/>
  <c r="M86" i="5"/>
  <c r="D86" i="2" l="1"/>
  <c r="R161" i="2"/>
  <c r="Q161" i="2" s="1"/>
  <c r="P161" i="2" s="1"/>
  <c r="M87" i="5"/>
  <c r="Q88" i="5"/>
  <c r="R162" i="2" l="1"/>
  <c r="Q162" i="2" s="1"/>
  <c r="P162" i="2" s="1"/>
  <c r="D87" i="2"/>
  <c r="Q89" i="5"/>
  <c r="M88" i="5"/>
  <c r="R163" i="2" l="1"/>
  <c r="Q163" i="2" s="1"/>
  <c r="P163" i="2" s="1"/>
  <c r="D88" i="2"/>
  <c r="Q90" i="5"/>
  <c r="M89" i="5"/>
  <c r="R164" i="2" l="1"/>
  <c r="Q164" i="2" s="1"/>
  <c r="P164" i="2" s="1"/>
  <c r="D89" i="2"/>
  <c r="Q91" i="5"/>
  <c r="M90" i="5"/>
  <c r="D90" i="2" l="1"/>
  <c r="R165" i="2"/>
  <c r="Q165" i="2" s="1"/>
  <c r="P165" i="2" s="1"/>
  <c r="M91" i="5"/>
  <c r="Q92" i="5"/>
  <c r="D91" i="2" l="1"/>
  <c r="R166" i="2"/>
  <c r="Q166" i="2" s="1"/>
  <c r="P166" i="2" s="1"/>
  <c r="Q93" i="5"/>
  <c r="M92" i="5"/>
  <c r="D92" i="2" l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R167" i="2"/>
  <c r="Q167" i="2" s="1"/>
  <c r="P167" i="2" s="1"/>
  <c r="Q94" i="5"/>
  <c r="M93" i="5"/>
  <c r="Q95" i="5" l="1"/>
  <c r="M94" i="5"/>
  <c r="M95" i="5" l="1"/>
  <c r="Q96" i="5"/>
  <c r="Q97" i="5" l="1"/>
  <c r="M96" i="5"/>
  <c r="Q98" i="5" l="1"/>
  <c r="M97" i="5"/>
  <c r="Q99" i="5" l="1"/>
  <c r="M98" i="5"/>
  <c r="M99" i="5" l="1"/>
  <c r="Q100" i="5"/>
  <c r="Q101" i="5" l="1"/>
  <c r="M100" i="5"/>
  <c r="Q102" i="5" l="1"/>
  <c r="M101" i="5"/>
  <c r="Q103" i="5" l="1"/>
  <c r="M102" i="5"/>
  <c r="M103" i="5" l="1"/>
  <c r="Q104" i="5"/>
  <c r="Q105" i="5" l="1"/>
  <c r="M104" i="5"/>
  <c r="Q106" i="5" l="1"/>
  <c r="M105" i="5"/>
  <c r="Q107" i="5" l="1"/>
  <c r="M106" i="5"/>
  <c r="M107" i="5" l="1"/>
  <c r="Q108" i="5"/>
  <c r="Q109" i="5" l="1"/>
  <c r="M108" i="5"/>
  <c r="Q110" i="5" l="1"/>
  <c r="M109" i="5"/>
  <c r="Q111" i="5" l="1"/>
  <c r="M110" i="5"/>
  <c r="M111" i="5" l="1"/>
  <c r="Q112" i="5"/>
  <c r="Q113" i="5" l="1"/>
  <c r="M113" i="5" s="1"/>
  <c r="M112" i="5"/>
</calcChain>
</file>

<file path=xl/sharedStrings.xml><?xml version="1.0" encoding="utf-8"?>
<sst xmlns="http://schemas.openxmlformats.org/spreadsheetml/2006/main" count="3550" uniqueCount="1571">
  <si>
    <t>NOP</t>
  </si>
  <si>
    <t>INC0</t>
  </si>
  <si>
    <t>INC1</t>
  </si>
  <si>
    <t>INC2</t>
  </si>
  <si>
    <t>INC3</t>
  </si>
  <si>
    <t>INC4</t>
  </si>
  <si>
    <t>INC5</t>
  </si>
  <si>
    <t>INC6</t>
  </si>
  <si>
    <t>INC7</t>
  </si>
  <si>
    <t>JNI0</t>
  </si>
  <si>
    <t>JNI1</t>
  </si>
  <si>
    <t>JNI2</t>
  </si>
  <si>
    <t>JNI3</t>
  </si>
  <si>
    <t>JNI4</t>
  </si>
  <si>
    <t>JNI5</t>
  </si>
  <si>
    <t>JNI6</t>
  </si>
  <si>
    <t>JNI7</t>
  </si>
  <si>
    <t>JNI0I</t>
  </si>
  <si>
    <t>JNI1I</t>
  </si>
  <si>
    <t>JNI2I</t>
  </si>
  <si>
    <t>JNI3I</t>
  </si>
  <si>
    <t>JNI4I</t>
  </si>
  <si>
    <t>JNI5I</t>
  </si>
  <si>
    <t>JNI6I</t>
  </si>
  <si>
    <t>JNI7I</t>
  </si>
  <si>
    <t>JNI0D</t>
  </si>
  <si>
    <t>JNI1D</t>
  </si>
  <si>
    <t>JNI2D</t>
  </si>
  <si>
    <t>JNI3D</t>
  </si>
  <si>
    <t>JNI4D</t>
  </si>
  <si>
    <t>JNI5D</t>
  </si>
  <si>
    <t>JNI6D</t>
  </si>
  <si>
    <t>JNI7D</t>
  </si>
  <si>
    <t>JNC0</t>
  </si>
  <si>
    <t>JNC1</t>
  </si>
  <si>
    <t>JNC2</t>
  </si>
  <si>
    <t>JNC3</t>
  </si>
  <si>
    <t>JNC4</t>
  </si>
  <si>
    <t>JNC5</t>
  </si>
  <si>
    <t>JNC6</t>
  </si>
  <si>
    <t>JNC7</t>
  </si>
  <si>
    <t>STI0</t>
  </si>
  <si>
    <t>STI1</t>
  </si>
  <si>
    <t>STI2</t>
  </si>
  <si>
    <t>STI3</t>
  </si>
  <si>
    <t>STI4</t>
  </si>
  <si>
    <t>STI5</t>
  </si>
  <si>
    <t>STI6</t>
  </si>
  <si>
    <t>STI7</t>
  </si>
  <si>
    <t>STI8</t>
  </si>
  <si>
    <t>STBAR</t>
  </si>
  <si>
    <t>STISP</t>
  </si>
  <si>
    <t>LDI0</t>
  </si>
  <si>
    <t>LDI1</t>
  </si>
  <si>
    <t>LDI2</t>
  </si>
  <si>
    <t>LDI3</t>
  </si>
  <si>
    <t>LDI4</t>
  </si>
  <si>
    <t>LDI5</t>
  </si>
  <si>
    <t>LDI6</t>
  </si>
  <si>
    <t>LDI7</t>
  </si>
  <si>
    <t>OPCODE</t>
    <phoneticPr fontId="0" type="noConversion"/>
  </si>
  <si>
    <t>OP_CTRL</t>
    <phoneticPr fontId="0" type="noConversion"/>
  </si>
  <si>
    <t>OPERAND</t>
    <phoneticPr fontId="0" type="noConversion"/>
  </si>
  <si>
    <t>FLASH CMD</t>
    <phoneticPr fontId="0" type="noConversion"/>
  </si>
  <si>
    <t>reserved</t>
    <phoneticPr fontId="0" type="noConversion"/>
  </si>
  <si>
    <t>XMAX</t>
  </si>
  <si>
    <t>YMAX</t>
  </si>
  <si>
    <t>ZMAX</t>
  </si>
  <si>
    <t>LMAX</t>
  </si>
  <si>
    <t>HMAX</t>
  </si>
  <si>
    <t>XH</t>
  </si>
  <si>
    <t>XT</t>
  </si>
  <si>
    <t>YH</t>
  </si>
  <si>
    <t>YT</t>
  </si>
  <si>
    <t>ZH</t>
  </si>
  <si>
    <t>D1A</t>
  </si>
  <si>
    <t>D1B</t>
  </si>
  <si>
    <t>D1C</t>
  </si>
  <si>
    <t>D1D</t>
  </si>
  <si>
    <t>D1E</t>
  </si>
  <si>
    <t>D1F</t>
  </si>
  <si>
    <t>D1H</t>
  </si>
  <si>
    <t>D2A</t>
  </si>
  <si>
    <t>D2B</t>
  </si>
  <si>
    <t>D2C</t>
  </si>
  <si>
    <t>D2D</t>
  </si>
  <si>
    <t>D3B</t>
  </si>
  <si>
    <t>D4B</t>
  </si>
  <si>
    <t>TP2</t>
  </si>
  <si>
    <t>TPH1A</t>
  </si>
  <si>
    <t>TPH1B</t>
  </si>
  <si>
    <t>TPH1C</t>
  </si>
  <si>
    <t>TPH1D</t>
  </si>
  <si>
    <t>TPH2A</t>
  </si>
  <si>
    <t>TPH2B</t>
  </si>
  <si>
    <t>TPH2C</t>
  </si>
  <si>
    <t>TPH2D</t>
  </si>
  <si>
    <t>D5</t>
  </si>
  <si>
    <t>D6</t>
  </si>
  <si>
    <t>XOS</t>
  </si>
  <si>
    <t>YOS</t>
  </si>
  <si>
    <t>DCMR</t>
  </si>
  <si>
    <t>DCMR2</t>
  </si>
  <si>
    <t>XB</t>
    <phoneticPr fontId="0" type="noConversion"/>
  </si>
  <si>
    <t>/XB</t>
    <phoneticPr fontId="0" type="noConversion"/>
  </si>
  <si>
    <t>XB+1</t>
    <phoneticPr fontId="0" type="noConversion"/>
  </si>
  <si>
    <t>XB-1</t>
    <phoneticPr fontId="0" type="noConversion"/>
  </si>
  <si>
    <t>XB*2</t>
    <phoneticPr fontId="0" type="noConversion"/>
  </si>
  <si>
    <t>XB/2</t>
    <phoneticPr fontId="0" type="noConversion"/>
  </si>
  <si>
    <t>XMAX</t>
    <phoneticPr fontId="0" type="noConversion"/>
  </si>
  <si>
    <t>Ximm</t>
    <phoneticPr fontId="0" type="noConversion"/>
  </si>
  <si>
    <t>A</t>
    <phoneticPr fontId="0" type="noConversion"/>
  </si>
  <si>
    <t>/A</t>
    <phoneticPr fontId="0" type="noConversion"/>
  </si>
  <si>
    <t>A+1</t>
    <phoneticPr fontId="0" type="noConversion"/>
  </si>
  <si>
    <t>A-1</t>
    <phoneticPr fontId="0" type="noConversion"/>
  </si>
  <si>
    <t>A*2</t>
    <phoneticPr fontId="0" type="noConversion"/>
  </si>
  <si>
    <t>A/2</t>
    <phoneticPr fontId="0" type="noConversion"/>
  </si>
  <si>
    <t>B</t>
    <phoneticPr fontId="0" type="noConversion"/>
  </si>
  <si>
    <t>A+B</t>
    <phoneticPr fontId="0" type="noConversion"/>
  </si>
  <si>
    <t>A-B</t>
    <phoneticPr fontId="0" type="noConversion"/>
  </si>
  <si>
    <t>A&amp;B</t>
    <phoneticPr fontId="0" type="noConversion"/>
  </si>
  <si>
    <t>A|B</t>
    <phoneticPr fontId="0" type="noConversion"/>
  </si>
  <si>
    <t>A^B</t>
    <phoneticPr fontId="0" type="noConversion"/>
  </si>
  <si>
    <t>A+Ximm</t>
    <phoneticPr fontId="0" type="noConversion"/>
  </si>
  <si>
    <t>XB_ALU</t>
  </si>
  <si>
    <t>Xn</t>
  </si>
  <si>
    <t>Xn_SEL</t>
  </si>
  <si>
    <t>D3</t>
  </si>
  <si>
    <t>D4</t>
  </si>
  <si>
    <t>XC</t>
  </si>
  <si>
    <t>XS</t>
  </si>
  <si>
    <t>XK</t>
  </si>
  <si>
    <t>XA</t>
  </si>
  <si>
    <t>XD</t>
  </si>
  <si>
    <t>XE</t>
  </si>
  <si>
    <t>XF</t>
  </si>
  <si>
    <t>YB</t>
  </si>
  <si>
    <t>YB_ALU</t>
  </si>
  <si>
    <t>/YB</t>
  </si>
  <si>
    <t>YB+1</t>
  </si>
  <si>
    <t>YB-1</t>
  </si>
  <si>
    <t>YB*2</t>
  </si>
  <si>
    <t>YB/2</t>
  </si>
  <si>
    <t>Yn</t>
  </si>
  <si>
    <t>B</t>
  </si>
  <si>
    <t>YC</t>
  </si>
  <si>
    <t>YS</t>
  </si>
  <si>
    <t xml:space="preserve">YK </t>
  </si>
  <si>
    <t xml:space="preserve">YA </t>
  </si>
  <si>
    <t xml:space="preserve">YD </t>
  </si>
  <si>
    <t xml:space="preserve">YE </t>
  </si>
  <si>
    <t xml:space="preserve">YF </t>
  </si>
  <si>
    <t>Yn_SEL</t>
  </si>
  <si>
    <t>Yimm</t>
  </si>
  <si>
    <t>Z</t>
  </si>
  <si>
    <t>/Z</t>
  </si>
  <si>
    <t>Z+1</t>
  </si>
  <si>
    <t>Z-1</t>
  </si>
  <si>
    <t>Z*2</t>
  </si>
  <si>
    <t>Z/2</t>
  </si>
  <si>
    <t>Zimm</t>
  </si>
  <si>
    <t>X</t>
  </si>
  <si>
    <t xml:space="preserve">Y </t>
  </si>
  <si>
    <t>A</t>
    <phoneticPr fontId="4" type="noConversion"/>
  </si>
  <si>
    <t>A</t>
  </si>
  <si>
    <t>D7</t>
  </si>
  <si>
    <t>TP1</t>
  </si>
  <si>
    <t>A_SEL</t>
  </si>
  <si>
    <t>TP_ALU</t>
  </si>
  <si>
    <t>TP1+A</t>
  </si>
  <si>
    <t>TP1-A</t>
  </si>
  <si>
    <t>TP1&amp;A</t>
  </si>
  <si>
    <t>TP1|A</t>
  </si>
  <si>
    <t>TP1*2</t>
  </si>
  <si>
    <t>TP1/2</t>
  </si>
  <si>
    <t>D8</t>
  </si>
  <si>
    <t>TP2_ALU</t>
  </si>
  <si>
    <t>TP2+A</t>
  </si>
  <si>
    <t>TP2-A</t>
  </si>
  <si>
    <t>TP2&amp;A</t>
  </si>
  <si>
    <t>TP2*2</t>
  </si>
  <si>
    <t>TP2|A</t>
  </si>
  <si>
    <t>/D1</t>
  </si>
  <si>
    <t>/D2</t>
  </si>
  <si>
    <t>/X</t>
  </si>
  <si>
    <t>/Y</t>
  </si>
  <si>
    <t>CMD</t>
    <phoneticPr fontId="4" type="noConversion"/>
  </si>
  <si>
    <t>CMD0</t>
    <phoneticPr fontId="4" type="noConversion"/>
  </si>
  <si>
    <t>CMD1</t>
    <phoneticPr fontId="4" type="noConversion"/>
  </si>
  <si>
    <t>CMD2</t>
    <phoneticPr fontId="4" type="noConversion"/>
  </si>
  <si>
    <t>C0</t>
    <phoneticPr fontId="4" type="noConversion"/>
  </si>
  <si>
    <t>C16</t>
    <phoneticPr fontId="4" type="noConversion"/>
  </si>
  <si>
    <t>C32</t>
    <phoneticPr fontId="4" type="noConversion"/>
  </si>
  <si>
    <t>C1</t>
  </si>
  <si>
    <t>C17</t>
  </si>
  <si>
    <t>C33</t>
  </si>
  <si>
    <t>C2</t>
  </si>
  <si>
    <t>C18</t>
  </si>
  <si>
    <t>C34</t>
  </si>
  <si>
    <t>C3</t>
  </si>
  <si>
    <t>C19</t>
  </si>
  <si>
    <t>C35</t>
  </si>
  <si>
    <t>C4</t>
  </si>
  <si>
    <t>C20</t>
  </si>
  <si>
    <t>C36</t>
  </si>
  <si>
    <t>C5</t>
  </si>
  <si>
    <t>C21</t>
  </si>
  <si>
    <t>C37</t>
  </si>
  <si>
    <t>C6</t>
  </si>
  <si>
    <t>C22</t>
  </si>
  <si>
    <t>C38</t>
  </si>
  <si>
    <t>C7</t>
  </si>
  <si>
    <t>C23</t>
  </si>
  <si>
    <t>C39</t>
  </si>
  <si>
    <t>C8</t>
  </si>
  <si>
    <t>C24</t>
  </si>
  <si>
    <t>C9</t>
  </si>
  <si>
    <t>C25</t>
  </si>
  <si>
    <t>C10</t>
  </si>
  <si>
    <t>C26</t>
  </si>
  <si>
    <t>C11</t>
  </si>
  <si>
    <t>C27</t>
  </si>
  <si>
    <t>C12</t>
  </si>
  <si>
    <t>C28</t>
  </si>
  <si>
    <t>C13</t>
  </si>
  <si>
    <t>C29</t>
  </si>
  <si>
    <t>C14</t>
  </si>
  <si>
    <t>C30</t>
  </si>
  <si>
    <t>C15</t>
  </si>
  <si>
    <t>C31</t>
  </si>
  <si>
    <t>FP</t>
    <phoneticPr fontId="4" type="noConversion"/>
  </si>
  <si>
    <t>NONE</t>
    <phoneticPr fontId="4" type="noConversion"/>
  </si>
  <si>
    <t>FP0</t>
    <phoneticPr fontId="4" type="noConversion"/>
  </si>
  <si>
    <t>FP1</t>
    <phoneticPr fontId="4" type="noConversion"/>
  </si>
  <si>
    <t>FP2</t>
    <phoneticPr fontId="4" type="noConversion"/>
  </si>
  <si>
    <t>FP3</t>
    <phoneticPr fontId="4" type="noConversion"/>
  </si>
  <si>
    <t>FP4</t>
    <phoneticPr fontId="4" type="noConversion"/>
  </si>
  <si>
    <t>FP5</t>
    <phoneticPr fontId="4" type="noConversion"/>
  </si>
  <si>
    <t>CTRL</t>
    <phoneticPr fontId="4" type="noConversion"/>
  </si>
  <si>
    <t>ASCROFF</t>
    <phoneticPr fontId="4" type="noConversion"/>
  </si>
  <si>
    <t>DSCROFF</t>
    <phoneticPr fontId="4" type="noConversion"/>
  </si>
  <si>
    <t>CYP</t>
    <phoneticPr fontId="4" type="noConversion"/>
  </si>
  <si>
    <t>TS</t>
    <phoneticPr fontId="4" type="noConversion"/>
  </si>
  <si>
    <t>CYP0</t>
    <phoneticPr fontId="4" type="noConversion"/>
  </si>
  <si>
    <t>TS0</t>
    <phoneticPr fontId="4" type="noConversion"/>
  </si>
  <si>
    <t>CYP1</t>
    <phoneticPr fontId="4" type="noConversion"/>
  </si>
  <si>
    <t>TS1</t>
    <phoneticPr fontId="4" type="noConversion"/>
  </si>
  <si>
    <t>CYP2</t>
  </si>
  <si>
    <t>TS2</t>
  </si>
  <si>
    <t>CYP3</t>
  </si>
  <si>
    <t>TS3</t>
  </si>
  <si>
    <t>CYP4</t>
  </si>
  <si>
    <t>TS4</t>
  </si>
  <si>
    <t>CYP5</t>
  </si>
  <si>
    <t>TS5</t>
  </si>
  <si>
    <t>CYP6</t>
  </si>
  <si>
    <t>TS6</t>
  </si>
  <si>
    <t>CYP7</t>
  </si>
  <si>
    <t>TS7</t>
  </si>
  <si>
    <t>CYP8</t>
  </si>
  <si>
    <t>TS8</t>
  </si>
  <si>
    <t>CYP9</t>
  </si>
  <si>
    <t>TS9</t>
  </si>
  <si>
    <t>CYP10</t>
  </si>
  <si>
    <t>TS10</t>
  </si>
  <si>
    <t>CYP11</t>
  </si>
  <si>
    <t>TS11</t>
  </si>
  <si>
    <t>CYP12</t>
  </si>
  <si>
    <t>TS12</t>
  </si>
  <si>
    <t>CYP13</t>
  </si>
  <si>
    <t>TS13</t>
  </si>
  <si>
    <t>CYP14</t>
  </si>
  <si>
    <t>TS14</t>
  </si>
  <si>
    <t>CYP15</t>
  </si>
  <si>
    <t>TS15</t>
  </si>
  <si>
    <t>ADDRESS</t>
    <phoneticPr fontId="4" type="noConversion"/>
  </si>
  <si>
    <t>DATA</t>
    <phoneticPr fontId="4" type="noConversion"/>
  </si>
  <si>
    <t>NAME</t>
    <phoneticPr fontId="4" type="noConversion"/>
  </si>
  <si>
    <t>[23:20]</t>
    <phoneticPr fontId="4" type="noConversion"/>
  </si>
  <si>
    <t>[19:18]</t>
    <phoneticPr fontId="4" type="noConversion"/>
  </si>
  <si>
    <t>[17:0]</t>
    <phoneticPr fontId="4" type="noConversion"/>
  </si>
  <si>
    <t>IDX2</t>
  </si>
  <si>
    <t>IDX3</t>
  </si>
  <si>
    <t>IDX4</t>
  </si>
  <si>
    <t>IDX5</t>
  </si>
  <si>
    <t>IDX6</t>
  </si>
  <si>
    <t>IDX7</t>
  </si>
  <si>
    <t>IDX8</t>
  </si>
  <si>
    <t>IDX9</t>
  </si>
  <si>
    <t>IDX10</t>
  </si>
  <si>
    <t>IDX11</t>
  </si>
  <si>
    <t>IDX12</t>
  </si>
  <si>
    <t>IDX13</t>
  </si>
  <si>
    <t>IDX14</t>
  </si>
  <si>
    <t>IDX15</t>
  </si>
  <si>
    <t>reserved</t>
    <phoneticPr fontId="4" type="noConversion"/>
  </si>
  <si>
    <t>SCAN</t>
    <phoneticPr fontId="4" type="noConversion"/>
  </si>
  <si>
    <t>X1</t>
    <phoneticPr fontId="4" type="noConversion"/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</si>
  <si>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</si>
  <si>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</si>
  <si>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</si>
  <si>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</si>
  <si>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</si>
  <si>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</si>
  <si>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</si>
  <si>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</si>
  <si>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</si>
  <si>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</si>
  <si>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</si>
  <si>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</si>
  <si>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</si>
  <si>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</si>
  <si>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</si>
  <si>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Y1</t>
    <phoneticPr fontId="4" type="noConversion"/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</si>
  <si>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</si>
  <si>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</si>
  <si>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</si>
  <si>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</si>
  <si>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</si>
  <si>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</si>
  <si>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</si>
  <si>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</si>
  <si>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</si>
  <si>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</si>
  <si>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</si>
  <si>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</si>
  <si>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</si>
  <si>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</si>
  <si>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</si>
  <si>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Z1</t>
    <phoneticPr fontId="4" type="noConversion"/>
  </si>
  <si>
    <t>Z2</t>
  </si>
  <si>
    <t>Z3</t>
  </si>
  <si>
    <t>Z4</t>
  </si>
  <si>
    <t>Z5</t>
  </si>
  <si>
    <t>Z6</t>
  </si>
  <si>
    <t>Z7</t>
  </si>
  <si>
    <t>8 BIT</t>
    <phoneticPr fontId="4" type="noConversion"/>
  </si>
  <si>
    <t>PAT0</t>
    <phoneticPr fontId="4" type="noConversion"/>
  </si>
  <si>
    <t>PAT1</t>
    <phoneticPr fontId="4" type="noConversion"/>
  </si>
  <si>
    <t>PAT2</t>
  </si>
  <si>
    <t>PAT3</t>
  </si>
  <si>
    <t>PAT2047</t>
  </si>
  <si>
    <t>IDX0</t>
  </si>
  <si>
    <t>IDX1</t>
  </si>
  <si>
    <t>OP_COMMAND</t>
  </si>
  <si>
    <t>I</t>
    <phoneticPr fontId="4" type="noConversion"/>
  </si>
  <si>
    <t>T0</t>
    <phoneticPr fontId="4" type="noConversion"/>
  </si>
  <si>
    <t>T1</t>
    <phoneticPr fontId="4" type="noConversion"/>
  </si>
  <si>
    <t>START BIT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</si>
  <si>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</si>
  <si>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</si>
  <si>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</si>
  <si>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</si>
  <si>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</si>
  <si>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</si>
  <si>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BIT SIZE</t>
  </si>
  <si>
    <t>R</t>
    <phoneticPr fontId="4" type="noConversion"/>
  </si>
  <si>
    <t>scan delay set</t>
    <phoneticPr fontId="4" type="noConversion"/>
  </si>
  <si>
    <t>scan_dly_set</t>
    <phoneticPr fontId="4" type="noConversion"/>
  </si>
  <si>
    <t>scan selection
0:scan0, 31:scan31</t>
    <phoneticPr fontId="4" type="noConversion"/>
  </si>
  <si>
    <t>scan_dly_sel</t>
    <phoneticPr fontId="4" type="noConversion"/>
  </si>
  <si>
    <t>scan delay value</t>
    <phoneticPr fontId="4" type="noConversion"/>
  </si>
  <si>
    <t>scan_dly_value</t>
    <phoneticPr fontId="4" type="noConversion"/>
  </si>
  <si>
    <t>scan[31]:[7:6]</t>
    <phoneticPr fontId="4" type="noConversion"/>
  </si>
  <si>
    <t>scan_clock_mux</t>
    <phoneticPr fontId="4" type="noConversion"/>
  </si>
  <si>
    <t>scan_reg</t>
    <phoneticPr fontId="4" type="noConversion"/>
  </si>
  <si>
    <t>npc_state_reg</t>
    <phoneticPr fontId="4" type="noConversion"/>
  </si>
  <si>
    <t>[0] npc_flag [4] pat_run :status</t>
    <phoneticPr fontId="4" type="noConversion"/>
  </si>
  <si>
    <t>pin_addr_in_data[23:16]</t>
    <phoneticPr fontId="4" type="noConversion"/>
  </si>
  <si>
    <t>pin_addr_in_data[15:8]</t>
    <phoneticPr fontId="4" type="noConversion"/>
  </si>
  <si>
    <t>pin_addr_in_data[7:0]</t>
    <phoneticPr fontId="4" type="noConversion"/>
  </si>
  <si>
    <t>2bit scan[0] :[1:0] scan[1]:[3:2]</t>
    <phoneticPr fontId="4" type="noConversion"/>
  </si>
  <si>
    <t xml:space="preserve">dut_block_fail_count[31:24]; </t>
    <phoneticPr fontId="4" type="noConversion"/>
  </si>
  <si>
    <t>clock delay set</t>
    <phoneticPr fontId="4" type="noConversion"/>
  </si>
  <si>
    <t>dly_set</t>
    <phoneticPr fontId="4" type="noConversion"/>
  </si>
  <si>
    <t xml:space="preserve">dut_block_fail_count[23:16]; </t>
    <phoneticPr fontId="4" type="noConversion"/>
  </si>
  <si>
    <t>clock selection
0:rate,1:srtb0,2:srtb1,3:srtb2,4:srtb3,5:IO,6:IO_AD,
7:DRE 8:AD,9:CK0----24:CK15,25:SC0-----28:SC3</t>
    <phoneticPr fontId="4" type="noConversion"/>
  </si>
  <si>
    <t>dly_sel</t>
    <phoneticPr fontId="4" type="noConversion"/>
  </si>
  <si>
    <t xml:space="preserve">dut_block_fail_count[15:8];  </t>
    <phoneticPr fontId="4" type="noConversion"/>
  </si>
  <si>
    <t>clock delay value</t>
    <phoneticPr fontId="4" type="noConversion"/>
  </si>
  <si>
    <t>dly_value</t>
    <phoneticPr fontId="4" type="noConversion"/>
  </si>
  <si>
    <t xml:space="preserve">dut_block_fail_count[7:0];   </t>
    <phoneticPr fontId="4" type="noConversion"/>
  </si>
  <si>
    <t>W</t>
    <phoneticPr fontId="4" type="noConversion"/>
  </si>
  <si>
    <t>pin_scan_in_data</t>
    <phoneticPr fontId="4" type="noConversion"/>
  </si>
  <si>
    <t>rb_in_data</t>
    <phoneticPr fontId="4" type="noConversion"/>
  </si>
  <si>
    <t>pin_clk_in_data[3:0]</t>
    <phoneticPr fontId="4" type="noConversion"/>
  </si>
  <si>
    <t>fail_cntl[15:8]</t>
    <phoneticPr fontId="4" type="noConversion"/>
  </si>
  <si>
    <t>fail_cntl[7:0]</t>
    <phoneticPr fontId="4" type="noConversion"/>
  </si>
  <si>
    <t>fail_cnth[15:8]</t>
    <phoneticPr fontId="4" type="noConversion"/>
  </si>
  <si>
    <t>fail_cnth[7:0]</t>
    <phoneticPr fontId="4" type="noConversion"/>
  </si>
  <si>
    <t>iomask[63   56]</t>
  </si>
  <si>
    <t>iomask[55   48]</t>
  </si>
  <si>
    <t>iomask[47   40]</t>
  </si>
  <si>
    <t>iomask[39   32]</t>
  </si>
  <si>
    <t>iomask[31   24]</t>
  </si>
  <si>
    <t>iomask[23   16]</t>
  </si>
  <si>
    <t>iomask[15   8 ]</t>
  </si>
  <si>
    <t>iomask[7    0 ]</t>
  </si>
  <si>
    <t>[15:8]</t>
    <phoneticPr fontId="4" type="noConversion"/>
  </si>
  <si>
    <t xml:space="preserve">fail_io_l[63:56];   </t>
    <phoneticPr fontId="4" type="noConversion"/>
  </si>
  <si>
    <t>[7:0]</t>
    <phoneticPr fontId="4" type="noConversion"/>
  </si>
  <si>
    <t>page count limit</t>
    <phoneticPr fontId="4" type="noConversion"/>
  </si>
  <si>
    <t xml:space="preserve">fail_io_l[55:48];   </t>
    <phoneticPr fontId="4" type="noConversion"/>
  </si>
  <si>
    <t xml:space="preserve">fail_io_l[47:40];   </t>
    <phoneticPr fontId="4" type="noConversion"/>
  </si>
  <si>
    <t>colum count limit</t>
    <phoneticPr fontId="4" type="noConversion"/>
  </si>
  <si>
    <t xml:space="preserve">fail_io_l[39:32];   </t>
    <phoneticPr fontId="4" type="noConversion"/>
  </si>
  <si>
    <t>[0]imprint_mode   [4] vm_mode</t>
    <phoneticPr fontId="4" type="noConversion"/>
  </si>
  <si>
    <t>imprint_mode, vm_mode</t>
    <phoneticPr fontId="4" type="noConversion"/>
  </si>
  <si>
    <t xml:space="preserve">fail_io_l[31:24];   </t>
    <phoneticPr fontId="4" type="noConversion"/>
  </si>
  <si>
    <t xml:space="preserve">[0] enb BM(sodimm) address Set, </t>
    <phoneticPr fontId="4" type="noConversion"/>
  </si>
  <si>
    <t>par addr_en</t>
    <phoneticPr fontId="4" type="noConversion"/>
  </si>
  <si>
    <t xml:space="preserve">fail_io_l[23:16];   </t>
    <phoneticPr fontId="4" type="noConversion"/>
  </si>
  <si>
    <t>BM(sodimm) address[31:24]</t>
    <phoneticPr fontId="4" type="noConversion"/>
  </si>
  <si>
    <t>psr adr[31  24]</t>
    <phoneticPr fontId="4" type="noConversion"/>
  </si>
  <si>
    <t xml:space="preserve">fail_io_l[15:8];    </t>
    <phoneticPr fontId="4" type="noConversion"/>
  </si>
  <si>
    <t>BM(sodimm) address[23:16]</t>
    <phoneticPr fontId="4" type="noConversion"/>
  </si>
  <si>
    <t>psr adr[23  16]</t>
    <phoneticPr fontId="4" type="noConversion"/>
  </si>
  <si>
    <t xml:space="preserve">fail_io_l[7:0];     </t>
    <phoneticPr fontId="4" type="noConversion"/>
  </si>
  <si>
    <t>BM(sodimm) address[15:8]</t>
    <phoneticPr fontId="4" type="noConversion"/>
  </si>
  <si>
    <t>psr adr[15  8]</t>
    <phoneticPr fontId="4" type="noConversion"/>
  </si>
  <si>
    <t>BM(sodimm) address[7:0]</t>
    <phoneticPr fontId="4" type="noConversion"/>
  </si>
  <si>
    <t>psr adr[7  0]</t>
    <phoneticPr fontId="4" type="noConversion"/>
  </si>
  <si>
    <t>[0] 1:reset 0 :set</t>
    <phoneticPr fontId="4" type="noConversion"/>
  </si>
  <si>
    <t>fail_io_init</t>
    <phoneticPr fontId="4" type="noConversion"/>
  </si>
  <si>
    <t>[0] 0: normal 1: stop</t>
    <phoneticPr fontId="4" type="noConversion"/>
  </si>
  <si>
    <t>fail_cnt_mode</t>
    <phoneticPr fontId="4" type="noConversion"/>
  </si>
  <si>
    <t>cpe_delay_value</t>
    <phoneticPr fontId="4" type="noConversion"/>
  </si>
  <si>
    <t>ta_vernier_delay</t>
    <phoneticPr fontId="4" type="noConversion"/>
  </si>
  <si>
    <t>strb1_cpe_ck_delay</t>
    <phoneticPr fontId="4" type="noConversion"/>
  </si>
  <si>
    <t>ta_ck_dly-strb1</t>
    <phoneticPr fontId="4" type="noConversion"/>
  </si>
  <si>
    <t>strb0_cpe_ck_delay</t>
    <phoneticPr fontId="4" type="noConversion"/>
  </si>
  <si>
    <t>ta_ck_dly-strb0</t>
    <phoneticPr fontId="4" type="noConversion"/>
  </si>
  <si>
    <t>[0] set_cpe_delay</t>
    <phoneticPr fontId="4" type="noConversion"/>
  </si>
  <si>
    <t>ta delay set</t>
    <phoneticPr fontId="4" type="noConversion"/>
  </si>
  <si>
    <t>[0]address [1]pds_address</t>
    <phoneticPr fontId="4" type="noConversion"/>
  </si>
  <si>
    <t>fail_mode4</t>
    <phoneticPr fontId="4" type="noConversion"/>
  </si>
  <si>
    <t>[0] psr data rd = 0(default)</t>
    <phoneticPr fontId="4" type="noConversion"/>
  </si>
  <si>
    <t>fail mode3</t>
    <phoneticPr fontId="4" type="noConversion"/>
  </si>
  <si>
    <t>[4] DDR write</t>
    <phoneticPr fontId="4" type="noConversion"/>
  </si>
  <si>
    <t>[0] fail count clear = set</t>
    <phoneticPr fontId="4" type="noConversion"/>
  </si>
  <si>
    <t>failcnt clear</t>
    <phoneticPr fontId="4" type="noConversion"/>
  </si>
  <si>
    <t>[0] pass/fail data apply iomask</t>
    <phoneticPr fontId="4" type="noConversion"/>
  </si>
  <si>
    <r>
      <t>[3:0]fmmode : [1:0] = 2'b00 strb_dq, 2'b01 fail_dq,</t>
    </r>
    <r>
      <rPr>
        <sz val="11"/>
        <color rgb="FFFF0000"/>
        <rFont val="맑은 고딕"/>
        <family val="3"/>
        <charset val="129"/>
        <scheme val="minor"/>
      </rPr>
      <t xml:space="preserve"> 2'b11:nand</t>
    </r>
    <r>
      <rPr>
        <sz val="11"/>
        <rFont val="맑은 고딕"/>
        <family val="3"/>
        <charset val="129"/>
        <scheme val="minor"/>
      </rPr>
      <t xml:space="preserve">
                     [2:3] = 2'b00 always  2'b01 fail, </t>
    </r>
    <r>
      <rPr>
        <sz val="11"/>
        <color rgb="FFFF0000"/>
        <rFont val="맑은 고딕"/>
        <family val="3"/>
        <charset val="129"/>
        <scheme val="minor"/>
      </rPr>
      <t>2'b11 nand</t>
    </r>
    <r>
      <rPr>
        <sz val="11"/>
        <rFont val="맑은 고딕"/>
        <family val="3"/>
        <charset val="129"/>
        <scheme val="minor"/>
      </rPr>
      <t xml:space="preserve">
[5:4]fmmode2 : fail data --&gt; sodimm0
 </t>
    </r>
  </si>
  <si>
    <t>fail mode</t>
    <phoneticPr fontId="4" type="noConversion"/>
  </si>
  <si>
    <t>[1] fm write enb apply Iomask</t>
    <phoneticPr fontId="4" type="noConversion"/>
  </si>
  <si>
    <t>[0] ack -&gt; notify pc (NO return zero)</t>
    <phoneticPr fontId="4" type="noConversion"/>
  </si>
  <si>
    <t>npc_ack</t>
    <phoneticPr fontId="4" type="noConversion"/>
  </si>
  <si>
    <t>Notify PC out</t>
    <phoneticPr fontId="4" type="noConversion"/>
  </si>
  <si>
    <t xml:space="preserve">fail_io_h[63:56];   </t>
    <phoneticPr fontId="4" type="noConversion"/>
  </si>
  <si>
    <t>rb_mask</t>
    <phoneticPr fontId="4" type="noConversion"/>
  </si>
  <si>
    <t xml:space="preserve">fail_io_h[55:48];   </t>
    <phoneticPr fontId="4" type="noConversion"/>
  </si>
  <si>
    <t xml:space="preserve">[0] 1 set </t>
    <phoneticPr fontId="4" type="noConversion"/>
  </si>
  <si>
    <t>scan_reg set</t>
    <phoneticPr fontId="4" type="noConversion"/>
  </si>
  <si>
    <t xml:space="preserve">fail_io_h[47:40];   </t>
  </si>
  <si>
    <t>scan_address</t>
    <phoneticPr fontId="4" type="noConversion"/>
  </si>
  <si>
    <t xml:space="preserve">fail_io_h[39:32];   </t>
  </si>
  <si>
    <t>[0] 1 reset 0 set</t>
    <phoneticPr fontId="4" type="noConversion"/>
  </si>
  <si>
    <t>dut_block_fail_count_init</t>
    <phoneticPr fontId="4" type="noConversion"/>
  </si>
  <si>
    <t xml:space="preserve">fail_io_h[31:24];   </t>
    <phoneticPr fontId="4" type="noConversion"/>
  </si>
  <si>
    <t>dut_block_fail_count_address</t>
    <phoneticPr fontId="4" type="noConversion"/>
  </si>
  <si>
    <t xml:space="preserve">fail_io_h[23:16];   </t>
    <phoneticPr fontId="4" type="noConversion"/>
  </si>
  <si>
    <t>[0]0=nand, 1=dram  [4] 1=20n_dram_mode</t>
    <phoneticPr fontId="4" type="noConversion"/>
  </si>
  <si>
    <t>device type</t>
    <phoneticPr fontId="4" type="noConversion"/>
  </si>
  <si>
    <t xml:space="preserve">fail_io_h[15:8];    </t>
  </si>
  <si>
    <t>[0]1=rb_on 0=rb_off</t>
    <phoneticPr fontId="4" type="noConversion"/>
  </si>
  <si>
    <t>rb_pin_en</t>
    <phoneticPr fontId="4" type="noConversion"/>
  </si>
  <si>
    <t xml:space="preserve">fail_io_h[7:0];     </t>
  </si>
  <si>
    <t>[0] use bs           [4] scramble address save</t>
    <phoneticPr fontId="4" type="noConversion"/>
  </si>
  <si>
    <t>scramble address save, use bs</t>
    <phoneticPr fontId="4" type="noConversion"/>
  </si>
  <si>
    <t>[0] data scramble [4] address scramble</t>
    <phoneticPr fontId="4" type="noConversion"/>
  </si>
  <si>
    <t>scramble enable</t>
    <phoneticPr fontId="4" type="noConversion"/>
  </si>
  <si>
    <t>alpg_version[31:24];</t>
  </si>
  <si>
    <t>APG CTRL</t>
    <phoneticPr fontId="4" type="noConversion"/>
  </si>
  <si>
    <t>alpg_version[23:16];</t>
  </si>
  <si>
    <t>[2:0] - 3bit</t>
    <phoneticPr fontId="4" type="noConversion"/>
  </si>
  <si>
    <t>pattern start address_high</t>
    <phoneticPr fontId="4" type="noConversion"/>
  </si>
  <si>
    <t>alpg_version[15: 8];</t>
  </si>
  <si>
    <t>[7:0] - 8bit</t>
    <phoneticPr fontId="4" type="noConversion"/>
  </si>
  <si>
    <t>pattern start address_low</t>
    <phoneticPr fontId="4" type="noConversion"/>
  </si>
  <si>
    <t>alpg_version[7 : 0];</t>
  </si>
  <si>
    <t>[8:0]</t>
    <phoneticPr fontId="4" type="noConversion"/>
  </si>
  <si>
    <t>[9]</t>
    <phoneticPr fontId="4" type="noConversion"/>
  </si>
  <si>
    <t>[19:10]</t>
    <phoneticPr fontId="4" type="noConversion"/>
  </si>
  <si>
    <t>SCAN31_L</t>
    <phoneticPr fontId="4" type="noConversion"/>
  </si>
  <si>
    <t>SCAN31</t>
  </si>
  <si>
    <t>SCAN31_H</t>
    <phoneticPr fontId="4" type="noConversion"/>
  </si>
  <si>
    <t>SCAN30_L</t>
    <phoneticPr fontId="4" type="noConversion"/>
  </si>
  <si>
    <t>SCAN30</t>
  </si>
  <si>
    <t>SCAN30_H</t>
    <phoneticPr fontId="4" type="noConversion"/>
  </si>
  <si>
    <t>SCAN29_L</t>
    <phoneticPr fontId="4" type="noConversion"/>
  </si>
  <si>
    <t>SCAN29</t>
  </si>
  <si>
    <t>SCAN29_H</t>
    <phoneticPr fontId="4" type="noConversion"/>
  </si>
  <si>
    <t>SCAN28_L</t>
    <phoneticPr fontId="4" type="noConversion"/>
  </si>
  <si>
    <t>SCAN28</t>
  </si>
  <si>
    <t>SCAN28_H</t>
    <phoneticPr fontId="4" type="noConversion"/>
  </si>
  <si>
    <t>SCAN27_L</t>
    <phoneticPr fontId="4" type="noConversion"/>
  </si>
  <si>
    <t>SCAN27</t>
  </si>
  <si>
    <t>SCAN27_H</t>
    <phoneticPr fontId="4" type="noConversion"/>
  </si>
  <si>
    <t>SCAN26_L</t>
    <phoneticPr fontId="4" type="noConversion"/>
  </si>
  <si>
    <t>SCAN26</t>
  </si>
  <si>
    <t>SCAN26_H</t>
    <phoneticPr fontId="4" type="noConversion"/>
  </si>
  <si>
    <t>SCAN25_L</t>
    <phoneticPr fontId="4" type="noConversion"/>
  </si>
  <si>
    <t>SCAN25</t>
  </si>
  <si>
    <t>SCAN25_H</t>
    <phoneticPr fontId="4" type="noConversion"/>
  </si>
  <si>
    <t>SCAN24_L</t>
    <phoneticPr fontId="4" type="noConversion"/>
  </si>
  <si>
    <t>SCAN24</t>
  </si>
  <si>
    <t>SCAN24_H</t>
    <phoneticPr fontId="4" type="noConversion"/>
  </si>
  <si>
    <t>SCAN23_L</t>
    <phoneticPr fontId="4" type="noConversion"/>
  </si>
  <si>
    <t>SCAN23</t>
  </si>
  <si>
    <t>SCAN23_H</t>
    <phoneticPr fontId="4" type="noConversion"/>
  </si>
  <si>
    <t>SCAN22_L</t>
    <phoneticPr fontId="4" type="noConversion"/>
  </si>
  <si>
    <t>SCAN22</t>
  </si>
  <si>
    <t>SCAN22_H</t>
    <phoneticPr fontId="4" type="noConversion"/>
  </si>
  <si>
    <t>SCAN21_L</t>
    <phoneticPr fontId="4" type="noConversion"/>
  </si>
  <si>
    <t>SCAN21</t>
  </si>
  <si>
    <t>SCAN21_H</t>
    <phoneticPr fontId="4" type="noConversion"/>
  </si>
  <si>
    <t>SCAN20_L</t>
    <phoneticPr fontId="4" type="noConversion"/>
  </si>
  <si>
    <t>SCAN20</t>
  </si>
  <si>
    <t>SCAN20_H</t>
    <phoneticPr fontId="4" type="noConversion"/>
  </si>
  <si>
    <t>SCAN19_L</t>
    <phoneticPr fontId="4" type="noConversion"/>
  </si>
  <si>
    <t>SCAN19</t>
  </si>
  <si>
    <t>SCAN19_H</t>
    <phoneticPr fontId="4" type="noConversion"/>
  </si>
  <si>
    <t>SCAN18_L</t>
    <phoneticPr fontId="4" type="noConversion"/>
  </si>
  <si>
    <t>SCAN18</t>
  </si>
  <si>
    <t>SCAN18_H</t>
    <phoneticPr fontId="4" type="noConversion"/>
  </si>
  <si>
    <t>SCAN17_L</t>
    <phoneticPr fontId="4" type="noConversion"/>
  </si>
  <si>
    <t>SCAN17</t>
  </si>
  <si>
    <t>SCAN17_H</t>
    <phoneticPr fontId="4" type="noConversion"/>
  </si>
  <si>
    <t>SCAN16_L</t>
    <phoneticPr fontId="4" type="noConversion"/>
  </si>
  <si>
    <t>SCAN16</t>
  </si>
  <si>
    <t>SCAN16_H</t>
    <phoneticPr fontId="4" type="noConversion"/>
  </si>
  <si>
    <t>SCAN15_L</t>
  </si>
  <si>
    <t>SCAN15</t>
  </si>
  <si>
    <t>SCAN15_H</t>
  </si>
  <si>
    <t>SCAN14_L</t>
  </si>
  <si>
    <t>SCAN14</t>
  </si>
  <si>
    <t>SCAN14_H</t>
  </si>
  <si>
    <t>SCAN13_L</t>
  </si>
  <si>
    <t>SCAN13</t>
  </si>
  <si>
    <t>SCAN13_H</t>
  </si>
  <si>
    <t>SCAN12_L</t>
  </si>
  <si>
    <t>SCAN12</t>
  </si>
  <si>
    <t>SCAN12_H</t>
  </si>
  <si>
    <t>SCAN11_L</t>
  </si>
  <si>
    <t>SCAN11</t>
  </si>
  <si>
    <t>SCAN11_H</t>
  </si>
  <si>
    <t>SCAN10_L</t>
  </si>
  <si>
    <t>SCAN10</t>
  </si>
  <si>
    <t>SCAN10_H</t>
  </si>
  <si>
    <t>SCAN9_L</t>
  </si>
  <si>
    <t>SCAN9</t>
  </si>
  <si>
    <t>SCAN9_H</t>
  </si>
  <si>
    <t>SCAN8_L</t>
  </si>
  <si>
    <t>SCAN8</t>
  </si>
  <si>
    <t>SCAN8_H</t>
  </si>
  <si>
    <t>SCAN7_L</t>
  </si>
  <si>
    <t>SCAN7</t>
  </si>
  <si>
    <t>SCAN7_H</t>
  </si>
  <si>
    <t>SCAN6_L</t>
  </si>
  <si>
    <t>SCAN6</t>
  </si>
  <si>
    <t>SCAN6_H</t>
  </si>
  <si>
    <t>SCAN5_L</t>
  </si>
  <si>
    <t>SCAN5</t>
  </si>
  <si>
    <t>SCAN5_H</t>
  </si>
  <si>
    <t>SCAN4_L</t>
  </si>
  <si>
    <t>SCAN4</t>
  </si>
  <si>
    <t>SCAN4_H</t>
  </si>
  <si>
    <t>SCAN3_L</t>
  </si>
  <si>
    <t>SCAN3</t>
  </si>
  <si>
    <t>SCAN3_H</t>
  </si>
  <si>
    <t>SCAN2_L</t>
  </si>
  <si>
    <t>SCAN2</t>
  </si>
  <si>
    <t>SCAN2_H</t>
  </si>
  <si>
    <t>SCAN1_L</t>
  </si>
  <si>
    <t>SCAN1</t>
  </si>
  <si>
    <t>SCAN1_H</t>
  </si>
  <si>
    <t>SCAN0_L</t>
  </si>
  <si>
    <t>SCAN0</t>
    <phoneticPr fontId="4" type="noConversion"/>
  </si>
  <si>
    <t>SCAN0_H</t>
  </si>
  <si>
    <t>IO15_L</t>
  </si>
  <si>
    <t>IO15</t>
  </si>
  <si>
    <t>IO15_H</t>
  </si>
  <si>
    <t>IO14_L</t>
  </si>
  <si>
    <t>IO14</t>
  </si>
  <si>
    <t>IO14_H</t>
  </si>
  <si>
    <t>IO13_L</t>
  </si>
  <si>
    <t>IO13</t>
  </si>
  <si>
    <t>IO13_H</t>
  </si>
  <si>
    <t>IO12_L</t>
  </si>
  <si>
    <t>IO12</t>
  </si>
  <si>
    <t>IO12_H</t>
  </si>
  <si>
    <t>IO11_L</t>
  </si>
  <si>
    <t>IO11</t>
  </si>
  <si>
    <t>IO11_H</t>
  </si>
  <si>
    <t>IO10_L</t>
  </si>
  <si>
    <t>IO10</t>
  </si>
  <si>
    <t>IO10_H</t>
  </si>
  <si>
    <t>IO9_L</t>
  </si>
  <si>
    <t>IO9</t>
  </si>
  <si>
    <t>IO9_H</t>
  </si>
  <si>
    <t>IO8_L</t>
  </si>
  <si>
    <t>IO8</t>
  </si>
  <si>
    <t>IO8_H</t>
  </si>
  <si>
    <t>IO7_L</t>
  </si>
  <si>
    <t>IO7</t>
  </si>
  <si>
    <t>IO7_H</t>
  </si>
  <si>
    <t>IO6_L</t>
  </si>
  <si>
    <t>IO6</t>
  </si>
  <si>
    <t>IO6_H</t>
  </si>
  <si>
    <t>IO5_L</t>
  </si>
  <si>
    <t>IO5</t>
  </si>
  <si>
    <t>IO5_H</t>
  </si>
  <si>
    <t>IO4_L</t>
  </si>
  <si>
    <t>IO4</t>
  </si>
  <si>
    <t>IO4_H</t>
  </si>
  <si>
    <t>IO3_L</t>
  </si>
  <si>
    <t>IO3</t>
  </si>
  <si>
    <t>IO3_H</t>
  </si>
  <si>
    <t>IO2_L</t>
  </si>
  <si>
    <t>IO2</t>
  </si>
  <si>
    <t>IO2_H</t>
  </si>
  <si>
    <t>IO1_L</t>
    <phoneticPr fontId="4" type="noConversion"/>
  </si>
  <si>
    <t>IO1</t>
  </si>
  <si>
    <t>IO1_H</t>
    <phoneticPr fontId="4" type="noConversion"/>
  </si>
  <si>
    <t>IO0_L</t>
    <phoneticPr fontId="4" type="noConversion"/>
  </si>
  <si>
    <t>IO0</t>
    <phoneticPr fontId="4" type="noConversion"/>
  </si>
  <si>
    <t>IO0_H</t>
    <phoneticPr fontId="4" type="noConversion"/>
  </si>
  <si>
    <t>Z1</t>
  </si>
  <si>
    <t>Z0</t>
    <phoneticPr fontId="4" type="noConversion"/>
  </si>
  <si>
    <t>Y23</t>
  </si>
  <si>
    <t>Y22</t>
  </si>
  <si>
    <t>Y21</t>
  </si>
  <si>
    <t>Y20</t>
  </si>
  <si>
    <t>C16</t>
  </si>
  <si>
    <t>Y19</t>
  </si>
  <si>
    <t>CK_L7</t>
  </si>
  <si>
    <t>Y18</t>
  </si>
  <si>
    <t>CK7</t>
  </si>
  <si>
    <t>CK_H7</t>
  </si>
  <si>
    <t>Y17</t>
  </si>
  <si>
    <t>CK_L6</t>
  </si>
  <si>
    <t>CK6</t>
  </si>
  <si>
    <t>CK_H6</t>
  </si>
  <si>
    <t>CK_L5</t>
  </si>
  <si>
    <t>CK5</t>
  </si>
  <si>
    <t>CK_H5</t>
  </si>
  <si>
    <t>CK_L4</t>
  </si>
  <si>
    <t>CK4</t>
  </si>
  <si>
    <t>CK_H4</t>
  </si>
  <si>
    <t>CK_L3</t>
  </si>
  <si>
    <t>CK3</t>
  </si>
  <si>
    <t>CK_H3</t>
  </si>
  <si>
    <t>CK_L2</t>
  </si>
  <si>
    <t>CK2</t>
  </si>
  <si>
    <t>CK_H2</t>
  </si>
  <si>
    <t>CK_L1</t>
  </si>
  <si>
    <t>CK1</t>
  </si>
  <si>
    <t>CK_H1</t>
  </si>
  <si>
    <t>CK_L0</t>
    <phoneticPr fontId="4" type="noConversion"/>
  </si>
  <si>
    <t>C1</t>
    <phoneticPr fontId="4" type="noConversion"/>
  </si>
  <si>
    <t>CK0</t>
    <phoneticPr fontId="4" type="noConversion"/>
  </si>
  <si>
    <t>CK_H0</t>
    <phoneticPr fontId="4" type="noConversion"/>
  </si>
  <si>
    <t>AD_L31</t>
    <phoneticPr fontId="4" type="noConversion"/>
  </si>
  <si>
    <t>Z15</t>
    <phoneticPr fontId="4" type="noConversion"/>
  </si>
  <si>
    <t>AD31</t>
  </si>
  <si>
    <t>AD_H31</t>
    <phoneticPr fontId="4" type="noConversion"/>
  </si>
  <si>
    <t>Z7</t>
    <phoneticPr fontId="4" type="noConversion"/>
  </si>
  <si>
    <t>Y1</t>
  </si>
  <si>
    <t>AD_L30</t>
    <phoneticPr fontId="4" type="noConversion"/>
  </si>
  <si>
    <t>Z14</t>
    <phoneticPr fontId="4" type="noConversion"/>
  </si>
  <si>
    <t>Y0</t>
    <phoneticPr fontId="4" type="noConversion"/>
  </si>
  <si>
    <t>AD30</t>
  </si>
  <si>
    <t>AD_H30</t>
    <phoneticPr fontId="4" type="noConversion"/>
  </si>
  <si>
    <t>Z5</t>
    <phoneticPr fontId="4" type="noConversion"/>
  </si>
  <si>
    <t>X23</t>
  </si>
  <si>
    <t>AD_L29</t>
    <phoneticPr fontId="4" type="noConversion"/>
  </si>
  <si>
    <t>Z13</t>
    <phoneticPr fontId="4" type="noConversion"/>
  </si>
  <si>
    <t>X22</t>
  </si>
  <si>
    <t>AD29</t>
  </si>
  <si>
    <t>AD_H29</t>
    <phoneticPr fontId="4" type="noConversion"/>
  </si>
  <si>
    <t>X21</t>
  </si>
  <si>
    <t>AD_L28</t>
    <phoneticPr fontId="4" type="noConversion"/>
  </si>
  <si>
    <t>Z12</t>
    <phoneticPr fontId="4" type="noConversion"/>
  </si>
  <si>
    <t>X20</t>
  </si>
  <si>
    <t>AD28</t>
  </si>
  <si>
    <t>AD_H28</t>
    <phoneticPr fontId="4" type="noConversion"/>
  </si>
  <si>
    <t>Z4</t>
    <phoneticPr fontId="4" type="noConversion"/>
  </si>
  <si>
    <t>X19</t>
  </si>
  <si>
    <t>AD_L27</t>
    <phoneticPr fontId="4" type="noConversion"/>
  </si>
  <si>
    <t>Z11</t>
    <phoneticPr fontId="4" type="noConversion"/>
  </si>
  <si>
    <t>X18</t>
  </si>
  <si>
    <t>AD27</t>
  </si>
  <si>
    <t>AD_H27</t>
    <phoneticPr fontId="4" type="noConversion"/>
  </si>
  <si>
    <t>Z3</t>
    <phoneticPr fontId="4" type="noConversion"/>
  </si>
  <si>
    <t>X17</t>
  </si>
  <si>
    <t>AD_L26</t>
    <phoneticPr fontId="4" type="noConversion"/>
  </si>
  <si>
    <t>Z10</t>
    <phoneticPr fontId="4" type="noConversion"/>
  </si>
  <si>
    <t>AD26</t>
  </si>
  <si>
    <t>AD_H26</t>
    <phoneticPr fontId="4" type="noConversion"/>
  </si>
  <si>
    <t>Z2</t>
    <phoneticPr fontId="4" type="noConversion"/>
  </si>
  <si>
    <t>AD_L25</t>
    <phoneticPr fontId="4" type="noConversion"/>
  </si>
  <si>
    <t>Z9</t>
    <phoneticPr fontId="4" type="noConversion"/>
  </si>
  <si>
    <t>AD25</t>
  </si>
  <si>
    <t>AD_H25</t>
    <phoneticPr fontId="4" type="noConversion"/>
  </si>
  <si>
    <t>AD_L24</t>
    <phoneticPr fontId="4" type="noConversion"/>
  </si>
  <si>
    <t>Z8</t>
    <phoneticPr fontId="4" type="noConversion"/>
  </si>
  <si>
    <t>AD24</t>
  </si>
  <si>
    <t>AD_H24</t>
    <phoneticPr fontId="4" type="noConversion"/>
  </si>
  <si>
    <t>AD_L23</t>
  </si>
  <si>
    <t>dq7</t>
  </si>
  <si>
    <t>AD23</t>
  </si>
  <si>
    <t>AD_H23</t>
  </si>
  <si>
    <t>dq6</t>
  </si>
  <si>
    <t>AD_L22</t>
  </si>
  <si>
    <t>dq5</t>
  </si>
  <si>
    <t>AD22</t>
  </si>
  <si>
    <t>AD_H22</t>
  </si>
  <si>
    <t>dq4</t>
  </si>
  <si>
    <t>AD_L21</t>
  </si>
  <si>
    <t>dq3</t>
  </si>
  <si>
    <t>AD21</t>
  </si>
  <si>
    <t>AD_H21</t>
  </si>
  <si>
    <t>dq2</t>
  </si>
  <si>
    <t>AD_L20</t>
  </si>
  <si>
    <t>dq1</t>
  </si>
  <si>
    <t>AD20</t>
  </si>
  <si>
    <t>AD_H20</t>
  </si>
  <si>
    <t>dq0</t>
    <phoneticPr fontId="4" type="noConversion"/>
  </si>
  <si>
    <t>AD_L19</t>
  </si>
  <si>
    <t>cs8</t>
  </si>
  <si>
    <t>AD19</t>
  </si>
  <si>
    <t>AD_H19</t>
  </si>
  <si>
    <t>cs7</t>
  </si>
  <si>
    <t>X1</t>
  </si>
  <si>
    <t>AD_L18</t>
  </si>
  <si>
    <t>cs6</t>
  </si>
  <si>
    <t>X0</t>
    <phoneticPr fontId="4" type="noConversion"/>
  </si>
  <si>
    <t>AD18</t>
  </si>
  <si>
    <t>AD_H18</t>
  </si>
  <si>
    <t>cs5</t>
  </si>
  <si>
    <t>AD_L17</t>
  </si>
  <si>
    <t>cs4</t>
  </si>
  <si>
    <t>AD17</t>
  </si>
  <si>
    <t>AD_H17</t>
  </si>
  <si>
    <t>cs3</t>
  </si>
  <si>
    <t>AD_L16</t>
  </si>
  <si>
    <t>cs2</t>
  </si>
  <si>
    <t>AD16</t>
  </si>
  <si>
    <t>AD_H16</t>
  </si>
  <si>
    <t>cs1</t>
  </si>
  <si>
    <t>AD_L15</t>
  </si>
  <si>
    <t>cs0</t>
    <phoneticPr fontId="4" type="noConversion"/>
  </si>
  <si>
    <t>AD15</t>
  </si>
  <si>
    <t>AD_H15</t>
  </si>
  <si>
    <t>AD_L14</t>
  </si>
  <si>
    <t>AD14</t>
  </si>
  <si>
    <t>AD_H14</t>
  </si>
  <si>
    <t>bg1</t>
  </si>
  <si>
    <t>AD_L13</t>
  </si>
  <si>
    <t>bg0</t>
    <phoneticPr fontId="4" type="noConversion"/>
  </si>
  <si>
    <t>AD13</t>
  </si>
  <si>
    <t>AD_H13</t>
  </si>
  <si>
    <t>ba1</t>
  </si>
  <si>
    <t>AD_L12</t>
  </si>
  <si>
    <t>ba0</t>
    <phoneticPr fontId="4" type="noConversion"/>
  </si>
  <si>
    <t>AD12</t>
  </si>
  <si>
    <t>AD_H12</t>
  </si>
  <si>
    <t>adr13</t>
  </si>
  <si>
    <t>AD_L11</t>
  </si>
  <si>
    <t>adr12</t>
  </si>
  <si>
    <t>AD11</t>
  </si>
  <si>
    <t>AD_H11</t>
  </si>
  <si>
    <t>adr11</t>
  </si>
  <si>
    <t>AD_L10</t>
  </si>
  <si>
    <t>adr10</t>
  </si>
  <si>
    <t>AD10</t>
  </si>
  <si>
    <t>AD_H10</t>
  </si>
  <si>
    <t>adr9</t>
  </si>
  <si>
    <t>AD_L9</t>
  </si>
  <si>
    <t>adr8</t>
  </si>
  <si>
    <t>D15</t>
  </si>
  <si>
    <t>AD9</t>
  </si>
  <si>
    <t>AD_H9</t>
  </si>
  <si>
    <t>adr7</t>
  </si>
  <si>
    <t>D14</t>
  </si>
  <si>
    <t>AD_L8</t>
  </si>
  <si>
    <t>adr6</t>
  </si>
  <si>
    <t>D13</t>
  </si>
  <si>
    <t>AD8</t>
  </si>
  <si>
    <t>AD_H8</t>
  </si>
  <si>
    <t>adr5</t>
  </si>
  <si>
    <t>D12</t>
  </si>
  <si>
    <t>AD_L7</t>
  </si>
  <si>
    <t>adr4</t>
  </si>
  <si>
    <t>D11</t>
  </si>
  <si>
    <t>AD7</t>
  </si>
  <si>
    <t>AD_H7</t>
  </si>
  <si>
    <t>adr3</t>
  </si>
  <si>
    <t>D10</t>
  </si>
  <si>
    <t>AD_L6</t>
  </si>
  <si>
    <t>adr2</t>
  </si>
  <si>
    <t>D9</t>
  </si>
  <si>
    <t>AD6</t>
  </si>
  <si>
    <t>AD_H6</t>
  </si>
  <si>
    <t>adr1</t>
  </si>
  <si>
    <t>AD_L5</t>
  </si>
  <si>
    <t>adr0</t>
    <phoneticPr fontId="4" type="noConversion"/>
  </si>
  <si>
    <t>Scan Table 64bit</t>
    <phoneticPr fontId="4" type="noConversion"/>
  </si>
  <si>
    <t>AD5</t>
  </si>
  <si>
    <t>AD_H5</t>
  </si>
  <si>
    <t>act</t>
    <phoneticPr fontId="4" type="noConversion"/>
  </si>
  <si>
    <t>AD_L4</t>
  </si>
  <si>
    <t>we</t>
    <phoneticPr fontId="4" type="noConversion"/>
  </si>
  <si>
    <t>AD4</t>
  </si>
  <si>
    <t>AD_H4</t>
  </si>
  <si>
    <t>cas</t>
    <phoneticPr fontId="4" type="noConversion"/>
  </si>
  <si>
    <t>AD_L3</t>
  </si>
  <si>
    <t>ras</t>
    <phoneticPr fontId="4" type="noConversion"/>
  </si>
  <si>
    <t>Scan&amp;C</t>
    <phoneticPr fontId="4" type="noConversion"/>
  </si>
  <si>
    <t>AD3</t>
  </si>
  <si>
    <t>AD_H3</t>
  </si>
  <si>
    <t>reset</t>
    <phoneticPr fontId="4" type="noConversion"/>
  </si>
  <si>
    <t>M_EN</t>
    <phoneticPr fontId="4" type="noConversion"/>
  </si>
  <si>
    <t>D2</t>
  </si>
  <si>
    <t>AD_L2</t>
  </si>
  <si>
    <t>odt1</t>
  </si>
  <si>
    <t>RINV_EN</t>
    <phoneticPr fontId="4" type="noConversion"/>
  </si>
  <si>
    <t>D1</t>
  </si>
  <si>
    <t>AD2</t>
  </si>
  <si>
    <t>AD_H2</t>
  </si>
  <si>
    <t>odt0</t>
    <phoneticPr fontId="4" type="noConversion"/>
  </si>
  <si>
    <t>SCx</t>
    <phoneticPr fontId="4" type="noConversion"/>
  </si>
  <si>
    <t>D0</t>
    <phoneticPr fontId="4" type="noConversion"/>
  </si>
  <si>
    <t>ASCx</t>
    <phoneticPr fontId="4" type="noConversion"/>
  </si>
  <si>
    <t>AD_L1</t>
  </si>
  <si>
    <t>cke1</t>
  </si>
  <si>
    <t>L</t>
    <phoneticPr fontId="4" type="noConversion"/>
  </si>
  <si>
    <t>H</t>
    <phoneticPr fontId="4" type="noConversion"/>
  </si>
  <si>
    <t>VALUE</t>
    <phoneticPr fontId="4" type="noConversion"/>
  </si>
  <si>
    <t>AD1</t>
  </si>
  <si>
    <t>AD_H1</t>
  </si>
  <si>
    <t>cke0</t>
    <phoneticPr fontId="4" type="noConversion"/>
  </si>
  <si>
    <t>option</t>
    <phoneticPr fontId="4" type="noConversion"/>
  </si>
  <si>
    <t>SCAN_PDS</t>
    <phoneticPr fontId="4" type="noConversion"/>
  </si>
  <si>
    <t>IO PDS</t>
    <phoneticPr fontId="4" type="noConversion"/>
  </si>
  <si>
    <t>DR PDS</t>
    <phoneticPr fontId="4" type="noConversion"/>
  </si>
  <si>
    <t>AD_L0</t>
    <phoneticPr fontId="4" type="noConversion"/>
  </si>
  <si>
    <t>ckn</t>
    <phoneticPr fontId="4" type="noConversion"/>
  </si>
  <si>
    <t>AD0</t>
    <phoneticPr fontId="4" type="noConversion"/>
  </si>
  <si>
    <t>AD_H0</t>
    <phoneticPr fontId="4" type="noConversion"/>
  </si>
  <si>
    <t>ck</t>
    <phoneticPr fontId="4" type="noConversion"/>
  </si>
  <si>
    <t>[7:00]</t>
    <phoneticPr fontId="4" type="noConversion"/>
  </si>
  <si>
    <t>[19:16]</t>
    <phoneticPr fontId="4" type="noConversion"/>
  </si>
  <si>
    <t>INDEX</t>
    <phoneticPr fontId="4" type="noConversion"/>
  </si>
  <si>
    <t>DDR4</t>
    <phoneticPr fontId="4" type="noConversion"/>
  </si>
  <si>
    <t>PDS DATA</t>
    <phoneticPr fontId="4" type="noConversion"/>
  </si>
  <si>
    <t>DATA BIT</t>
    <phoneticPr fontId="4" type="noConversion"/>
  </si>
  <si>
    <t>SCAN PDS</t>
    <phoneticPr fontId="4" type="noConversion"/>
  </si>
  <si>
    <t>ADDR PDS</t>
    <phoneticPr fontId="4" type="noConversion"/>
  </si>
  <si>
    <t>SC31</t>
  </si>
  <si>
    <t>SC30</t>
  </si>
  <si>
    <t>SC29</t>
  </si>
  <si>
    <t>SC28</t>
  </si>
  <si>
    <t>SC27</t>
  </si>
  <si>
    <t>SC26</t>
  </si>
  <si>
    <t>SC25</t>
  </si>
  <si>
    <t>SC24</t>
  </si>
  <si>
    <t>SC23</t>
  </si>
  <si>
    <t>SC22</t>
  </si>
  <si>
    <t>SC21</t>
  </si>
  <si>
    <t>SC20</t>
  </si>
  <si>
    <t>SC19</t>
  </si>
  <si>
    <t>SC18</t>
  </si>
  <si>
    <t>SC17</t>
  </si>
  <si>
    <t>SC16</t>
  </si>
  <si>
    <t>SC15</t>
  </si>
  <si>
    <t>SC14</t>
  </si>
  <si>
    <t>SC13</t>
  </si>
  <si>
    <t>SC12</t>
  </si>
  <si>
    <t>SC11</t>
  </si>
  <si>
    <t>SC10</t>
  </si>
  <si>
    <t>SC9</t>
  </si>
  <si>
    <t>SC8</t>
  </si>
  <si>
    <t>SC7</t>
  </si>
  <si>
    <t>SC6</t>
  </si>
  <si>
    <t>SC5</t>
  </si>
  <si>
    <t>SC4</t>
  </si>
  <si>
    <t>SC3</t>
  </si>
  <si>
    <t>SC2</t>
  </si>
  <si>
    <t>SC1</t>
  </si>
  <si>
    <t>IO_DRE</t>
    <phoneticPr fontId="4" type="noConversion"/>
  </si>
  <si>
    <t>dq11</t>
  </si>
  <si>
    <t>dq10</t>
  </si>
  <si>
    <t>dq9</t>
  </si>
  <si>
    <t>dq8</t>
  </si>
  <si>
    <t xml:space="preserve">HIGH   </t>
  </si>
  <si>
    <t xml:space="preserve">LOW    </t>
  </si>
  <si>
    <t xml:space="preserve">  </t>
  </si>
  <si>
    <t xml:space="preserve">       </t>
  </si>
  <si>
    <t xml:space="preserve">DNRZ_N </t>
  </si>
  <si>
    <t xml:space="preserve">DNRZ   </t>
  </si>
  <si>
    <t xml:space="preserve">RZX_N  </t>
  </si>
  <si>
    <t xml:space="preserve">RZX    </t>
  </si>
  <si>
    <t xml:space="preserve">RZZ_N  </t>
  </si>
  <si>
    <t xml:space="preserve">RZZ    </t>
  </si>
  <si>
    <t xml:space="preserve">RZO_N  </t>
  </si>
  <si>
    <t xml:space="preserve">RZO    </t>
  </si>
  <si>
    <t>NRZBC_N</t>
  </si>
  <si>
    <t xml:space="preserve">NRZBC  </t>
  </si>
  <si>
    <t xml:space="preserve">NRZC_N </t>
  </si>
  <si>
    <t xml:space="preserve">NRZC   </t>
  </si>
  <si>
    <t xml:space="preserve">NRZB_N </t>
  </si>
  <si>
    <t xml:space="preserve">NRZB   </t>
    <phoneticPr fontId="4" type="noConversion"/>
  </si>
  <si>
    <t>FORMAT</t>
    <phoneticPr fontId="4" type="noConversion"/>
  </si>
  <si>
    <t>D1</t>
    <phoneticPr fontId="4" type="noConversion"/>
  </si>
  <si>
    <t>Y23</t>
    <phoneticPr fontId="4" type="noConversion"/>
  </si>
  <si>
    <t>2차연산</t>
  </si>
  <si>
    <t>O=A&amp;B&amp;C</t>
    <phoneticPr fontId="4" type="noConversion"/>
  </si>
  <si>
    <t>O=A|B&amp;C</t>
    <phoneticPr fontId="4" type="noConversion"/>
  </si>
  <si>
    <t>O=A^B&amp;C</t>
    <phoneticPr fontId="4" type="noConversion"/>
  </si>
  <si>
    <t>O=A&amp;B|C</t>
    <phoneticPr fontId="4" type="noConversion"/>
  </si>
  <si>
    <t>O=A|B|C</t>
    <phoneticPr fontId="4" type="noConversion"/>
  </si>
  <si>
    <t>O=A^B|C</t>
    <phoneticPr fontId="4" type="noConversion"/>
  </si>
  <si>
    <t>O=A&amp;B^C</t>
    <phoneticPr fontId="4" type="noConversion"/>
  </si>
  <si>
    <t>X23</t>
    <phoneticPr fontId="4" type="noConversion"/>
  </si>
  <si>
    <t>2차연산</t>
    <phoneticPr fontId="4" type="noConversion"/>
  </si>
  <si>
    <t>O=A|B^C</t>
    <phoneticPr fontId="4" type="noConversion"/>
  </si>
  <si>
    <t>O=A^B^C</t>
    <phoneticPr fontId="4" type="noConversion"/>
  </si>
  <si>
    <t>1차연산</t>
    <phoneticPr fontId="4" type="noConversion"/>
  </si>
  <si>
    <t>O=A&amp;B</t>
    <phoneticPr fontId="4" type="noConversion"/>
  </si>
  <si>
    <t>O=A|B</t>
    <phoneticPr fontId="4" type="noConversion"/>
  </si>
  <si>
    <t>O=A^B</t>
    <phoneticPr fontId="4" type="noConversion"/>
  </si>
  <si>
    <t>mux</t>
    <phoneticPr fontId="4" type="noConversion"/>
  </si>
  <si>
    <t>O=A</t>
    <phoneticPr fontId="4" type="noConversion"/>
  </si>
  <si>
    <t>Sel</t>
    <phoneticPr fontId="4" type="noConversion"/>
  </si>
  <si>
    <t>@</t>
    <phoneticPr fontId="4" type="noConversion"/>
  </si>
  <si>
    <t>C</t>
    <phoneticPr fontId="4" type="noConversion"/>
  </si>
  <si>
    <t>B</t>
    <phoneticPr fontId="4" type="noConversion"/>
  </si>
  <si>
    <t>INV</t>
    <phoneticPr fontId="4" type="noConversion"/>
  </si>
  <si>
    <t>BIT</t>
    <phoneticPr fontId="4" type="noConversion"/>
  </si>
  <si>
    <t>[3:0]</t>
    <phoneticPr fontId="4" type="noConversion"/>
  </si>
  <si>
    <t>[9:4]</t>
    <phoneticPr fontId="4" type="noConversion"/>
  </si>
  <si>
    <t>[13:10]</t>
    <phoneticPr fontId="4" type="noConversion"/>
  </si>
  <si>
    <t>[15:14]</t>
    <phoneticPr fontId="4" type="noConversion"/>
  </si>
  <si>
    <t>[5:0]</t>
    <phoneticPr fontId="4" type="noConversion"/>
  </si>
  <si>
    <t>[11:6]</t>
    <phoneticPr fontId="4" type="noConversion"/>
  </si>
  <si>
    <t>[17:12]</t>
    <phoneticPr fontId="4" type="noConversion"/>
  </si>
  <si>
    <t>scan_zero</t>
    <phoneticPr fontId="4" type="noConversion"/>
  </si>
  <si>
    <t>SCAN127</t>
    <phoneticPr fontId="4" type="noConversion"/>
  </si>
  <si>
    <t>3,2,1,0</t>
  </si>
  <si>
    <t>scan_all</t>
    <phoneticPr fontId="4" type="noConversion"/>
  </si>
  <si>
    <t>SCAN126</t>
    <phoneticPr fontId="4" type="noConversion"/>
  </si>
  <si>
    <t>SCAN125</t>
  </si>
  <si>
    <t>SCAN124</t>
  </si>
  <si>
    <t>SCAN123</t>
  </si>
  <si>
    <t>SCAN122</t>
  </si>
  <si>
    <t>SCAN121</t>
  </si>
  <si>
    <t>SCAN120</t>
  </si>
  <si>
    <t>SCAN119</t>
  </si>
  <si>
    <t>3,2,1,0</t>
    <phoneticPr fontId="4" type="noConversion"/>
  </si>
  <si>
    <t>SCAN118</t>
  </si>
  <si>
    <t>SCAN53</t>
  </si>
  <si>
    <t>SCAN52</t>
  </si>
  <si>
    <t>SCAN51</t>
  </si>
  <si>
    <t>SCAN50</t>
  </si>
  <si>
    <t>SCAN49</t>
  </si>
  <si>
    <t>SCAN48</t>
  </si>
  <si>
    <t>SCAN47</t>
  </si>
  <si>
    <t>SCAN46</t>
  </si>
  <si>
    <t>SCAN45</t>
  </si>
  <si>
    <t>SCAN44</t>
  </si>
  <si>
    <t>SCAN43</t>
  </si>
  <si>
    <t>SCAN42</t>
  </si>
  <si>
    <t>SCAN41</t>
  </si>
  <si>
    <t>SCAN40</t>
  </si>
  <si>
    <t>SCAN39</t>
  </si>
  <si>
    <t>SCAN38</t>
  </si>
  <si>
    <t>SCAN37</t>
  </si>
  <si>
    <t>SCAN36</t>
  </si>
  <si>
    <t>SCAN35</t>
  </si>
  <si>
    <t>SCAN34</t>
  </si>
  <si>
    <t>SCAN33</t>
  </si>
  <si>
    <t>SCAN32</t>
  </si>
  <si>
    <t>ASCAN</t>
    <phoneticPr fontId="4" type="noConversion"/>
  </si>
  <si>
    <t>32BIT</t>
    <phoneticPr fontId="4" type="noConversion"/>
  </si>
  <si>
    <t>[1:0]</t>
    <phoneticPr fontId="4" type="noConversion"/>
  </si>
  <si>
    <t>[8:2]</t>
    <phoneticPr fontId="4" type="noConversion"/>
  </si>
  <si>
    <t>[13:9]</t>
    <phoneticPr fontId="4" type="noConversion"/>
  </si>
  <si>
    <t>[19:14]</t>
    <phoneticPr fontId="4" type="noConversion"/>
  </si>
  <si>
    <t>[23:0]</t>
    <phoneticPr fontId="4" type="noConversion"/>
  </si>
  <si>
    <t>cs</t>
    <phoneticPr fontId="4" type="noConversion"/>
  </si>
  <si>
    <t>addr</t>
    <phoneticPr fontId="4" type="noConversion"/>
  </si>
  <si>
    <t>exp_dq_h</t>
    <phoneticPr fontId="4" type="noConversion"/>
  </si>
  <si>
    <t>z address</t>
    <phoneticPr fontId="4" type="noConversion"/>
  </si>
  <si>
    <t>dut block fail</t>
    <phoneticPr fontId="4" type="noConversion"/>
  </si>
  <si>
    <t>[4:0]</t>
    <phoneticPr fontId="4" type="noConversion"/>
  </si>
  <si>
    <t>[17:5]</t>
    <phoneticPr fontId="4" type="noConversion"/>
  </si>
  <si>
    <t>[19:17]</t>
    <phoneticPr fontId="4" type="noConversion"/>
  </si>
  <si>
    <t>fail_mode</t>
    <phoneticPr fontId="4" type="noConversion"/>
  </si>
  <si>
    <t>exp_dq_l</t>
    <phoneticPr fontId="4" type="noConversion"/>
  </si>
  <si>
    <t>fm_pfdq_l</t>
    <phoneticPr fontId="4" type="noConversion"/>
  </si>
  <si>
    <t>fm_pfdq_h</t>
  </si>
  <si>
    <t>fail memory L</t>
    <phoneticPr fontId="4" type="noConversion"/>
  </si>
  <si>
    <t>fail memory H</t>
    <phoneticPr fontId="4" type="noConversion"/>
  </si>
  <si>
    <t>8bit : zaddr0</t>
    <phoneticPr fontId="4" type="noConversion"/>
  </si>
  <si>
    <t>cdinfo_data</t>
    <phoneticPr fontId="4" type="noConversion"/>
  </si>
  <si>
    <t>16 bit : zaddr0, 1</t>
    <phoneticPr fontId="4" type="noConversion"/>
  </si>
  <si>
    <t>imprint_data</t>
    <phoneticPr fontId="4" type="noConversion"/>
  </si>
  <si>
    <t>address auto increament</t>
    <phoneticPr fontId="4" type="noConversion"/>
  </si>
  <si>
    <t>VMOUT</t>
    <phoneticPr fontId="4" type="noConversion"/>
  </si>
  <si>
    <t>vdata31</t>
  </si>
  <si>
    <t>vdata30</t>
  </si>
  <si>
    <t>vdata29</t>
  </si>
  <si>
    <t>vdata28</t>
  </si>
  <si>
    <t>vdata27</t>
  </si>
  <si>
    <t>vdata26</t>
  </si>
  <si>
    <t>vdata25</t>
  </si>
  <si>
    <t>vdata24</t>
  </si>
  <si>
    <t>vdata23</t>
  </si>
  <si>
    <t>vdata22</t>
  </si>
  <si>
    <t>vdata21</t>
  </si>
  <si>
    <t>vdata20</t>
  </si>
  <si>
    <t>vdata19</t>
  </si>
  <si>
    <t>vdata18</t>
  </si>
  <si>
    <t>vdata17</t>
  </si>
  <si>
    <t>vdata16</t>
  </si>
  <si>
    <t>vdata15</t>
  </si>
  <si>
    <t>vdata14</t>
  </si>
  <si>
    <t>vdata13</t>
  </si>
  <si>
    <t>vdata12</t>
  </si>
  <si>
    <t>vdata11</t>
  </si>
  <si>
    <t>vdata10</t>
  </si>
  <si>
    <t>vdata9</t>
  </si>
  <si>
    <t>vdata8</t>
  </si>
  <si>
    <t>vdata7</t>
  </si>
  <si>
    <t>vdata6</t>
  </si>
  <si>
    <t>vdata5</t>
  </si>
  <si>
    <t>vdata4</t>
  </si>
  <si>
    <t>vdata3</t>
  </si>
  <si>
    <t>vdata2</t>
  </si>
  <si>
    <t>vdata1</t>
  </si>
  <si>
    <t>Low data</t>
    <phoneticPr fontId="4" type="noConversion"/>
  </si>
  <si>
    <t>vdata0</t>
    <phoneticPr fontId="4" type="noConversion"/>
  </si>
  <si>
    <t>IO&lt;--VM_DATA</t>
    <phoneticPr fontId="4" type="noConversion"/>
  </si>
  <si>
    <t>high data</t>
    <phoneticPr fontId="4" type="noConversion"/>
  </si>
  <si>
    <t>16BIT</t>
    <phoneticPr fontId="4" type="noConversion"/>
  </si>
  <si>
    <t>[0]</t>
    <phoneticPr fontId="4" type="noConversion"/>
  </si>
  <si>
    <t>[16:1]</t>
    <phoneticPr fontId="4" type="noConversion"/>
  </si>
  <si>
    <t>-</t>
    <phoneticPr fontId="4" type="noConversion"/>
  </si>
  <si>
    <t>[23:16]</t>
    <phoneticPr fontId="4" type="noConversion"/>
  </si>
  <si>
    <t>EDGE42_1</t>
    <phoneticPr fontId="4" type="noConversion"/>
  </si>
  <si>
    <t>EDGE42_0</t>
    <phoneticPr fontId="4" type="noConversion"/>
  </si>
  <si>
    <t>EDGE41_1</t>
    <phoneticPr fontId="4" type="noConversion"/>
  </si>
  <si>
    <t>EDGE41_0</t>
    <phoneticPr fontId="4" type="noConversion"/>
  </si>
  <si>
    <t>EDGE2_1</t>
    <phoneticPr fontId="4" type="noConversion"/>
  </si>
  <si>
    <t>stb[1]</t>
    <phoneticPr fontId="4" type="noConversion"/>
  </si>
  <si>
    <t>EDGE2_0</t>
    <phoneticPr fontId="4" type="noConversion"/>
  </si>
  <si>
    <t>EDGE1_1</t>
  </si>
  <si>
    <t>stb[0]</t>
    <phoneticPr fontId="4" type="noConversion"/>
  </si>
  <si>
    <t>EDGE1_0</t>
    <phoneticPr fontId="4" type="noConversion"/>
  </si>
  <si>
    <t>rate</t>
    <phoneticPr fontId="4" type="noConversion"/>
  </si>
  <si>
    <t>name</t>
    <phoneticPr fontId="4" type="noConversion"/>
  </si>
  <si>
    <t>RATE1</t>
  </si>
  <si>
    <t>데이타 계산</t>
    <phoneticPr fontId="4" type="noConversion"/>
  </si>
  <si>
    <t>ns</t>
    <phoneticPr fontId="4" type="noConversion"/>
  </si>
  <si>
    <t>단위</t>
    <phoneticPr fontId="4" type="noConversion"/>
  </si>
  <si>
    <t>RATE0</t>
    <phoneticPr fontId="4" type="noConversion"/>
  </si>
  <si>
    <t>[15:10]</t>
    <phoneticPr fontId="4" type="noConversion"/>
  </si>
  <si>
    <t>NANE</t>
    <phoneticPr fontId="4" type="noConversion"/>
  </si>
  <si>
    <t>TS[5:0]</t>
    <phoneticPr fontId="4" type="noConversion"/>
  </si>
  <si>
    <t>Pin_idx</t>
    <phoneticPr fontId="4" type="noConversion"/>
  </si>
  <si>
    <t>region</t>
    <phoneticPr fontId="4" type="noConversion"/>
  </si>
  <si>
    <t>[15:0]</t>
  </si>
  <si>
    <t>NAME</t>
  </si>
  <si>
    <t>TG_REG</t>
  </si>
  <si>
    <t>SA</t>
  </si>
  <si>
    <t>SA&lt;0</t>
  </si>
  <si>
    <t>SA&lt;SA</t>
  </si>
  <si>
    <t>SA&lt;SB</t>
  </si>
  <si>
    <t>SA&lt;SA1A</t>
  </si>
  <si>
    <t>SB</t>
  </si>
  <si>
    <t>SB&lt;SB</t>
  </si>
  <si>
    <t>SB&lt;0</t>
  </si>
  <si>
    <t>SB&lt;SA</t>
  </si>
  <si>
    <t>SB&lt;S1A</t>
  </si>
  <si>
    <t>S&lt;SB</t>
  </si>
  <si>
    <t>S&lt;SA</t>
  </si>
  <si>
    <t>SCAN ADDRESS</t>
  </si>
  <si>
    <t>XB+A</t>
  </si>
  <si>
    <t>XB-A</t>
  </si>
  <si>
    <t>YB+A</t>
  </si>
  <si>
    <t>YB-A</t>
  </si>
  <si>
    <t>Z_ALU</t>
  </si>
  <si>
    <t>Z+A</t>
  </si>
  <si>
    <t>Z-A</t>
  </si>
  <si>
    <t>D3&lt;D3</t>
  </si>
  <si>
    <t>D3&lt;D3B</t>
  </si>
  <si>
    <t>D3&lt;0</t>
  </si>
  <si>
    <t>D3&lt;D3+1</t>
  </si>
  <si>
    <t>D3&lt;D3-1</t>
  </si>
  <si>
    <t>D3&lt;D3*2</t>
  </si>
  <si>
    <t>D3&lt;D3/2</t>
  </si>
  <si>
    <t>D3&lt;D3B/2</t>
  </si>
  <si>
    <t>D4&lt;D4</t>
  </si>
  <si>
    <t>D4&lt;D4B</t>
  </si>
  <si>
    <t>D4&lt;D4*2</t>
  </si>
  <si>
    <t>D4&lt;0</t>
  </si>
  <si>
    <t>D4&lt;D4+1</t>
  </si>
  <si>
    <t>D4&lt;D4-1</t>
  </si>
  <si>
    <t>D4&lt;D4/2</t>
  </si>
  <si>
    <t>D4&lt;D4B/2</t>
  </si>
  <si>
    <t>D7&lt;D7</t>
  </si>
  <si>
    <t>D7&lt;0</t>
  </si>
  <si>
    <t>D7&lt;A</t>
  </si>
  <si>
    <t>D7&lt;D7+1</t>
  </si>
  <si>
    <t>D7&lt;D7-1</t>
  </si>
  <si>
    <t>D7&lt;D7+A</t>
  </si>
  <si>
    <t>D7&lt;D7-A</t>
  </si>
  <si>
    <t>D7&lt;D7/2</t>
  </si>
  <si>
    <t>ALU</t>
  </si>
  <si>
    <t>D8&lt;D8</t>
  </si>
  <si>
    <t>D8&lt;0</t>
  </si>
  <si>
    <t>D8&lt;A</t>
  </si>
  <si>
    <t>D8&lt;D8+1</t>
  </si>
  <si>
    <t>D8&lt;D8-1</t>
  </si>
  <si>
    <t>D8&lt;D8+A</t>
  </si>
  <si>
    <t>D8&lt;D8-A</t>
  </si>
  <si>
    <t>D8&lt;D8/2</t>
  </si>
  <si>
    <t>Xn_ALU</t>
  </si>
  <si>
    <t>Yn_ALU</t>
  </si>
  <si>
    <t>Y</t>
  </si>
  <si>
    <t>S</t>
  </si>
  <si>
    <t>JNC8</t>
  </si>
  <si>
    <t>JNC9</t>
  </si>
  <si>
    <t>JNC10</t>
  </si>
  <si>
    <t>JNC11</t>
  </si>
  <si>
    <t>JNC12</t>
  </si>
  <si>
    <t>JNC13</t>
  </si>
  <si>
    <t>JNC14</t>
  </si>
  <si>
    <t>JNC15</t>
  </si>
  <si>
    <t>XB</t>
  </si>
  <si>
    <t>IMMX</t>
  </si>
  <si>
    <t>IMMY</t>
  </si>
  <si>
    <t>TP1imm</t>
  </si>
  <si>
    <t>TP2imm</t>
  </si>
  <si>
    <t>NAND</t>
    <phoneticPr fontId="4" type="noConversion"/>
  </si>
  <si>
    <t>CONTROL</t>
    <phoneticPr fontId="4" type="noConversion"/>
  </si>
  <si>
    <t>end_page</t>
    <phoneticPr fontId="4" type="noConversion"/>
  </si>
  <si>
    <t>end_block</t>
    <phoneticPr fontId="4" type="noConversion"/>
  </si>
  <si>
    <t>VM</t>
    <phoneticPr fontId="4" type="noConversion"/>
  </si>
  <si>
    <t>VMINC / INFOINC</t>
    <phoneticPr fontId="4" type="noConversion"/>
  </si>
  <si>
    <t>PWAIT</t>
    <phoneticPr fontId="4" type="noConversion"/>
  </si>
  <si>
    <t>REF MODE</t>
    <phoneticPr fontId="4" type="noConversion"/>
  </si>
  <si>
    <t>VMPA</t>
    <phoneticPr fontId="4" type="noConversion"/>
  </si>
  <si>
    <t>STATUS</t>
    <phoneticPr fontId="4" type="noConversion"/>
  </si>
  <si>
    <t>XMASK</t>
    <phoneticPr fontId="4" type="noConversion"/>
  </si>
  <si>
    <t>YMASK</t>
    <phoneticPr fontId="4" type="noConversion"/>
  </si>
  <si>
    <t>ZMASK</t>
    <phoneticPr fontId="4" type="noConversion"/>
  </si>
  <si>
    <t>CCD</t>
    <phoneticPr fontId="4" type="noConversion"/>
  </si>
  <si>
    <t>RCD</t>
    <phoneticPr fontId="4" type="noConversion"/>
  </si>
  <si>
    <t>DSD</t>
    <phoneticPr fontId="4" type="noConversion"/>
  </si>
  <si>
    <t>DCMRH</t>
    <phoneticPr fontId="4" type="noConversion"/>
  </si>
  <si>
    <t>DCMRL</t>
    <phoneticPr fontId="4" type="noConversion"/>
  </si>
  <si>
    <t>MODE</t>
    <phoneticPr fontId="4" type="noConversion"/>
  </si>
  <si>
    <t>BL</t>
    <phoneticPr fontId="4" type="noConversion"/>
  </si>
  <si>
    <t>BT</t>
    <phoneticPr fontId="4" type="noConversion"/>
  </si>
  <si>
    <t>WL</t>
    <phoneticPr fontId="4" type="noConversion"/>
  </si>
  <si>
    <t>RL</t>
    <phoneticPr fontId="4" type="noConversion"/>
  </si>
  <si>
    <t>XMIN</t>
    <phoneticPr fontId="4" type="noConversion"/>
  </si>
  <si>
    <t>YMIN</t>
    <phoneticPr fontId="4" type="noConversion"/>
  </si>
  <si>
    <t>ZMIN</t>
    <phoneticPr fontId="4" type="noConversion"/>
  </si>
  <si>
    <t>/D 명령시에 /DH될 16개의 개별 Pin 선택용 레지스터</t>
    <phoneticPr fontId="4" type="noConversion"/>
  </si>
  <si>
    <t>/D 명령시에 /DL될 16개의 개별 Pin 선택용 레지스터</t>
    <phoneticPr fontId="4" type="noConversion"/>
  </si>
  <si>
    <t>Yaddr burst generator length</t>
    <phoneticPr fontId="4" type="noConversion"/>
  </si>
  <si>
    <t>Yaddr burst generator type (0: interleave, 1:sequencial)</t>
    <phoneticPr fontId="4" type="noConversion"/>
  </si>
  <si>
    <t>Write Latency (Dre Delay)</t>
    <phoneticPr fontId="4" type="noConversion"/>
  </si>
  <si>
    <t>Read Latency (CPE Delay)</t>
    <phoneticPr fontId="4" type="noConversion"/>
  </si>
  <si>
    <t>JET Loop Count value</t>
    <phoneticPr fontId="4" type="noConversion"/>
  </si>
  <si>
    <t>ISP Address</t>
    <phoneticPr fontId="4" type="noConversion"/>
  </si>
  <si>
    <t>ISP용 Counter Value</t>
    <phoneticPr fontId="4" type="noConversion"/>
  </si>
  <si>
    <t>JNC[7:0]</t>
    <phoneticPr fontId="4" type="noConversion"/>
  </si>
  <si>
    <t>ISP Mode - set is ISP_R</t>
    <phoneticPr fontId="4" type="noConversion"/>
  </si>
  <si>
    <t>DBMAP</t>
  </si>
  <si>
    <t>JSR(CALL)</t>
  </si>
  <si>
    <t>JZD(JDF)</t>
  </si>
  <si>
    <t>JMP(JMP)</t>
  </si>
  <si>
    <t>OUT(NPC)</t>
  </si>
  <si>
    <t>FLGLI1(JRTN)</t>
  </si>
  <si>
    <t>JET(JTF)</t>
  </si>
  <si>
    <t>STPS(PEND)</t>
  </si>
  <si>
    <t>RTN(RETURN)</t>
  </si>
  <si>
    <t>RPT(REPEAT)</t>
  </si>
  <si>
    <t>REFSTART(T0)</t>
  </si>
  <si>
    <t>TMSTART(T1)</t>
  </si>
  <si>
    <t>TPH1</t>
  </si>
  <si>
    <t>TPH2</t>
  </si>
  <si>
    <t>Ximm</t>
  </si>
  <si>
    <t>REG_SET</t>
  </si>
  <si>
    <t>Simm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</si>
  <si>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</si>
  <si>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</si>
  <si>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</si>
  <si>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</si>
  <si>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</si>
  <si>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</si>
  <si>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</si>
  <si>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</si>
  <si>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</si>
  <si>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</si>
  <si>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</si>
  <si>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</si>
  <si>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</si>
  <si>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</si>
  <si>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</si>
  <si>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</si>
  <si>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SA&lt;Simm</t>
  </si>
  <si>
    <t>SB&lt;Simm</t>
  </si>
  <si>
    <t>SA&lt;SA+Simm</t>
  </si>
  <si>
    <t>SB&lt;SA+Simm</t>
  </si>
  <si>
    <t>SA&lt;SA-Simm</t>
  </si>
  <si>
    <t>SB&lt;SA-Simm</t>
  </si>
  <si>
    <t>SA&lt;SB+Simm</t>
  </si>
  <si>
    <t>SB&lt;SB+Simm</t>
  </si>
  <si>
    <t>REAL PIN</t>
  </si>
  <si>
    <t>Example</t>
  </si>
  <si>
    <t>TPH2&lt;TP2</t>
  </si>
  <si>
    <t>TPH1&lt;TP1</t>
  </si>
  <si>
    <t>SET GROUP</t>
  </si>
  <si>
    <t>XMASK</t>
  </si>
  <si>
    <t>YMASK</t>
  </si>
  <si>
    <t>C</t>
  </si>
  <si>
    <t>D</t>
  </si>
  <si>
    <t>E</t>
  </si>
  <si>
    <t>DB3</t>
  </si>
  <si>
    <t>zh&lt;zimm</t>
  </si>
  <si>
    <t>D1G</t>
  </si>
  <si>
    <t>RF&lt;RF+1</t>
    <phoneticPr fontId="4" type="noConversion"/>
  </si>
  <si>
    <t>TPX1&lt;Imm</t>
    <phoneticPr fontId="4" type="noConversion"/>
  </si>
  <si>
    <t>TPX2&lt;imm</t>
    <phoneticPr fontId="4" type="noConversion"/>
  </si>
  <si>
    <t>TP1&lt;imm</t>
    <phoneticPr fontId="4" type="noConversion"/>
  </si>
  <si>
    <t>TP2&lt;imm</t>
    <phoneticPr fontId="4" type="noConversion"/>
  </si>
  <si>
    <t>RF&lt;0</t>
    <phoneticPr fontId="4" type="noConversion"/>
  </si>
  <si>
    <t>XT</t>
    <phoneticPr fontId="4" type="noConversion"/>
  </si>
  <si>
    <t>YT</t>
    <phoneticPr fontId="4" type="noConversion"/>
  </si>
  <si>
    <t>XOS</t>
    <phoneticPr fontId="4" type="noConversion"/>
  </si>
  <si>
    <t>Z</t>
    <phoneticPr fontId="4" type="noConversion"/>
  </si>
  <si>
    <t>RF</t>
    <phoneticPr fontId="4" type="noConversion"/>
  </si>
  <si>
    <t>YOS</t>
    <phoneticPr fontId="4" type="noConversion"/>
  </si>
  <si>
    <t>O=A^B^C^D</t>
  </si>
  <si>
    <t>O=A|B^C^D</t>
  </si>
  <si>
    <t>O=A&amp;B^C^D</t>
  </si>
  <si>
    <t>O=A^B|C^D</t>
  </si>
  <si>
    <t>O=A|B|C^D</t>
  </si>
  <si>
    <t>O=A&amp;B|C^D</t>
  </si>
  <si>
    <t>O=A^B&amp;C^D</t>
  </si>
  <si>
    <t>O=A|B&amp;C^D</t>
  </si>
  <si>
    <t>O=A&amp;B&amp;C^D</t>
  </si>
  <si>
    <t>O=A^B^C|D</t>
  </si>
  <si>
    <t>O=A|B^C|D</t>
  </si>
  <si>
    <t>O=A&amp;B^C|D</t>
  </si>
  <si>
    <t>O=A^B|C|D</t>
  </si>
  <si>
    <t>O=A|B|C|D</t>
  </si>
  <si>
    <t>O=A&amp;B|C|D</t>
  </si>
  <si>
    <t>O=A^B&amp;C|D</t>
  </si>
  <si>
    <t>O=A|B&amp;C|D</t>
  </si>
  <si>
    <t>O=A&amp;B&amp;C|D</t>
  </si>
  <si>
    <t>O=A^B^C&amp;D</t>
  </si>
  <si>
    <t>O=A|B^C&amp;D</t>
  </si>
  <si>
    <t>O=A&amp;B^C&amp;D</t>
  </si>
  <si>
    <t>O=A^B|C&amp;D</t>
  </si>
  <si>
    <t>O=A|B|C&amp;D</t>
  </si>
  <si>
    <t>O=A&amp;B|C&amp;D</t>
  </si>
  <si>
    <t>O=A^B&amp;C&amp;D</t>
  </si>
  <si>
    <t>O=A|B&amp;C&amp;D</t>
  </si>
  <si>
    <t>O=A&amp;B&amp;C&amp;D</t>
  </si>
  <si>
    <t>3차연산</t>
  </si>
  <si>
    <t>[23:18]</t>
  </si>
  <si>
    <t>[31]</t>
  </si>
  <si>
    <t>[29:24]</t>
  </si>
  <si>
    <t>32BIT</t>
  </si>
  <si>
    <t>3,2,1,1</t>
  </si>
  <si>
    <t>3,2,1,2</t>
  </si>
  <si>
    <t xml:space="preserve">/C0 </t>
  </si>
  <si>
    <t xml:space="preserve">/C1 </t>
  </si>
  <si>
    <t xml:space="preserve">/C2 </t>
  </si>
  <si>
    <t xml:space="preserve">/C3 </t>
  </si>
  <si>
    <t xml:space="preserve">/C4 </t>
  </si>
  <si>
    <t xml:space="preserve">/C5 </t>
  </si>
  <si>
    <t xml:space="preserve">/C6 </t>
  </si>
  <si>
    <t xml:space="preserve">/C7 </t>
  </si>
  <si>
    <t xml:space="preserve">/C8 </t>
  </si>
  <si>
    <t xml:space="preserve">/C9 </t>
  </si>
  <si>
    <t>/C10</t>
  </si>
  <si>
    <t>/C11</t>
  </si>
  <si>
    <t>/C12</t>
  </si>
  <si>
    <t>/C13</t>
  </si>
  <si>
    <t>/C14</t>
  </si>
  <si>
    <t>/C15</t>
  </si>
  <si>
    <t>/C16</t>
  </si>
  <si>
    <t>/C17</t>
  </si>
  <si>
    <t>/C18</t>
  </si>
  <si>
    <t>/C19</t>
  </si>
  <si>
    <t>/C20</t>
  </si>
  <si>
    <t>/C21</t>
  </si>
  <si>
    <t>/C22</t>
  </si>
  <si>
    <t>/C23</t>
  </si>
  <si>
    <t>/C24</t>
  </si>
  <si>
    <t>/C25</t>
  </si>
  <si>
    <t>/C26</t>
  </si>
  <si>
    <t>/C27</t>
  </si>
  <si>
    <t>/C28</t>
  </si>
  <si>
    <t>/C29</t>
  </si>
  <si>
    <t>/C30</t>
  </si>
  <si>
    <t>/C31</t>
  </si>
  <si>
    <t xml:space="preserve">/X0 </t>
  </si>
  <si>
    <t xml:space="preserve">/X1 </t>
  </si>
  <si>
    <t xml:space="preserve">/X2 </t>
  </si>
  <si>
    <t xml:space="preserve">/X3 </t>
  </si>
  <si>
    <t xml:space="preserve">/X4 </t>
  </si>
  <si>
    <t xml:space="preserve">/X5 </t>
  </si>
  <si>
    <t xml:space="preserve">/X6 </t>
  </si>
  <si>
    <t xml:space="preserve">/X7 </t>
  </si>
  <si>
    <t xml:space="preserve">/X8 </t>
  </si>
  <si>
    <t xml:space="preserve">/X9 </t>
  </si>
  <si>
    <t>/X10</t>
  </si>
  <si>
    <t>/X11</t>
  </si>
  <si>
    <t>/X12</t>
  </si>
  <si>
    <t>/X13</t>
  </si>
  <si>
    <t>/X14</t>
  </si>
  <si>
    <t>/X15</t>
  </si>
  <si>
    <t>/X16</t>
  </si>
  <si>
    <t>/X17</t>
  </si>
  <si>
    <t>/X18</t>
  </si>
  <si>
    <t>/X19</t>
  </si>
  <si>
    <t>/X20</t>
  </si>
  <si>
    <t>/X21</t>
  </si>
  <si>
    <t>/X22</t>
  </si>
  <si>
    <t>/X23</t>
  </si>
  <si>
    <t xml:space="preserve">/Y0 </t>
  </si>
  <si>
    <t xml:space="preserve">/Y1 </t>
  </si>
  <si>
    <t xml:space="preserve">/Y2 </t>
  </si>
  <si>
    <t xml:space="preserve">/Y3 </t>
  </si>
  <si>
    <t xml:space="preserve">/Y4 </t>
  </si>
  <si>
    <t xml:space="preserve">/Y5 </t>
  </si>
  <si>
    <t xml:space="preserve">/Y6 </t>
  </si>
  <si>
    <t xml:space="preserve">/Y7 </t>
  </si>
  <si>
    <t xml:space="preserve">/Y8 </t>
  </si>
  <si>
    <t xml:space="preserve">/Y9 </t>
  </si>
  <si>
    <t>/Y10</t>
  </si>
  <si>
    <t>/Y11</t>
  </si>
  <si>
    <t>/Y12</t>
  </si>
  <si>
    <t>/Y13</t>
  </si>
  <si>
    <t>/Y14</t>
  </si>
  <si>
    <t>/Y15</t>
  </si>
  <si>
    <t>/Y16</t>
  </si>
  <si>
    <t>/Y17</t>
  </si>
  <si>
    <t>/Y18</t>
  </si>
  <si>
    <t>/Y19</t>
  </si>
  <si>
    <t>/Y20</t>
  </si>
  <si>
    <t>/Y21</t>
  </si>
  <si>
    <t>/Y22</t>
  </si>
  <si>
    <t xml:space="preserve">Z0 </t>
  </si>
  <si>
    <t xml:space="preserve">Z1 </t>
  </si>
  <si>
    <t xml:space="preserve">Z2 </t>
  </si>
  <si>
    <t xml:space="preserve">Z3 </t>
  </si>
  <si>
    <t xml:space="preserve">Z4 </t>
  </si>
  <si>
    <t xml:space="preserve">Z5 </t>
  </si>
  <si>
    <t xml:space="preserve">Z6 </t>
  </si>
  <si>
    <t xml:space="preserve">Z7 </t>
  </si>
  <si>
    <t>/D0</t>
  </si>
  <si>
    <t>/D3</t>
  </si>
  <si>
    <t>/D4</t>
  </si>
  <si>
    <t>/D5</t>
  </si>
  <si>
    <t>/D6</t>
  </si>
  <si>
    <t>/D7</t>
  </si>
  <si>
    <t>/D8</t>
  </si>
  <si>
    <t>/D9</t>
  </si>
  <si>
    <t>/D10</t>
  </si>
  <si>
    <t>/D11</t>
  </si>
  <si>
    <t>/D12</t>
  </si>
  <si>
    <t>/D13</t>
  </si>
  <si>
    <t>/D14</t>
  </si>
  <si>
    <t>/D15</t>
  </si>
  <si>
    <t>/X0</t>
  </si>
  <si>
    <t>/X1</t>
  </si>
  <si>
    <t>/X2</t>
  </si>
  <si>
    <t>/X3</t>
  </si>
  <si>
    <t>/X4</t>
  </si>
  <si>
    <t>/X5</t>
  </si>
  <si>
    <t>/X6</t>
  </si>
  <si>
    <t>/X7</t>
  </si>
  <si>
    <t>/X8</t>
  </si>
  <si>
    <t>/X9</t>
  </si>
  <si>
    <t>/Y0</t>
  </si>
  <si>
    <t>/Y1</t>
  </si>
  <si>
    <t>/Y2</t>
  </si>
  <si>
    <t>/Y3</t>
  </si>
  <si>
    <t>/Y4</t>
  </si>
  <si>
    <t>/Y5</t>
  </si>
  <si>
    <t>/Y6</t>
  </si>
  <si>
    <t>/Y7</t>
  </si>
  <si>
    <t>/Y8</t>
  </si>
  <si>
    <t>/Y9</t>
  </si>
  <si>
    <t>/Y23</t>
  </si>
  <si>
    <t>/Z0</t>
  </si>
  <si>
    <t>/Z1</t>
  </si>
  <si>
    <t>/Z2</t>
  </si>
  <si>
    <t>/Z3</t>
  </si>
  <si>
    <t>/Z4</t>
  </si>
  <si>
    <t>/Z5</t>
  </si>
  <si>
    <t>/Z6</t>
  </si>
  <si>
    <t>/Z7</t>
  </si>
  <si>
    <t>/C0</t>
  </si>
  <si>
    <t>/C1</t>
  </si>
  <si>
    <t>/C2</t>
  </si>
  <si>
    <t>/C3</t>
  </si>
  <si>
    <t>/C4</t>
  </si>
  <si>
    <t>/C5</t>
  </si>
  <si>
    <t>/C6</t>
  </si>
  <si>
    <t>/C7</t>
  </si>
  <si>
    <t>/C8</t>
  </si>
  <si>
    <t>/C9</t>
  </si>
  <si>
    <t>D16</t>
  </si>
  <si>
    <t>D17</t>
  </si>
  <si>
    <t>/D16</t>
  </si>
  <si>
    <t>/D17</t>
  </si>
  <si>
    <t>IMPNT_DATA</t>
  </si>
  <si>
    <t>fail_io_raddr</t>
  </si>
  <si>
    <t>fail io read address</t>
  </si>
  <si>
    <t>W</t>
  </si>
  <si>
    <t>REFTIMER(SET REFTIMER)</t>
    <phoneticPr fontId="4" type="noConversion"/>
  </si>
  <si>
    <t>REFTIMER(T0VAL)</t>
    <phoneticPr fontId="4" type="noConversion"/>
  </si>
  <si>
    <t>TIMER(SET TIMER)</t>
    <phoneticPr fontId="4" type="noConversion"/>
  </si>
  <si>
    <t xml:space="preserve">TIMER(T1VAL) </t>
    <phoneticPr fontId="4" type="noConversion"/>
  </si>
  <si>
    <t>STISP(ISP)</t>
    <phoneticPr fontId="4" type="noConversion"/>
  </si>
  <si>
    <t>D8</t>
    <phoneticPr fontId="4" type="noConversion"/>
  </si>
  <si>
    <t>JNCFLAG(CFLG)</t>
    <phoneticPr fontId="4" type="noConversion"/>
  </si>
  <si>
    <t>S1A</t>
    <phoneticPr fontId="4" type="noConversion"/>
  </si>
  <si>
    <t>STI9</t>
    <phoneticPr fontId="4" type="noConversion"/>
  </si>
  <si>
    <t>LDI</t>
    <phoneticPr fontId="4" type="noConversion"/>
  </si>
  <si>
    <t>MLOOP</t>
    <phoneticPr fontId="4" type="noConversion"/>
  </si>
  <si>
    <t>IO16</t>
  </si>
  <si>
    <t>IO17</t>
  </si>
  <si>
    <t>IO18</t>
  </si>
  <si>
    <t>IO19</t>
  </si>
  <si>
    <t>IO20</t>
  </si>
  <si>
    <t>IO21</t>
  </si>
  <si>
    <t>IO22</t>
  </si>
  <si>
    <t>IO23</t>
  </si>
  <si>
    <t>IO24</t>
  </si>
  <si>
    <t>IO25</t>
  </si>
  <si>
    <t>IO26</t>
  </si>
  <si>
    <t>IO27</t>
  </si>
  <si>
    <t>IO28</t>
  </si>
  <si>
    <t>IO29</t>
  </si>
  <si>
    <t>IO30</t>
  </si>
  <si>
    <t>IO31</t>
  </si>
  <si>
    <t>SCAN0</t>
  </si>
  <si>
    <t>SC0</t>
  </si>
  <si>
    <t>IO0</t>
  </si>
  <si>
    <t>TP2&lt;TP2-1</t>
  </si>
  <si>
    <t>TP2&lt;TP2+1</t>
  </si>
  <si>
    <t>/TP2</t>
  </si>
  <si>
    <t>/A</t>
  </si>
  <si>
    <t>TP1&lt;TP1+1</t>
  </si>
  <si>
    <t>TP1&lt;TP1-1</t>
  </si>
  <si>
    <t>DRE_PDS</t>
  </si>
  <si>
    <t>CPEH_PDS</t>
  </si>
  <si>
    <t>CPEL_PDS</t>
  </si>
  <si>
    <t>TPX1</t>
  </si>
  <si>
    <t>TPX2</t>
  </si>
  <si>
    <t>[3:0]</t>
  </si>
  <si>
    <t>imprint_data_h[7  : 0 ]</t>
  </si>
  <si>
    <t>imprint_data_h[15 : 8 ]</t>
  </si>
  <si>
    <t>imprint_data_h[23 : 16]</t>
  </si>
  <si>
    <t>imprint_data_h[31 : 24]</t>
  </si>
  <si>
    <t>imprint_data_h[39 : 32]</t>
  </si>
  <si>
    <t>imprint_data_h[47 : 40]</t>
  </si>
  <si>
    <t>imprint_data_h[55 : 48]</t>
  </si>
  <si>
    <t>imprint_data_h[63 : 56]</t>
  </si>
  <si>
    <t>imprint_data_l[7  : 0 ]</t>
  </si>
  <si>
    <t>imprint_data_l[15 : 8 ]</t>
  </si>
  <si>
    <t>imprint_data_l[23 : 16]</t>
  </si>
  <si>
    <t>imprint_data_l[31 : 24]</t>
  </si>
  <si>
    <t>imprint_data_l[39 : 32]</t>
  </si>
  <si>
    <t>imprint_data_l[47 : 40]</t>
  </si>
  <si>
    <t>imprint_data_l[55 : 48]</t>
  </si>
  <si>
    <t>imprint_data_l[63 : 56]</t>
  </si>
  <si>
    <t>FIXL</t>
  </si>
  <si>
    <t>FIXH</t>
  </si>
  <si>
    <t>0:refresha 1:refreshb</t>
  </si>
  <si>
    <t>clk0</t>
  </si>
  <si>
    <t>clk1</t>
  </si>
  <si>
    <t>clk2</t>
  </si>
  <si>
    <t>clk3</t>
  </si>
  <si>
    <t>clk4</t>
  </si>
  <si>
    <t>clk5</t>
  </si>
  <si>
    <t>clk6</t>
  </si>
  <si>
    <t>clk7</t>
  </si>
  <si>
    <t>clk8</t>
  </si>
  <si>
    <t>clk9</t>
  </si>
  <si>
    <t>clk10</t>
  </si>
  <si>
    <t>clk11</t>
  </si>
  <si>
    <t>clk12</t>
  </si>
  <si>
    <t>clk13</t>
  </si>
  <si>
    <t>clk14</t>
  </si>
  <si>
    <t>clk15</t>
  </si>
  <si>
    <t>cclk</t>
  </si>
  <si>
    <t>bclk</t>
  </si>
  <si>
    <t>[19:18]</t>
  </si>
  <si>
    <t>[17:16]</t>
  </si>
  <si>
    <t>RF</t>
    <phoneticPr fontId="17" type="noConversion"/>
  </si>
  <si>
    <t>strb</t>
  </si>
  <si>
    <t>dre</t>
  </si>
  <si>
    <t>RATE14</t>
  </si>
  <si>
    <t>RATE15</t>
  </si>
  <si>
    <t>EDGE1_14</t>
  </si>
  <si>
    <t>EDGE1_15</t>
  </si>
  <si>
    <t>EDGE2_14</t>
  </si>
  <si>
    <t>EDGE2_15</t>
  </si>
  <si>
    <t>EDGE41_14</t>
  </si>
  <si>
    <t>EDGE41_15</t>
  </si>
  <si>
    <t>EDGE42_14</t>
  </si>
  <si>
    <t>EDGE42_15</t>
  </si>
  <si>
    <t>A,B,C,D</t>
  </si>
  <si>
    <t>nouse</t>
  </si>
  <si>
    <t>[0]:start [2]:stop</t>
  </si>
  <si>
    <t>rate</t>
  </si>
  <si>
    <t>4ns resolution</t>
  </si>
  <si>
    <t>time/4</t>
  </si>
  <si>
    <t>clock edge</t>
  </si>
  <si>
    <t>2ns resolution</t>
  </si>
  <si>
    <t>time/2</t>
  </si>
  <si>
    <t>select clock edge</t>
  </si>
  <si>
    <t>A-Ximm</t>
    <phoneticPr fontId="4" type="noConversion"/>
  </si>
  <si>
    <t>A-Yimm</t>
    <phoneticPr fontId="17" type="noConversion"/>
  </si>
  <si>
    <t>Yimm</t>
    <phoneticPr fontId="0" type="noConversion"/>
  </si>
  <si>
    <t>A+Yimm</t>
    <phoneticPr fontId="0" type="noConversion"/>
  </si>
  <si>
    <t>XB+Imm</t>
    <phoneticPr fontId="17" type="noConversion"/>
  </si>
  <si>
    <t>XB-Imm</t>
    <phoneticPr fontId="17" type="noConversion"/>
  </si>
  <si>
    <t>YB+Imm</t>
    <phoneticPr fontId="17" type="noConversion"/>
  </si>
  <si>
    <t>YB-Imm</t>
    <phoneticPr fontId="17" type="noConversion"/>
  </si>
  <si>
    <t>YB</t>
    <phoneticPr fontId="17" type="noConversion"/>
  </si>
  <si>
    <t>compiler에서 삭제</t>
    <phoneticPr fontId="17" type="noConversion"/>
  </si>
  <si>
    <t>삭제</t>
    <phoneticPr fontId="17" type="noConversion"/>
  </si>
  <si>
    <t>BS/SP/M2,RINV0,RINV1 삭제</t>
    <phoneticPr fontId="17" type="noConversion"/>
  </si>
  <si>
    <t>Imm</t>
    <phoneticPr fontId="17" type="noConversion"/>
  </si>
  <si>
    <t>XH</t>
    <phoneticPr fontId="17" type="noConversion"/>
  </si>
  <si>
    <r>
      <t>D1</t>
    </r>
    <r>
      <rPr>
        <sz val="11"/>
        <color rgb="FFFF0000"/>
        <rFont val="맑은 고딕"/>
        <family val="3"/>
        <charset val="129"/>
        <scheme val="minor"/>
      </rPr>
      <t>X</t>
    </r>
    <phoneticPr fontId="17" type="noConversion"/>
  </si>
  <si>
    <r>
      <t>D2</t>
    </r>
    <r>
      <rPr>
        <sz val="11"/>
        <color rgb="FFFF0000"/>
        <rFont val="맑은 고딕"/>
        <family val="3"/>
        <charset val="129"/>
        <scheme val="minor"/>
      </rPr>
      <t>X</t>
    </r>
    <phoneticPr fontId="17" type="noConversion"/>
  </si>
  <si>
    <t>* D1X : D1A ~ D1H</t>
    <phoneticPr fontId="17" type="noConversion"/>
  </si>
  <si>
    <t>* D2X : D2A ~ D2D</t>
    <phoneticPr fontId="17" type="noConversion"/>
  </si>
  <si>
    <t>BYTE Index</t>
    <phoneticPr fontId="17" type="noConversion"/>
  </si>
  <si>
    <t>/TP1</t>
    <phoneticPr fontId="17" type="noConversion"/>
  </si>
  <si>
    <t>S0</t>
    <phoneticPr fontId="17" type="noConversion"/>
  </si>
  <si>
    <t>S1</t>
    <phoneticPr fontId="17" type="noConversion"/>
  </si>
  <si>
    <t>C7</t>
    <phoneticPr fontId="17" type="noConversion"/>
  </si>
  <si>
    <t>SC7</t>
    <phoneticPr fontId="17" type="noConversion"/>
  </si>
  <si>
    <t>SC3</t>
    <phoneticPr fontId="17" type="noConversion"/>
  </si>
  <si>
    <t>SCMODE0</t>
    <phoneticPr fontId="17" type="noConversion"/>
  </si>
  <si>
    <t>SCMODE1</t>
    <phoneticPr fontId="17" type="noConversion"/>
  </si>
  <si>
    <t>SCMODE2</t>
    <phoneticPr fontId="17" type="noConversion"/>
  </si>
  <si>
    <t>SCMODE3</t>
    <phoneticPr fontId="17" type="noConversion"/>
  </si>
  <si>
    <t>ACMODE0</t>
    <phoneticPr fontId="17" type="noConversion"/>
  </si>
  <si>
    <t>ACMODE1</t>
    <phoneticPr fontId="17" type="noConversion"/>
  </si>
  <si>
    <t>ACMODE2</t>
    <phoneticPr fontId="17" type="noConversion"/>
  </si>
  <si>
    <t>ACMODE3</t>
    <phoneticPr fontId="17" type="noConversion"/>
  </si>
  <si>
    <t>S7~S0</t>
    <phoneticPr fontId="17" type="noConversion"/>
  </si>
  <si>
    <t>S31~S24</t>
    <phoneticPr fontId="17" type="noConversion"/>
  </si>
  <si>
    <t>A7~A0</t>
    <phoneticPr fontId="17" type="noConversion"/>
  </si>
  <si>
    <t>A31~A24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</si>
</sst>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7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8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99"/>
        <bgColor indexed="64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352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0" fillId="0" borderId="0" xfId="1">
      <alignment vertical="center"/>
    </xf>
    <xf numFmtId="0" fontId="10" fillId="0" borderId="0" xfId="1" applyAlignment="1">
      <alignment horizontal="center" vertical="center"/>
    </xf>
    <xf numFmtId="0" fontId="10" fillId="0" borderId="1" xfId="1" applyBorder="1">
      <alignment vertical="center"/>
    </xf>
    <xf numFmtId="0" fontId="10" fillId="0" borderId="1" xfId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6" fillId="0" borderId="1" xfId="1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12" fillId="0" borderId="1" xfId="1" applyFont="1" applyBorder="1">
      <alignment vertical="center"/>
    </xf>
    <xf numFmtId="0" fontId="8" fillId="0" borderId="1" xfId="1" applyFont="1" applyBorder="1">
      <alignment vertical="center"/>
    </xf>
    <xf numFmtId="0" fontId="10" fillId="0" borderId="5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3" fillId="0" borderId="1" xfId="1" applyFont="1" applyBorder="1">
      <alignment vertical="center"/>
    </xf>
    <xf numFmtId="0" fontId="13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17" fontId="10" fillId="0" borderId="0" xfId="1" applyNumberFormat="1" applyAlignment="1">
      <alignment horizontal="center" vertical="center"/>
    </xf>
    <xf numFmtId="0" fontId="10" fillId="0" borderId="8" xfId="1" applyBorder="1" applyAlignment="1">
      <alignment horizontal="center" vertical="center"/>
    </xf>
    <xf numFmtId="0" fontId="10" fillId="0" borderId="7" xfId="1" applyBorder="1">
      <alignment vertical="center"/>
    </xf>
    <xf numFmtId="0" fontId="10" fillId="0" borderId="7" xfId="1" applyBorder="1" applyAlignment="1">
      <alignment horizontal="center" vertical="center"/>
    </xf>
    <xf numFmtId="0" fontId="10" fillId="0" borderId="14" xfId="1" applyBorder="1" applyAlignment="1">
      <alignment horizontal="center" vertical="center"/>
    </xf>
    <xf numFmtId="0" fontId="10" fillId="0" borderId="15" xfId="1" applyBorder="1">
      <alignment vertical="center"/>
    </xf>
    <xf numFmtId="0" fontId="10" fillId="0" borderId="15" xfId="1" applyBorder="1" applyAlignment="1">
      <alignment horizontal="center" vertical="center"/>
    </xf>
    <xf numFmtId="0" fontId="10" fillId="0" borderId="17" xfId="1" applyBorder="1" applyAlignment="1">
      <alignment horizontal="center" vertical="center"/>
    </xf>
    <xf numFmtId="0" fontId="10" fillId="0" borderId="5" xfId="1" applyBorder="1">
      <alignment vertical="center"/>
    </xf>
    <xf numFmtId="0" fontId="10" fillId="0" borderId="9" xfId="1" applyBorder="1">
      <alignment vertical="center"/>
    </xf>
    <xf numFmtId="0" fontId="14" fillId="0" borderId="1" xfId="1" applyFont="1" applyBorder="1" applyAlignment="1">
      <alignment horizontal="center" vertical="center"/>
    </xf>
    <xf numFmtId="0" fontId="15" fillId="0" borderId="0" xfId="1" applyFont="1">
      <alignment vertical="center"/>
    </xf>
    <xf numFmtId="0" fontId="10" fillId="9" borderId="0" xfId="1" applyFill="1">
      <alignment vertical="center"/>
    </xf>
    <xf numFmtId="0" fontId="6" fillId="0" borderId="0" xfId="1" applyFont="1">
      <alignment vertical="center"/>
    </xf>
    <xf numFmtId="0" fontId="12" fillId="0" borderId="0" xfId="1" applyFont="1">
      <alignment vertical="center"/>
    </xf>
    <xf numFmtId="0" fontId="10" fillId="0" borderId="0" xfId="1" applyAlignment="1">
      <alignment horizontal="right" vertical="center"/>
    </xf>
    <xf numFmtId="0" fontId="10" fillId="0" borderId="1" xfId="1" applyBorder="1" applyAlignment="1">
      <alignment horizontal="right" vertical="center"/>
    </xf>
    <xf numFmtId="0" fontId="10" fillId="0" borderId="7" xfId="1" applyBorder="1" applyAlignment="1">
      <alignment horizontal="right" vertical="center"/>
    </xf>
    <xf numFmtId="0" fontId="10" fillId="0" borderId="15" xfId="1" applyBorder="1" applyAlignment="1">
      <alignment horizontal="right" vertical="center"/>
    </xf>
    <xf numFmtId="0" fontId="10" fillId="0" borderId="5" xfId="1" applyBorder="1" applyAlignment="1">
      <alignment horizontal="right" vertical="center"/>
    </xf>
    <xf numFmtId="0" fontId="10" fillId="0" borderId="9" xfId="1" applyBorder="1" applyAlignment="1">
      <alignment horizontal="right" vertical="center"/>
    </xf>
    <xf numFmtId="0" fontId="10" fillId="0" borderId="17" xfId="1" applyBorder="1">
      <alignment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5" fillId="4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5" fillId="4" borderId="31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5" fillId="3" borderId="3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5" fillId="5" borderId="0" xfId="0" applyNumberFormat="1" applyFont="1" applyFill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0" fillId="12" borderId="21" xfId="0" applyFill="1" applyBorder="1" applyAlignment="1">
      <alignment horizontal="center"/>
    </xf>
    <xf numFmtId="0" fontId="10" fillId="0" borderId="0" xfId="1" applyBorder="1">
      <alignment vertical="center"/>
    </xf>
    <xf numFmtId="0" fontId="10" fillId="0" borderId="0" xfId="1" applyBorder="1" applyAlignment="1">
      <alignment horizontal="center" vertical="center"/>
    </xf>
    <xf numFmtId="0" fontId="18" fillId="0" borderId="1" xfId="1" applyFont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0" fillId="0" borderId="0" xfId="1" applyAlignment="1">
      <alignment horizontal="center" vertical="center"/>
    </xf>
    <xf numFmtId="0" fontId="10" fillId="0" borderId="16" xfId="1" applyBorder="1" applyAlignment="1">
      <alignment horizontal="center" vertical="center"/>
    </xf>
    <xf numFmtId="0" fontId="10" fillId="9" borderId="0" xfId="1" applyFill="1" applyAlignment="1">
      <alignment horizontal="center" vertical="center"/>
    </xf>
    <xf numFmtId="0" fontId="0" fillId="3" borderId="43" xfId="0" applyFill="1" applyBorder="1" applyAlignment="1">
      <alignment horizontal="center"/>
    </xf>
    <xf numFmtId="0" fontId="10" fillId="0" borderId="0" xfId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0" xfId="1" applyFont="1">
      <alignment vertical="center"/>
    </xf>
    <xf numFmtId="0" fontId="19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14" borderId="32" xfId="0" applyFont="1" applyFill="1" applyBorder="1" applyAlignment="1">
      <alignment horizontal="center" vertical="center"/>
    </xf>
    <xf numFmtId="0" fontId="0" fillId="14" borderId="32" xfId="0" applyFill="1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3" fillId="0" borderId="1" xfId="1" applyFont="1" applyBorder="1">
      <alignment vertical="center"/>
    </xf>
    <xf numFmtId="0" fontId="3" fillId="0" borderId="6" xfId="1" applyFont="1" applyBorder="1" applyAlignment="1">
      <alignment horizontal="center" vertical="center"/>
    </xf>
    <xf numFmtId="0" fontId="3" fillId="0" borderId="6" xfId="1" applyFont="1" applyBorder="1">
      <alignment vertical="center"/>
    </xf>
    <xf numFmtId="0" fontId="7" fillId="4" borderId="31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5" fillId="11" borderId="22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10" fillId="0" borderId="16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10" fillId="0" borderId="1" xfId="1" applyBorder="1" applyAlignment="1">
      <alignment vertical="center"/>
    </xf>
    <xf numFmtId="0" fontId="2" fillId="0" borderId="1" xfId="1" applyFont="1" applyBorder="1">
      <alignment vertical="center"/>
    </xf>
    <xf numFmtId="0" fontId="2" fillId="0" borderId="0" xfId="1" applyFont="1">
      <alignment vertical="center"/>
    </xf>
    <xf numFmtId="49" fontId="0" fillId="0" borderId="0" xfId="0" applyNumberFormat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0" fillId="7" borderId="4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19" fillId="15" borderId="38" xfId="0" applyFont="1" applyFill="1" applyBorder="1" applyAlignment="1">
      <alignment horizontal="center"/>
    </xf>
    <xf numFmtId="0" fontId="6" fillId="15" borderId="38" xfId="0" applyFont="1" applyFill="1" applyBorder="1" applyAlignment="1">
      <alignment horizontal="center"/>
    </xf>
    <xf numFmtId="0" fontId="6" fillId="15" borderId="21" xfId="0" applyFont="1" applyFill="1" applyBorder="1" applyAlignment="1">
      <alignment horizontal="center"/>
    </xf>
    <xf numFmtId="0" fontId="6" fillId="15" borderId="22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15" borderId="3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 applyAlignment="1">
      <alignment horizontal="center"/>
    </xf>
    <xf numFmtId="0" fontId="5" fillId="4" borderId="34" xfId="0" applyFont="1" applyFill="1" applyBorder="1" applyAlignment="1">
      <alignment horizontal="center" vertical="center"/>
    </xf>
    <xf numFmtId="0" fontId="5" fillId="11" borderId="35" xfId="0" applyFont="1" applyFill="1" applyBorder="1" applyAlignment="1">
      <alignment horizontal="center" vertical="center"/>
    </xf>
    <xf numFmtId="0" fontId="5" fillId="14" borderId="4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Border="1"/>
    <xf numFmtId="0" fontId="0" fillId="0" borderId="39" xfId="0" applyBorder="1" applyAlignment="1">
      <alignment horizontal="center" vertical="center"/>
    </xf>
    <xf numFmtId="0" fontId="0" fillId="0" borderId="0" xfId="0" applyBorder="1"/>
    <xf numFmtId="0" fontId="0" fillId="0" borderId="0" xfId="0" quotePrefix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6" fillId="15" borderId="2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15" borderId="0" xfId="0" applyFont="1" applyFill="1" applyBorder="1" applyAlignment="1">
      <alignment horizontal="center"/>
    </xf>
    <xf numFmtId="0" fontId="6" fillId="15" borderId="21" xfId="0" applyFont="1" applyFill="1" applyBorder="1" applyAlignment="1">
      <alignment horizontal="center" vertical="center"/>
    </xf>
    <xf numFmtId="0" fontId="6" fillId="15" borderId="34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left"/>
    </xf>
    <xf numFmtId="0" fontId="19" fillId="15" borderId="2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5" fillId="17" borderId="33" xfId="0" applyFont="1" applyFill="1" applyBorder="1" applyAlignment="1">
      <alignment horizontal="center" vertical="center"/>
    </xf>
    <xf numFmtId="0" fontId="5" fillId="17" borderId="29" xfId="0" applyFont="1" applyFill="1" applyBorder="1" applyAlignment="1">
      <alignment horizontal="center" vertical="center"/>
    </xf>
    <xf numFmtId="0" fontId="6" fillId="18" borderId="2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19" fillId="0" borderId="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0" fillId="0" borderId="0" xfId="0" applyAlignment="1"/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quotePrefix="1" applyFont="1" applyFill="1" applyBorder="1" applyAlignment="1">
      <alignment horizontal="center" vertical="center"/>
    </xf>
    <xf numFmtId="0" fontId="6" fillId="18" borderId="1" xfId="0" quotePrefix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0" fontId="0" fillId="7" borderId="40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10" fillId="0" borderId="1" xfId="1" applyBorder="1" applyAlignment="1">
      <alignment horizontal="center" vertical="center"/>
    </xf>
    <xf numFmtId="0" fontId="11" fillId="0" borderId="13" xfId="1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0" fontId="8" fillId="0" borderId="9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top"/>
    </xf>
    <xf numFmtId="0" fontId="11" fillId="0" borderId="15" xfId="1" applyFont="1" applyBorder="1" applyAlignment="1">
      <alignment horizontal="center" vertical="top"/>
    </xf>
    <xf numFmtId="0" fontId="11" fillId="0" borderId="0" xfId="1" applyFont="1" applyAlignment="1">
      <alignment horizontal="center" vertical="top"/>
    </xf>
    <xf numFmtId="0" fontId="10" fillId="0" borderId="9" xfId="1" applyBorder="1" applyAlignment="1">
      <alignment horizontal="center" vertical="center"/>
    </xf>
    <xf numFmtId="0" fontId="10" fillId="0" borderId="5" xfId="1" applyBorder="1" applyAlignment="1">
      <alignment horizontal="center" vertical="center"/>
    </xf>
    <xf numFmtId="0" fontId="11" fillId="0" borderId="9" xfId="1" applyFont="1" applyBorder="1" applyAlignment="1">
      <alignment horizontal="center" vertical="top"/>
    </xf>
    <xf numFmtId="0" fontId="11" fillId="0" borderId="10" xfId="1" applyFont="1" applyBorder="1" applyAlignment="1">
      <alignment horizontal="center" vertical="top"/>
    </xf>
    <xf numFmtId="0" fontId="11" fillId="0" borderId="5" xfId="1" applyFont="1" applyBorder="1" applyAlignment="1">
      <alignment horizontal="center" vertical="top"/>
    </xf>
    <xf numFmtId="0" fontId="10" fillId="0" borderId="3" xfId="1" applyBorder="1" applyAlignment="1">
      <alignment horizontal="center" vertical="center"/>
    </xf>
    <xf numFmtId="0" fontId="10" fillId="0" borderId="4" xfId="1" applyBorder="1" applyAlignment="1">
      <alignment horizontal="center" vertical="center"/>
    </xf>
    <xf numFmtId="0" fontId="10" fillId="0" borderId="2" xfId="1" applyBorder="1" applyAlignment="1">
      <alignment horizontal="center" vertical="center"/>
    </xf>
    <xf numFmtId="0" fontId="10" fillId="0" borderId="16" xfId="1" applyBorder="1" applyAlignment="1">
      <alignment horizontal="center" vertical="center"/>
    </xf>
    <xf numFmtId="0" fontId="10" fillId="0" borderId="0" xfId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top"/>
    </xf>
    <xf numFmtId="0" fontId="11" fillId="0" borderId="16" xfId="1" applyFont="1" applyBorder="1" applyAlignment="1">
      <alignment horizontal="center" vertical="top"/>
    </xf>
    <xf numFmtId="0" fontId="10" fillId="0" borderId="10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0" fillId="0" borderId="7" xfId="1" applyBorder="1" applyAlignment="1">
      <alignment horizontal="center" vertical="center"/>
    </xf>
    <xf numFmtId="0" fontId="10" fillId="0" borderId="0" xfId="1" applyBorder="1" applyAlignment="1">
      <alignment horizontal="center" vertical="center"/>
    </xf>
    <xf numFmtId="0" fontId="10" fillId="0" borderId="13" xfId="1" applyBorder="1" applyAlignment="1">
      <alignment horizontal="center" vertical="center"/>
    </xf>
    <xf numFmtId="0" fontId="11" fillId="0" borderId="6" xfId="1" applyFont="1" applyBorder="1" applyAlignment="1">
      <alignment horizontal="center" vertical="top"/>
    </xf>
    <xf numFmtId="0" fontId="10" fillId="0" borderId="15" xfId="1" applyBorder="1" applyAlignment="1">
      <alignment horizontal="center" vertical="center"/>
    </xf>
    <xf numFmtId="0" fontId="10" fillId="0" borderId="14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0" fillId="0" borderId="8" xfId="1" applyBorder="1" applyAlignment="1">
      <alignment horizontal="center" vertical="center"/>
    </xf>
    <xf numFmtId="0" fontId="10" fillId="0" borderId="17" xfId="1" applyBorder="1" applyAlignment="1">
      <alignment horizontal="center" vertical="center"/>
    </xf>
    <xf numFmtId="0" fontId="10" fillId="0" borderId="6" xfId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99FF99"/>
      <color rgb="FFD597FF"/>
      <color rgb="FFB95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925285</xdr:colOff>
      <xdr:row>8</xdr:row>
      <xdr:rowOff>136072</xdr:rowOff>
    </xdr:from>
    <xdr:to>
      <xdr:col>11</xdr:col>
      <xdr:colOff>544286</xdr:colOff>
      <xdr:row>8</xdr:row>
      <xdr:rowOff>149679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A8725F78-1F14-4CDD-B204-301C069E9614}"/>
            </a:ext>
          </a:extLst>
        </xdr:cNvPr>
        <xdr:cNvCxnSpPr/>
      </xdr:nvCxnSpPr>
      <xdr:spPr>
        <a:xfrm flipV="1">
          <a:off x="4880065" y="1599112"/>
          <a:ext cx="3589021" cy="136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421823</xdr:colOff>
      <xdr:row>10</xdr:row>
      <xdr:rowOff>133350</xdr:rowOff>
    </xdr:from>
    <xdr:to>
      <xdr:col>16</xdr:col>
      <xdr:colOff>314325</xdr:colOff>
      <xdr:row>11</xdr:row>
      <xdr:rowOff>163285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AE6ABAE-2DFA-4899-A527-475ACF8E3727}"/>
            </a:ext>
          </a:extLst>
        </xdr:cNvPr>
        <xdr:cNvCxnSpPr/>
      </xdr:nvCxnSpPr>
      <xdr:spPr>
        <a:xfrm flipH="1">
          <a:off x="10946948" y="2038350"/>
          <a:ext cx="2978602" cy="2204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367395</xdr:colOff>
      <xdr:row>10</xdr:row>
      <xdr:rowOff>13608</xdr:rowOff>
    </xdr:from>
    <xdr:to>
      <xdr:col>15</xdr:col>
      <xdr:colOff>272143</xdr:colOff>
      <xdr:row>19</xdr:row>
      <xdr:rowOff>176893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8B1099D-BE78-4CD5-B6D5-A6385A5F90AF}"/>
            </a:ext>
          </a:extLst>
        </xdr:cNvPr>
        <xdr:cNvCxnSpPr/>
      </xdr:nvCxnSpPr>
      <xdr:spPr>
        <a:xfrm>
          <a:off x="10730595" y="1842408"/>
          <a:ext cx="514348" cy="1809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6915-E290-4CB1-9939-0BDE2B055288}">
  <sheetPr>
    <tabColor theme="4"/>
  </sheetPr>
  <dimension ref="A5:BC137"/>
  <sheetViews>
    <sheetView zoomScale="85" zoomScaleNormal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M38" sqref="A38:AM39"/>
    </sheetView>
  </sheetViews>
  <sheetFormatPr defaultColWidth="8.875" defaultRowHeight="16.5" x14ac:dyDescent="0.3"/>
  <cols>
    <col min="1" max="1" width="3.75" style="11" bestFit="1" customWidth="1"/>
    <col min="2" max="2" width="10.125" style="11" bestFit="1" customWidth="1"/>
    <col min="3" max="3" width="5.875" style="185" bestFit="1" customWidth="1"/>
    <col min="4" max="4" width="10" style="11" bestFit="1" customWidth="1"/>
    <col min="5" max="5" width="24.5" style="4" bestFit="1" customWidth="1"/>
    <col min="6" max="6" width="9.125" style="4" bestFit="1" customWidth="1"/>
    <col min="7" max="7" width="10.25" style="4" bestFit="1" customWidth="1"/>
    <col min="8" max="8" width="12.125" style="4" bestFit="1" customWidth="1"/>
    <col min="9" max="9" width="8.5" style="4" bestFit="1" customWidth="1"/>
    <col min="10" max="10" width="11.75" style="4" bestFit="1" customWidth="1"/>
    <col min="11" max="11" width="8.875" style="4" bestFit="1" customWidth="1"/>
    <col min="12" max="12" width="7.375" style="4" bestFit="1" customWidth="1"/>
    <col min="13" max="14" width="8.375" style="4" bestFit="1" customWidth="1"/>
    <col min="15" max="15" width="9" style="4" bestFit="1" customWidth="1"/>
    <col min="16" max="16" width="6.5" style="4" bestFit="1" customWidth="1"/>
    <col min="17" max="17" width="5.375" style="4" bestFit="1" customWidth="1"/>
    <col min="18" max="18" width="8.75" style="4" bestFit="1" customWidth="1"/>
    <col min="19" max="19" width="7.375" style="4" bestFit="1" customWidth="1"/>
    <col min="20" max="20" width="4.625" style="4" bestFit="1" customWidth="1"/>
    <col min="21" max="21" width="6.625" style="4" bestFit="1" customWidth="1"/>
    <col min="22" max="22" width="8.875" style="4" bestFit="1" customWidth="1"/>
    <col min="23" max="23" width="6.5" style="4" bestFit="1" customWidth="1"/>
    <col min="24" max="25" width="10.5" style="4" bestFit="1" customWidth="1"/>
    <col min="26" max="26" width="6.75" style="4" bestFit="1" customWidth="1"/>
    <col min="27" max="27" width="9.5" style="4" bestFit="1" customWidth="1"/>
    <col min="28" max="28" width="6.5" style="4" bestFit="1" customWidth="1"/>
    <col min="29" max="29" width="6.625" style="4" bestFit="1" customWidth="1"/>
    <col min="30" max="30" width="6.5" style="4" bestFit="1" customWidth="1"/>
    <col min="31" max="31" width="7.75" style="4" bestFit="1" customWidth="1"/>
    <col min="32" max="32" width="11.625" style="4" bestFit="1" customWidth="1"/>
    <col min="33" max="33" width="8.375" style="4" bestFit="1" customWidth="1"/>
    <col min="34" max="34" width="7.625" style="4" bestFit="1" customWidth="1"/>
    <col min="35" max="35" width="11.625" style="4" bestFit="1" customWidth="1"/>
    <col min="36" max="36" width="8.375" style="4" bestFit="1" customWidth="1"/>
    <col min="37" max="37" width="7.375" style="4" bestFit="1" customWidth="1"/>
    <col min="38" max="38" width="10.25" style="4" bestFit="1" customWidth="1"/>
    <col min="39" max="39" width="7.375" style="4" bestFit="1" customWidth="1"/>
    <col min="40" max="40" width="10.25" style="4" bestFit="1" customWidth="1"/>
    <col min="41" max="41" width="13.875" style="4" bestFit="1" customWidth="1"/>
    <col min="42" max="42" width="13.75" style="4" bestFit="1" customWidth="1"/>
    <col min="43" max="43" width="6.5" style="4" bestFit="1" customWidth="1"/>
    <col min="44" max="44" width="6.125" style="4" bestFit="1" customWidth="1"/>
    <col min="45" max="45" width="9.25" style="4" bestFit="1" customWidth="1"/>
    <col min="46" max="46" width="6.75" style="4" bestFit="1" customWidth="1"/>
    <col min="47" max="47" width="9.5" style="4" bestFit="1" customWidth="1"/>
    <col min="48" max="50" width="6.875" style="4" bestFit="1" customWidth="1"/>
    <col min="51" max="51" width="7" style="4" bestFit="1" customWidth="1"/>
    <col min="52" max="52" width="5.75" style="4" bestFit="1" customWidth="1"/>
    <col min="53" max="53" width="17.75" style="4" bestFit="1" customWidth="1"/>
    <col min="54" max="55" width="4.875" style="4" bestFit="1" customWidth="1"/>
    <col min="56" max="16384" width="8.875" style="4"/>
  </cols>
  <sheetData>
    <row r="5" spans="1:55" x14ac:dyDescent="0.3">
      <c r="B5" s="11" t="s">
        <v>1552</v>
      </c>
      <c r="E5" s="4">
        <v>0</v>
      </c>
      <c r="F5" s="4">
        <f>SUM($E$7:E7)/8</f>
        <v>1</v>
      </c>
      <c r="G5" s="4">
        <f>SUM($E$7:F7)/8</f>
        <v>2</v>
      </c>
      <c r="H5" s="4">
        <f>SUM($E$7:G7)/8</f>
        <v>5</v>
      </c>
      <c r="I5" s="4">
        <f>SUM($E$7:H7)/8</f>
        <v>7</v>
      </c>
      <c r="J5" s="4">
        <f>SUM($E$7:I7)/8</f>
        <v>8</v>
      </c>
      <c r="K5" s="4">
        <f>SUM($E$7:J7)/8</f>
        <v>8.5</v>
      </c>
      <c r="L5" s="4">
        <f>SUM($E$7:K7)/8</f>
        <v>9</v>
      </c>
      <c r="M5" s="4">
        <f>SUM($E$7:L7)/8</f>
        <v>9.5</v>
      </c>
      <c r="N5" s="4">
        <f>SUM($E$7:M7)/8</f>
        <v>10</v>
      </c>
      <c r="O5" s="4">
        <f>SUM($E$7:N7)/8</f>
        <v>10.5</v>
      </c>
      <c r="P5" s="4">
        <f>SUM($E$7:O7)/8</f>
        <v>11</v>
      </c>
      <c r="Q5" s="4">
        <f>SUM($E$7:P7)/8</f>
        <v>14</v>
      </c>
      <c r="R5" s="4">
        <f>SUM($E$7:Q7)/8</f>
        <v>14.5</v>
      </c>
      <c r="S5" s="4">
        <f>SUM($E$7:R7)/8</f>
        <v>15</v>
      </c>
      <c r="T5" s="4">
        <f>SUM($E$7:S7)/8</f>
        <v>15.5</v>
      </c>
      <c r="U5" s="4">
        <f>SUM($E$7:T7)/8</f>
        <v>16</v>
      </c>
      <c r="V5" s="4">
        <f>SUM($E$7:U7)/8</f>
        <v>16.5</v>
      </c>
      <c r="W5" s="4">
        <f>SUM($E$7:V7)/8</f>
        <v>17</v>
      </c>
      <c r="X5" s="4">
        <f>SUM($E$7:W7)/8</f>
        <v>20</v>
      </c>
      <c r="Y5" s="4">
        <f>SUM($E$7:X7)/8</f>
        <v>20.5</v>
      </c>
      <c r="Z5" s="4">
        <f>SUM($E$7:Y7)/8</f>
        <v>21</v>
      </c>
      <c r="AA5" s="4">
        <f>SUM($E$7:Z7)/8</f>
        <v>21.5</v>
      </c>
      <c r="AB5" s="4">
        <f>SUM($E$7:AA7)/8</f>
        <v>22</v>
      </c>
      <c r="AC5" s="4">
        <f>SUM($E$7:AB7)/8</f>
        <v>23</v>
      </c>
      <c r="AD5" s="4">
        <f>SUM($E$7:AC7)/8</f>
        <v>24</v>
      </c>
      <c r="AE5" s="4">
        <f>SUM($E$7:AD7)/8</f>
        <v>25</v>
      </c>
      <c r="AF5" s="4">
        <f>SUM($E$7:AE7)/8</f>
        <v>25.5</v>
      </c>
      <c r="AG5" s="4">
        <f>SUM($E$7:AF7)/8</f>
        <v>26</v>
      </c>
      <c r="AH5" s="4">
        <f>SUM($E$7:AG7)/8</f>
        <v>29</v>
      </c>
      <c r="AI5" s="4">
        <f>SUM($E$7:AH7)/8</f>
        <v>29.5</v>
      </c>
      <c r="AJ5" s="4">
        <f>SUM($E$7:AI7)/8</f>
        <v>30</v>
      </c>
      <c r="AK5" s="4">
        <f>SUM($E$7:AJ7)/8</f>
        <v>33</v>
      </c>
      <c r="AL5" s="4">
        <f>SUM($E$7:AK7)/8</f>
        <v>33.5</v>
      </c>
      <c r="AM5" s="4">
        <f>SUM($E$7:AL7)/8</f>
        <v>34</v>
      </c>
      <c r="AN5" s="4">
        <f>SUM($E$7:AM7)/8</f>
        <v>34.5</v>
      </c>
      <c r="AO5" s="4">
        <f>SUM($E$7:AN7)/8</f>
        <v>35</v>
      </c>
      <c r="AP5" s="4">
        <f>SUM($E$7:AO7)/8</f>
        <v>35.5</v>
      </c>
      <c r="AQ5" s="4">
        <f>SUM($E$7:AP7)/8</f>
        <v>36</v>
      </c>
      <c r="AR5" s="4">
        <f>SUM($E$7:AQ7)/8</f>
        <v>37</v>
      </c>
      <c r="AS5" s="4">
        <f>SUM($E$7:AR7)/8</f>
        <v>37.25</v>
      </c>
      <c r="AT5" s="4">
        <f>SUM($E$7:AS7)/8</f>
        <v>37.5</v>
      </c>
      <c r="AU5" s="4">
        <f>SUM($E$7:AT7)/8</f>
        <v>38</v>
      </c>
      <c r="AV5" s="4">
        <f>SUM($E$7:AU7)/8</f>
        <v>40</v>
      </c>
      <c r="AW5" s="4">
        <f>SUM($E$7:AV7)/8</f>
        <v>42</v>
      </c>
      <c r="AX5" s="4">
        <f>SUM($E$7:AW7)/8</f>
        <v>44</v>
      </c>
      <c r="AY5" s="4">
        <f>SUM($E$7:AX7)/8</f>
        <v>45</v>
      </c>
      <c r="AZ5" s="4">
        <f>SUM($E$7:AY7)/8</f>
        <v>45.5</v>
      </c>
      <c r="BA5" s="4">
        <f>SUM($E$7:AZ7)/8</f>
        <v>46</v>
      </c>
      <c r="BB5" s="4">
        <f>SUM($E$7:BA7)/8</f>
        <v>46.5</v>
      </c>
    </row>
    <row r="6" spans="1:55" x14ac:dyDescent="0.3">
      <c r="B6" s="16" t="s">
        <v>348</v>
      </c>
      <c r="C6" s="121"/>
      <c r="D6" s="16"/>
      <c r="E6" s="4">
        <f>SUM(E7:I7)</f>
        <v>64</v>
      </c>
      <c r="F6" s="278"/>
      <c r="G6" s="278"/>
      <c r="H6" s="278"/>
      <c r="I6" s="278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BA6" s="115"/>
    </row>
    <row r="7" spans="1:55" s="19" customFormat="1" ht="17.25" thickBot="1" x14ac:dyDescent="0.35">
      <c r="A7" s="18"/>
      <c r="B7" s="20" t="s">
        <v>355</v>
      </c>
      <c r="C7" s="122"/>
      <c r="D7" s="20"/>
      <c r="E7" s="19">
        <v>8</v>
      </c>
      <c r="F7" s="19">
        <v>8</v>
      </c>
      <c r="G7" s="19">
        <v>24</v>
      </c>
      <c r="H7" s="19">
        <v>16</v>
      </c>
      <c r="I7" s="19">
        <v>8</v>
      </c>
      <c r="J7" s="19">
        <v>4</v>
      </c>
      <c r="K7" s="19">
        <v>4</v>
      </c>
      <c r="L7" s="119">
        <v>4</v>
      </c>
      <c r="M7" s="119">
        <v>4</v>
      </c>
      <c r="N7" s="119">
        <v>4</v>
      </c>
      <c r="O7" s="119">
        <v>4</v>
      </c>
      <c r="P7" s="119">
        <v>24</v>
      </c>
      <c r="Q7" s="19">
        <v>4</v>
      </c>
      <c r="R7" s="19">
        <v>4</v>
      </c>
      <c r="S7" s="119">
        <v>4</v>
      </c>
      <c r="T7" s="280">
        <v>4</v>
      </c>
      <c r="U7" s="119">
        <v>4</v>
      </c>
      <c r="V7" s="119">
        <v>4</v>
      </c>
      <c r="W7" s="119">
        <v>24</v>
      </c>
      <c r="X7" s="19">
        <v>4</v>
      </c>
      <c r="Y7" s="19">
        <v>4</v>
      </c>
      <c r="Z7" s="19">
        <v>4</v>
      </c>
      <c r="AA7" s="19">
        <v>4</v>
      </c>
      <c r="AB7" s="19">
        <v>8</v>
      </c>
      <c r="AC7" s="19">
        <v>8</v>
      </c>
      <c r="AD7" s="19">
        <v>8</v>
      </c>
      <c r="AE7" s="19">
        <v>4</v>
      </c>
      <c r="AF7" s="19">
        <v>4</v>
      </c>
      <c r="AG7" s="279">
        <v>24</v>
      </c>
      <c r="AH7" s="19">
        <v>4</v>
      </c>
      <c r="AI7" s="125">
        <v>4</v>
      </c>
      <c r="AJ7" s="125">
        <v>24</v>
      </c>
      <c r="AK7" s="125">
        <v>4</v>
      </c>
      <c r="AL7" s="125">
        <v>4</v>
      </c>
      <c r="AM7" s="125">
        <v>4</v>
      </c>
      <c r="AN7" s="125">
        <v>4</v>
      </c>
      <c r="AO7" s="125">
        <v>4</v>
      </c>
      <c r="AP7" s="125">
        <v>4</v>
      </c>
      <c r="AQ7" s="125">
        <v>8</v>
      </c>
      <c r="AR7" s="125">
        <v>2</v>
      </c>
      <c r="AS7" s="125">
        <v>2</v>
      </c>
      <c r="AT7" s="279">
        <v>4</v>
      </c>
      <c r="AU7" s="19">
        <v>16</v>
      </c>
      <c r="AV7" s="279">
        <v>16</v>
      </c>
      <c r="AW7" s="19">
        <v>16</v>
      </c>
      <c r="AX7" s="279">
        <v>8</v>
      </c>
      <c r="AY7" s="19">
        <v>4</v>
      </c>
      <c r="AZ7" s="19">
        <v>4</v>
      </c>
      <c r="BA7" s="126">
        <v>4</v>
      </c>
      <c r="BB7" s="19">
        <f>SUM(E7:BA7)</f>
        <v>372</v>
      </c>
      <c r="BC7" s="19">
        <f>BB7-64</f>
        <v>308</v>
      </c>
    </row>
    <row r="8" spans="1:55" x14ac:dyDescent="0.3">
      <c r="B8" s="124"/>
      <c r="C8" s="181"/>
      <c r="D8" s="124"/>
      <c r="E8" s="297" t="s">
        <v>344</v>
      </c>
      <c r="F8" s="298"/>
      <c r="G8" s="298"/>
      <c r="H8" s="298"/>
      <c r="I8" s="299"/>
      <c r="J8" s="300" t="s">
        <v>1140</v>
      </c>
      <c r="K8" s="301"/>
      <c r="L8" s="300" t="s">
        <v>125</v>
      </c>
      <c r="M8" s="302"/>
      <c r="N8" s="303"/>
      <c r="O8" s="303"/>
      <c r="P8" s="301"/>
      <c r="Q8" s="302" t="s">
        <v>136</v>
      </c>
      <c r="R8" s="304"/>
      <c r="S8" s="300" t="s">
        <v>143</v>
      </c>
      <c r="T8" s="302"/>
      <c r="U8" s="303"/>
      <c r="V8" s="303"/>
      <c r="W8" s="301"/>
      <c r="X8" s="191"/>
      <c r="Y8" s="191"/>
      <c r="Z8" s="300" t="s">
        <v>154</v>
      </c>
      <c r="AA8" s="303"/>
      <c r="AB8" s="301"/>
      <c r="AC8" s="144" t="s">
        <v>161</v>
      </c>
      <c r="AD8" s="144" t="s">
        <v>162</v>
      </c>
      <c r="AE8" s="294" t="s">
        <v>166</v>
      </c>
      <c r="AF8" s="295"/>
      <c r="AG8" s="296"/>
      <c r="AH8" s="294" t="s">
        <v>88</v>
      </c>
      <c r="AI8" s="295"/>
      <c r="AJ8" s="296"/>
      <c r="AK8" s="294" t="s">
        <v>165</v>
      </c>
      <c r="AL8" s="296"/>
      <c r="AM8" s="294" t="s">
        <v>175</v>
      </c>
      <c r="AN8" s="296"/>
      <c r="AO8" s="307" t="s">
        <v>1087</v>
      </c>
      <c r="AP8" s="308"/>
      <c r="AQ8" s="309"/>
      <c r="AR8" s="194" t="s">
        <v>1131</v>
      </c>
      <c r="AS8" s="174" t="s">
        <v>1511</v>
      </c>
      <c r="AT8" s="191"/>
      <c r="AU8" s="182" t="s">
        <v>238</v>
      </c>
      <c r="AV8" s="292" t="s">
        <v>186</v>
      </c>
      <c r="AW8" s="293"/>
      <c r="AX8" s="211"/>
      <c r="AY8" s="173" t="s">
        <v>241</v>
      </c>
      <c r="AZ8" s="208" t="s">
        <v>242</v>
      </c>
      <c r="BA8" s="210" t="s">
        <v>1145</v>
      </c>
    </row>
    <row r="9" spans="1:55" ht="17.25" thickBot="1" x14ac:dyDescent="0.35">
      <c r="B9" s="124"/>
      <c r="C9" s="305"/>
      <c r="D9" s="306"/>
      <c r="E9" s="96" t="s">
        <v>60</v>
      </c>
      <c r="F9" s="97" t="s">
        <v>61</v>
      </c>
      <c r="G9" s="97" t="s">
        <v>62</v>
      </c>
      <c r="H9" s="97" t="s">
        <v>63</v>
      </c>
      <c r="I9" s="98" t="s">
        <v>64</v>
      </c>
      <c r="J9" s="73" t="s">
        <v>164</v>
      </c>
      <c r="K9" s="74" t="s">
        <v>124</v>
      </c>
      <c r="L9" s="159" t="s">
        <v>126</v>
      </c>
      <c r="M9" s="6" t="s">
        <v>164</v>
      </c>
      <c r="N9" s="6" t="s">
        <v>144</v>
      </c>
      <c r="O9" s="6" t="s">
        <v>1128</v>
      </c>
      <c r="P9" s="74" t="s">
        <v>110</v>
      </c>
      <c r="Q9" s="8" t="s">
        <v>164</v>
      </c>
      <c r="R9" s="7" t="s">
        <v>137</v>
      </c>
      <c r="S9" s="159" t="s">
        <v>152</v>
      </c>
      <c r="T9" s="6" t="s">
        <v>164</v>
      </c>
      <c r="U9" s="6" t="s">
        <v>144</v>
      </c>
      <c r="V9" s="6" t="s">
        <v>1129</v>
      </c>
      <c r="W9" s="74" t="s">
        <v>153</v>
      </c>
      <c r="X9" s="82" t="s">
        <v>127</v>
      </c>
      <c r="Y9" s="82" t="s">
        <v>128</v>
      </c>
      <c r="Z9" s="73" t="s">
        <v>164</v>
      </c>
      <c r="AA9" s="6" t="s">
        <v>1092</v>
      </c>
      <c r="AB9" s="74" t="s">
        <v>160</v>
      </c>
      <c r="AC9" s="92"/>
      <c r="AD9" s="92"/>
      <c r="AE9" s="73" t="s">
        <v>167</v>
      </c>
      <c r="AF9" s="6" t="s">
        <v>168</v>
      </c>
      <c r="AG9" s="109" t="s">
        <v>1143</v>
      </c>
      <c r="AH9" s="73" t="s">
        <v>167</v>
      </c>
      <c r="AI9" s="6" t="s">
        <v>176</v>
      </c>
      <c r="AJ9" s="109" t="s">
        <v>1144</v>
      </c>
      <c r="AK9" s="73" t="s">
        <v>167</v>
      </c>
      <c r="AL9" s="74" t="s">
        <v>1119</v>
      </c>
      <c r="AM9" s="73" t="s">
        <v>167</v>
      </c>
      <c r="AN9" s="74" t="s">
        <v>1119</v>
      </c>
      <c r="AO9" s="195" t="s">
        <v>1075</v>
      </c>
      <c r="AP9" s="24" t="s">
        <v>1080</v>
      </c>
      <c r="AQ9" s="80" t="s">
        <v>1198</v>
      </c>
      <c r="AR9" s="108"/>
      <c r="AS9" s="172"/>
      <c r="AT9" s="82" t="s">
        <v>230</v>
      </c>
      <c r="AU9" s="86"/>
      <c r="AV9" s="212" t="s">
        <v>187</v>
      </c>
      <c r="AW9" s="213" t="s">
        <v>188</v>
      </c>
      <c r="AX9" s="214" t="s">
        <v>189</v>
      </c>
      <c r="AY9" s="171" t="s">
        <v>241</v>
      </c>
      <c r="AZ9" s="209" t="s">
        <v>242</v>
      </c>
      <c r="BA9" s="112" t="s">
        <v>1146</v>
      </c>
    </row>
    <row r="10" spans="1:55" x14ac:dyDescent="0.3">
      <c r="A10" s="11">
        <v>0</v>
      </c>
      <c r="B10" s="127">
        <v>0</v>
      </c>
      <c r="C10" s="128" t="s">
        <v>1199</v>
      </c>
      <c r="D10" s="120" t="s">
        <v>1199</v>
      </c>
      <c r="E10" s="117" t="s">
        <v>0</v>
      </c>
      <c r="F10" s="99" t="s">
        <v>345</v>
      </c>
      <c r="G10" s="100"/>
      <c r="H10" s="100"/>
      <c r="I10" s="101"/>
      <c r="J10" s="285" t="s">
        <v>70</v>
      </c>
      <c r="K10" s="156" t="s">
        <v>103</v>
      </c>
      <c r="L10" s="160" t="s">
        <v>129</v>
      </c>
      <c r="M10" s="5" t="s">
        <v>129</v>
      </c>
      <c r="N10" s="5" t="s">
        <v>75</v>
      </c>
      <c r="O10" s="2" t="s">
        <v>111</v>
      </c>
      <c r="P10" s="75"/>
      <c r="Q10" s="286" t="s">
        <v>72</v>
      </c>
      <c r="R10" s="148" t="s">
        <v>136</v>
      </c>
      <c r="S10" s="160" t="s">
        <v>145</v>
      </c>
      <c r="T10" s="5" t="s">
        <v>145</v>
      </c>
      <c r="U10" s="5" t="s">
        <v>75</v>
      </c>
      <c r="V10" s="2" t="s">
        <v>111</v>
      </c>
      <c r="W10" s="75"/>
      <c r="X10" s="150" t="s">
        <v>1095</v>
      </c>
      <c r="Y10" s="91" t="s">
        <v>1103</v>
      </c>
      <c r="Z10" s="285" t="s">
        <v>74</v>
      </c>
      <c r="AA10" s="23" t="s">
        <v>154</v>
      </c>
      <c r="AB10" s="79"/>
      <c r="AC10" s="93" t="s">
        <v>161</v>
      </c>
      <c r="AD10" s="93" t="s">
        <v>1130</v>
      </c>
      <c r="AE10" s="77" t="s">
        <v>1194</v>
      </c>
      <c r="AF10" s="1" t="s">
        <v>166</v>
      </c>
      <c r="AG10" s="76"/>
      <c r="AH10" s="77" t="s">
        <v>1195</v>
      </c>
      <c r="AI10" s="1" t="s">
        <v>88</v>
      </c>
      <c r="AJ10" s="76"/>
      <c r="AK10" s="10" t="s">
        <v>166</v>
      </c>
      <c r="AL10" s="75" t="s">
        <v>1111</v>
      </c>
      <c r="AM10" s="10" t="s">
        <v>88</v>
      </c>
      <c r="AN10" s="81" t="s">
        <v>1120</v>
      </c>
      <c r="AO10" s="67" t="s">
        <v>1077</v>
      </c>
      <c r="AP10" s="17" t="s">
        <v>1081</v>
      </c>
      <c r="AQ10" s="90"/>
      <c r="AR10" s="69" t="s">
        <v>1131</v>
      </c>
      <c r="AS10" s="220" t="s">
        <v>1511</v>
      </c>
      <c r="AT10" s="83" t="s">
        <v>231</v>
      </c>
      <c r="AU10" s="85" t="s">
        <v>239</v>
      </c>
      <c r="AV10" s="215" t="s">
        <v>190</v>
      </c>
      <c r="AW10" s="216" t="s">
        <v>191</v>
      </c>
      <c r="AX10" s="217" t="s">
        <v>192</v>
      </c>
      <c r="AY10" s="170" t="s">
        <v>243</v>
      </c>
      <c r="AZ10" s="170" t="s">
        <v>244</v>
      </c>
      <c r="BA10" s="113" t="s">
        <v>1147</v>
      </c>
    </row>
    <row r="11" spans="1:55" x14ac:dyDescent="0.3">
      <c r="A11" s="11">
        <v>1</v>
      </c>
      <c r="B11" s="127">
        <v>1</v>
      </c>
      <c r="C11" s="128" t="s">
        <v>1199</v>
      </c>
      <c r="D11" s="120" t="s">
        <v>1200</v>
      </c>
      <c r="E11" s="69" t="s">
        <v>1187</v>
      </c>
      <c r="F11" s="15" t="s">
        <v>347</v>
      </c>
      <c r="G11" s="5"/>
      <c r="H11" s="5"/>
      <c r="I11" s="70"/>
      <c r="J11" s="69" t="s">
        <v>75</v>
      </c>
      <c r="K11" s="75">
        <v>0</v>
      </c>
      <c r="L11" s="160" t="s">
        <v>130</v>
      </c>
      <c r="M11" s="5" t="s">
        <v>130</v>
      </c>
      <c r="N11" s="5" t="s">
        <v>76</v>
      </c>
      <c r="O11" s="2">
        <v>0</v>
      </c>
      <c r="P11" s="75"/>
      <c r="Q11" s="68" t="s">
        <v>75</v>
      </c>
      <c r="R11" s="146">
        <v>0</v>
      </c>
      <c r="S11" s="160" t="s">
        <v>146</v>
      </c>
      <c r="T11" s="5" t="s">
        <v>146</v>
      </c>
      <c r="U11" s="5" t="s">
        <v>76</v>
      </c>
      <c r="V11" s="2">
        <v>0</v>
      </c>
      <c r="W11" s="75"/>
      <c r="X11" s="272" t="s">
        <v>1097</v>
      </c>
      <c r="Y11" s="273" t="s">
        <v>1106</v>
      </c>
      <c r="Z11" s="198" t="s">
        <v>160</v>
      </c>
      <c r="AA11" s="2">
        <v>0</v>
      </c>
      <c r="AB11" s="70"/>
      <c r="AC11" s="93" t="s">
        <v>129</v>
      </c>
      <c r="AD11" s="93" t="s">
        <v>145</v>
      </c>
      <c r="AE11" s="77" t="s">
        <v>89</v>
      </c>
      <c r="AF11" s="281" t="s">
        <v>1239</v>
      </c>
      <c r="AG11" s="75"/>
      <c r="AH11" s="77" t="s">
        <v>93</v>
      </c>
      <c r="AI11" s="281" t="s">
        <v>1240</v>
      </c>
      <c r="AJ11" s="193"/>
      <c r="AK11" s="4" t="s">
        <v>1194</v>
      </c>
      <c r="AL11" s="75" t="s">
        <v>1112</v>
      </c>
      <c r="AM11" s="69" t="s">
        <v>1195</v>
      </c>
      <c r="AN11" s="88" t="s">
        <v>1121</v>
      </c>
      <c r="AO11" s="68" t="s">
        <v>1076</v>
      </c>
      <c r="AP11" s="5" t="s">
        <v>1082</v>
      </c>
      <c r="AQ11" s="70"/>
      <c r="AR11" s="106" t="s">
        <v>1086</v>
      </c>
      <c r="AS11" s="220" t="s">
        <v>1241</v>
      </c>
      <c r="AT11" s="84" t="s">
        <v>232</v>
      </c>
      <c r="AU11" s="85" t="s">
        <v>240</v>
      </c>
      <c r="AV11" s="218" t="s">
        <v>193</v>
      </c>
      <c r="AW11" s="219" t="s">
        <v>194</v>
      </c>
      <c r="AX11" s="89" t="s">
        <v>195</v>
      </c>
      <c r="AY11" s="87" t="s">
        <v>245</v>
      </c>
      <c r="AZ11" s="87" t="s">
        <v>246</v>
      </c>
      <c r="BA11" s="113" t="s">
        <v>1148</v>
      </c>
    </row>
    <row r="12" spans="1:55" x14ac:dyDescent="0.3">
      <c r="A12" s="11">
        <v>2</v>
      </c>
      <c r="B12" s="127">
        <v>2</v>
      </c>
      <c r="C12" s="128" t="s">
        <v>1199</v>
      </c>
      <c r="D12" s="120" t="s">
        <v>1201</v>
      </c>
      <c r="E12" s="118" t="s">
        <v>1184</v>
      </c>
      <c r="F12" s="15" t="s">
        <v>346</v>
      </c>
      <c r="G12" s="5"/>
      <c r="H12" s="5"/>
      <c r="I12" s="70"/>
      <c r="J12" s="69" t="s">
        <v>76</v>
      </c>
      <c r="K12" s="75" t="s">
        <v>104</v>
      </c>
      <c r="L12" s="160" t="s">
        <v>131</v>
      </c>
      <c r="M12" s="5" t="s">
        <v>131</v>
      </c>
      <c r="N12" s="5" t="s">
        <v>77</v>
      </c>
      <c r="O12" s="2" t="s">
        <v>112</v>
      </c>
      <c r="P12" s="75"/>
      <c r="Q12" s="68" t="s">
        <v>76</v>
      </c>
      <c r="R12" s="146" t="s">
        <v>138</v>
      </c>
      <c r="S12" s="160" t="s">
        <v>147</v>
      </c>
      <c r="T12" s="5" t="s">
        <v>147</v>
      </c>
      <c r="U12" s="5" t="s">
        <v>77</v>
      </c>
      <c r="V12" s="2" t="s">
        <v>112</v>
      </c>
      <c r="W12" s="75"/>
      <c r="X12" s="272" t="s">
        <v>1096</v>
      </c>
      <c r="Y12" s="273" t="s">
        <v>1104</v>
      </c>
      <c r="Z12" s="198" t="s">
        <v>67</v>
      </c>
      <c r="AA12" s="2" t="s">
        <v>155</v>
      </c>
      <c r="AB12" s="70"/>
      <c r="AC12" s="93" t="s">
        <v>130</v>
      </c>
      <c r="AD12" s="93" t="s">
        <v>146</v>
      </c>
      <c r="AE12" s="77" t="s">
        <v>90</v>
      </c>
      <c r="AF12" s="282" t="s">
        <v>1553</v>
      </c>
      <c r="AG12" s="75"/>
      <c r="AH12" s="77" t="s">
        <v>94</v>
      </c>
      <c r="AI12" s="282" t="s">
        <v>1462</v>
      </c>
      <c r="AJ12" s="193"/>
      <c r="AK12" s="10" t="s">
        <v>89</v>
      </c>
      <c r="AL12" s="75" t="s">
        <v>1113</v>
      </c>
      <c r="AM12" s="10" t="s">
        <v>93</v>
      </c>
      <c r="AN12" s="88" t="s">
        <v>1122</v>
      </c>
      <c r="AO12" s="68" t="s">
        <v>1078</v>
      </c>
      <c r="AP12" s="5" t="s">
        <v>1083</v>
      </c>
      <c r="AQ12" s="70"/>
      <c r="AR12" s="107" t="s">
        <v>1085</v>
      </c>
      <c r="AS12" s="220" t="s">
        <v>1236</v>
      </c>
      <c r="AT12" s="84" t="s">
        <v>233</v>
      </c>
      <c r="AU12" s="259" t="s">
        <v>1469</v>
      </c>
      <c r="AV12" s="218" t="s">
        <v>196</v>
      </c>
      <c r="AW12" s="219" t="s">
        <v>197</v>
      </c>
      <c r="AX12" s="89" t="s">
        <v>198</v>
      </c>
      <c r="AY12" s="87" t="s">
        <v>247</v>
      </c>
      <c r="AZ12" s="87" t="s">
        <v>248</v>
      </c>
      <c r="BA12" s="87" t="s">
        <v>1149</v>
      </c>
    </row>
    <row r="13" spans="1:55" x14ac:dyDescent="0.3">
      <c r="A13" s="11">
        <v>3</v>
      </c>
      <c r="B13" s="127">
        <v>3</v>
      </c>
      <c r="C13" s="128" t="s">
        <v>1199</v>
      </c>
      <c r="D13" s="120" t="s">
        <v>1202</v>
      </c>
      <c r="E13" s="69" t="s">
        <v>1188</v>
      </c>
      <c r="F13" s="68"/>
      <c r="G13" s="5"/>
      <c r="H13" s="5"/>
      <c r="I13" s="70"/>
      <c r="J13" s="69" t="s">
        <v>77</v>
      </c>
      <c r="K13" s="75" t="s">
        <v>105</v>
      </c>
      <c r="L13" s="160" t="s">
        <v>132</v>
      </c>
      <c r="M13" s="5" t="s">
        <v>132</v>
      </c>
      <c r="N13" s="5" t="s">
        <v>78</v>
      </c>
      <c r="O13" s="2" t="s">
        <v>113</v>
      </c>
      <c r="P13" s="75"/>
      <c r="Q13" s="68" t="s">
        <v>77</v>
      </c>
      <c r="R13" s="146" t="s">
        <v>139</v>
      </c>
      <c r="S13" s="160" t="s">
        <v>148</v>
      </c>
      <c r="T13" s="5" t="s">
        <v>148</v>
      </c>
      <c r="U13" s="5" t="s">
        <v>78</v>
      </c>
      <c r="V13" s="2" t="s">
        <v>113</v>
      </c>
      <c r="W13" s="75"/>
      <c r="X13" s="88" t="s">
        <v>1098</v>
      </c>
      <c r="Y13" s="84" t="s">
        <v>1107</v>
      </c>
      <c r="Z13" s="69"/>
      <c r="AA13" s="2" t="s">
        <v>156</v>
      </c>
      <c r="AB13" s="70"/>
      <c r="AC13" s="93" t="s">
        <v>131</v>
      </c>
      <c r="AD13" s="93" t="s">
        <v>147</v>
      </c>
      <c r="AE13" s="77" t="s">
        <v>91</v>
      </c>
      <c r="AF13" s="281" t="s">
        <v>1464</v>
      </c>
      <c r="AG13" s="75"/>
      <c r="AH13" s="77" t="s">
        <v>95</v>
      </c>
      <c r="AI13" s="281" t="s">
        <v>1461</v>
      </c>
      <c r="AJ13" s="193"/>
      <c r="AK13" s="10" t="s">
        <v>90</v>
      </c>
      <c r="AL13" s="75" t="s">
        <v>1114</v>
      </c>
      <c r="AM13" s="10" t="s">
        <v>94</v>
      </c>
      <c r="AN13" s="88" t="s">
        <v>1123</v>
      </c>
      <c r="AO13" s="68" t="s">
        <v>1215</v>
      </c>
      <c r="AP13" s="5" t="s">
        <v>1216</v>
      </c>
      <c r="AQ13" s="70"/>
      <c r="AR13" s="107"/>
      <c r="AS13" s="21"/>
      <c r="AT13" s="84" t="s">
        <v>234</v>
      </c>
      <c r="AU13" s="259" t="s">
        <v>1470</v>
      </c>
      <c r="AV13" s="218" t="s">
        <v>199</v>
      </c>
      <c r="AW13" s="219" t="s">
        <v>200</v>
      </c>
      <c r="AX13" s="89" t="s">
        <v>201</v>
      </c>
      <c r="AY13" s="87" t="s">
        <v>249</v>
      </c>
      <c r="AZ13" s="87" t="s">
        <v>250</v>
      </c>
      <c r="BA13" s="84" t="s">
        <v>1150</v>
      </c>
    </row>
    <row r="14" spans="1:55" x14ac:dyDescent="0.3">
      <c r="A14" s="11">
        <v>4</v>
      </c>
      <c r="B14" s="127">
        <v>4</v>
      </c>
      <c r="C14" s="128" t="s">
        <v>1199</v>
      </c>
      <c r="D14" s="120" t="s">
        <v>1203</v>
      </c>
      <c r="E14" s="69" t="s">
        <v>1190</v>
      </c>
      <c r="F14" s="68"/>
      <c r="G14" s="5"/>
      <c r="H14" s="5"/>
      <c r="I14" s="70"/>
      <c r="J14" s="69" t="s">
        <v>78</v>
      </c>
      <c r="K14" s="75" t="s">
        <v>106</v>
      </c>
      <c r="L14" s="160" t="s">
        <v>133</v>
      </c>
      <c r="M14" s="5" t="s">
        <v>133</v>
      </c>
      <c r="N14" s="5" t="s">
        <v>79</v>
      </c>
      <c r="O14" s="2" t="s">
        <v>114</v>
      </c>
      <c r="P14" s="75"/>
      <c r="Q14" s="68" t="s">
        <v>78</v>
      </c>
      <c r="R14" s="146" t="s">
        <v>140</v>
      </c>
      <c r="S14" s="160" t="s">
        <v>149</v>
      </c>
      <c r="T14" s="5" t="s">
        <v>149</v>
      </c>
      <c r="U14" s="5" t="s">
        <v>79</v>
      </c>
      <c r="V14" s="2" t="s">
        <v>114</v>
      </c>
      <c r="W14" s="75"/>
      <c r="X14" s="88" t="s">
        <v>1099</v>
      </c>
      <c r="Y14" s="84" t="s">
        <v>1108</v>
      </c>
      <c r="Z14" s="69"/>
      <c r="AA14" s="2" t="s">
        <v>157</v>
      </c>
      <c r="AB14" s="70"/>
      <c r="AC14" s="93" t="s">
        <v>132</v>
      </c>
      <c r="AD14" s="93" t="s">
        <v>148</v>
      </c>
      <c r="AE14" s="77" t="s">
        <v>92</v>
      </c>
      <c r="AF14" s="281" t="s">
        <v>1465</v>
      </c>
      <c r="AG14" s="75"/>
      <c r="AH14" s="77" t="s">
        <v>96</v>
      </c>
      <c r="AI14" s="281" t="s">
        <v>1460</v>
      </c>
      <c r="AJ14" s="193"/>
      <c r="AK14" s="10" t="s">
        <v>91</v>
      </c>
      <c r="AL14" s="75" t="s">
        <v>1115</v>
      </c>
      <c r="AM14" s="10" t="s">
        <v>95</v>
      </c>
      <c r="AN14" s="88" t="s">
        <v>1124</v>
      </c>
      <c r="AO14" s="68" t="s">
        <v>1079</v>
      </c>
      <c r="AP14" s="5" t="s">
        <v>1084</v>
      </c>
      <c r="AQ14" s="70"/>
      <c r="AR14" s="107"/>
      <c r="AS14" s="70"/>
      <c r="AT14" s="84" t="s">
        <v>235</v>
      </c>
      <c r="AU14" s="93"/>
      <c r="AV14" s="218" t="s">
        <v>202</v>
      </c>
      <c r="AW14" s="219" t="s">
        <v>203</v>
      </c>
      <c r="AX14" s="89" t="s">
        <v>204</v>
      </c>
      <c r="AY14" s="87" t="s">
        <v>251</v>
      </c>
      <c r="AZ14" s="87" t="s">
        <v>252</v>
      </c>
      <c r="BA14" s="87"/>
    </row>
    <row r="15" spans="1:55" x14ac:dyDescent="0.3">
      <c r="A15" s="11">
        <v>5</v>
      </c>
      <c r="B15" s="127">
        <v>5</v>
      </c>
      <c r="C15" s="128" t="s">
        <v>1199</v>
      </c>
      <c r="D15" s="120" t="s">
        <v>1204</v>
      </c>
      <c r="E15" s="134"/>
      <c r="F15" s="68"/>
      <c r="G15" s="5"/>
      <c r="H15" s="5"/>
      <c r="I15" s="70"/>
      <c r="J15" s="69" t="s">
        <v>79</v>
      </c>
      <c r="K15" s="75" t="s">
        <v>107</v>
      </c>
      <c r="L15" s="160" t="s">
        <v>134</v>
      </c>
      <c r="M15" s="5" t="s">
        <v>134</v>
      </c>
      <c r="N15" s="5" t="s">
        <v>80</v>
      </c>
      <c r="O15" s="2" t="s">
        <v>115</v>
      </c>
      <c r="P15" s="75"/>
      <c r="Q15" s="68" t="s">
        <v>79</v>
      </c>
      <c r="R15" s="146" t="s">
        <v>141</v>
      </c>
      <c r="S15" s="160" t="s">
        <v>150</v>
      </c>
      <c r="T15" s="5" t="s">
        <v>150</v>
      </c>
      <c r="U15" s="5" t="s">
        <v>80</v>
      </c>
      <c r="V15" s="2" t="s">
        <v>115</v>
      </c>
      <c r="W15" s="75"/>
      <c r="X15" s="88" t="s">
        <v>1100</v>
      </c>
      <c r="Y15" s="84" t="s">
        <v>1105</v>
      </c>
      <c r="Z15" s="69"/>
      <c r="AA15" s="2" t="s">
        <v>158</v>
      </c>
      <c r="AB15" s="70"/>
      <c r="AC15" s="93" t="s">
        <v>133</v>
      </c>
      <c r="AD15" s="93" t="s">
        <v>149</v>
      </c>
      <c r="AE15" s="77" t="s">
        <v>97</v>
      </c>
      <c r="AF15" s="281" t="s">
        <v>173</v>
      </c>
      <c r="AG15" s="75"/>
      <c r="AH15" s="77" t="s">
        <v>98</v>
      </c>
      <c r="AI15" s="281" t="s">
        <v>180</v>
      </c>
      <c r="AJ15" s="193"/>
      <c r="AK15" s="10" t="s">
        <v>92</v>
      </c>
      <c r="AL15" s="75" t="s">
        <v>1116</v>
      </c>
      <c r="AM15" s="10" t="s">
        <v>96</v>
      </c>
      <c r="AN15" s="88" t="s">
        <v>1125</v>
      </c>
      <c r="AO15" s="68" t="s">
        <v>1217</v>
      </c>
      <c r="AP15" s="5" t="s">
        <v>1218</v>
      </c>
      <c r="AQ15" s="70"/>
      <c r="AR15" s="107"/>
      <c r="AS15" s="70"/>
      <c r="AT15" s="84" t="s">
        <v>236</v>
      </c>
      <c r="AV15" s="218" t="s">
        <v>205</v>
      </c>
      <c r="AW15" s="219" t="s">
        <v>206</v>
      </c>
      <c r="AX15" s="89" t="s">
        <v>207</v>
      </c>
      <c r="AY15" s="87" t="s">
        <v>253</v>
      </c>
      <c r="AZ15" s="87" t="s">
        <v>254</v>
      </c>
      <c r="BA15" s="114"/>
    </row>
    <row r="16" spans="1:55" x14ac:dyDescent="0.3">
      <c r="A16" s="11">
        <v>6</v>
      </c>
      <c r="B16" s="127">
        <v>6</v>
      </c>
      <c r="C16" s="128" t="s">
        <v>1199</v>
      </c>
      <c r="D16" s="120" t="s">
        <v>1205</v>
      </c>
      <c r="E16" s="69" t="s">
        <v>1189</v>
      </c>
      <c r="F16" s="68"/>
      <c r="G16" s="5"/>
      <c r="H16" s="5"/>
      <c r="I16" s="70"/>
      <c r="J16" s="69" t="s">
        <v>80</v>
      </c>
      <c r="K16" s="75" t="s">
        <v>108</v>
      </c>
      <c r="L16" s="160" t="s">
        <v>135</v>
      </c>
      <c r="M16" s="5" t="s">
        <v>135</v>
      </c>
      <c r="N16" s="5" t="s">
        <v>1235</v>
      </c>
      <c r="O16" s="1" t="s">
        <v>116</v>
      </c>
      <c r="P16" s="76"/>
      <c r="Q16" s="68" t="s">
        <v>80</v>
      </c>
      <c r="R16" s="146" t="s">
        <v>142</v>
      </c>
      <c r="S16" s="160" t="s">
        <v>151</v>
      </c>
      <c r="T16" s="5" t="s">
        <v>151</v>
      </c>
      <c r="U16" s="5" t="s">
        <v>1235</v>
      </c>
      <c r="V16" s="1" t="s">
        <v>116</v>
      </c>
      <c r="W16" s="76"/>
      <c r="X16" s="89" t="s">
        <v>1101</v>
      </c>
      <c r="Y16" s="85" t="s">
        <v>1109</v>
      </c>
      <c r="Z16" s="69"/>
      <c r="AA16" s="2" t="s">
        <v>159</v>
      </c>
      <c r="AB16" s="70"/>
      <c r="AC16" s="93" t="s">
        <v>134</v>
      </c>
      <c r="AD16" s="93" t="s">
        <v>150</v>
      </c>
      <c r="AE16" s="192" t="s">
        <v>165</v>
      </c>
      <c r="AF16" s="281" t="s">
        <v>174</v>
      </c>
      <c r="AG16" s="75"/>
      <c r="AH16" s="77" t="s">
        <v>175</v>
      </c>
      <c r="AI16" s="281" t="s">
        <v>174</v>
      </c>
      <c r="AJ16" s="193"/>
      <c r="AK16" s="10" t="s">
        <v>97</v>
      </c>
      <c r="AL16" s="76" t="s">
        <v>1117</v>
      </c>
      <c r="AM16" s="10" t="s">
        <v>98</v>
      </c>
      <c r="AN16" s="89" t="s">
        <v>1126</v>
      </c>
      <c r="AO16" s="68" t="s">
        <v>1219</v>
      </c>
      <c r="AP16" s="5" t="s">
        <v>1220</v>
      </c>
      <c r="AQ16" s="70"/>
      <c r="AR16" s="107"/>
      <c r="AS16" s="70"/>
      <c r="AT16" s="84" t="s">
        <v>237</v>
      </c>
      <c r="AU16" s="161" t="s">
        <v>184</v>
      </c>
      <c r="AV16" s="218" t="s">
        <v>208</v>
      </c>
      <c r="AW16" s="219" t="s">
        <v>209</v>
      </c>
      <c r="AX16" s="89" t="s">
        <v>210</v>
      </c>
      <c r="AY16" s="87" t="s">
        <v>255</v>
      </c>
      <c r="AZ16" s="87" t="s">
        <v>256</v>
      </c>
      <c r="BA16" s="87"/>
    </row>
    <row r="17" spans="1:53" x14ac:dyDescent="0.3">
      <c r="A17" s="9">
        <v>7</v>
      </c>
      <c r="B17" s="127">
        <v>7</v>
      </c>
      <c r="C17" s="128" t="s">
        <v>1199</v>
      </c>
      <c r="D17" s="120" t="s">
        <v>1206</v>
      </c>
      <c r="E17" s="69" t="s">
        <v>1185</v>
      </c>
      <c r="F17" s="68"/>
      <c r="G17" s="5"/>
      <c r="H17" s="5"/>
      <c r="I17" s="70"/>
      <c r="J17" s="69" t="s">
        <v>1235</v>
      </c>
      <c r="K17" s="76" t="s">
        <v>164</v>
      </c>
      <c r="L17" s="160"/>
      <c r="M17" s="5" t="s">
        <v>1140</v>
      </c>
      <c r="N17" s="5" t="s">
        <v>81</v>
      </c>
      <c r="O17" s="1" t="s">
        <v>117</v>
      </c>
      <c r="P17" s="75"/>
      <c r="Q17" s="68" t="s">
        <v>1235</v>
      </c>
      <c r="R17" s="147" t="s">
        <v>164</v>
      </c>
      <c r="S17" s="160"/>
      <c r="T17" s="5" t="s">
        <v>136</v>
      </c>
      <c r="U17" s="5" t="s">
        <v>81</v>
      </c>
      <c r="V17" s="1" t="s">
        <v>117</v>
      </c>
      <c r="W17" s="75"/>
      <c r="X17" s="88" t="s">
        <v>1102</v>
      </c>
      <c r="Y17" s="84" t="s">
        <v>1110</v>
      </c>
      <c r="Z17" s="69"/>
      <c r="AA17" s="1" t="s">
        <v>164</v>
      </c>
      <c r="AB17" s="70"/>
      <c r="AC17" s="93" t="s">
        <v>135</v>
      </c>
      <c r="AD17" s="93" t="s">
        <v>151</v>
      </c>
      <c r="AE17" s="192" t="s">
        <v>1228</v>
      </c>
      <c r="AF17" s="281" t="s">
        <v>163</v>
      </c>
      <c r="AG17" s="76"/>
      <c r="AH17" s="192" t="s">
        <v>1229</v>
      </c>
      <c r="AI17" s="281" t="s">
        <v>163</v>
      </c>
      <c r="AJ17" s="193"/>
      <c r="AK17" s="105"/>
      <c r="AL17" s="75" t="s">
        <v>1118</v>
      </c>
      <c r="AM17" s="10"/>
      <c r="AN17" s="88" t="s">
        <v>1127</v>
      </c>
      <c r="AO17" s="68" t="s">
        <v>1221</v>
      </c>
      <c r="AP17" s="5" t="s">
        <v>1222</v>
      </c>
      <c r="AQ17" s="70"/>
      <c r="AR17" s="107"/>
      <c r="AS17" s="70"/>
      <c r="AT17" s="207"/>
      <c r="AU17" s="161" t="s">
        <v>185</v>
      </c>
      <c r="AV17" s="218" t="s">
        <v>211</v>
      </c>
      <c r="AW17" s="219" t="s">
        <v>212</v>
      </c>
      <c r="AX17" s="89" t="s">
        <v>213</v>
      </c>
      <c r="AY17" s="87" t="s">
        <v>257</v>
      </c>
      <c r="AZ17" s="87" t="s">
        <v>258</v>
      </c>
      <c r="BA17" s="87"/>
    </row>
    <row r="18" spans="1:53" x14ac:dyDescent="0.3">
      <c r="A18" s="11">
        <v>8</v>
      </c>
      <c r="B18" s="127">
        <v>8</v>
      </c>
      <c r="C18" s="128" t="s">
        <v>1199</v>
      </c>
      <c r="D18" s="120" t="s">
        <v>1207</v>
      </c>
      <c r="E18" s="69" t="s">
        <v>1183</v>
      </c>
      <c r="F18" s="68"/>
      <c r="G18" s="5"/>
      <c r="H18" s="5"/>
      <c r="I18" s="70"/>
      <c r="J18" s="69" t="s">
        <v>81</v>
      </c>
      <c r="K18" s="157" t="s">
        <v>1088</v>
      </c>
      <c r="L18" s="160"/>
      <c r="M18" s="5"/>
      <c r="N18" s="5" t="s">
        <v>82</v>
      </c>
      <c r="O18" s="2" t="s">
        <v>118</v>
      </c>
      <c r="P18" s="75"/>
      <c r="Q18" s="68" t="s">
        <v>81</v>
      </c>
      <c r="R18" s="149" t="s">
        <v>1090</v>
      </c>
      <c r="S18" s="160"/>
      <c r="T18" s="5"/>
      <c r="U18" s="5" t="s">
        <v>82</v>
      </c>
      <c r="V18" s="2" t="s">
        <v>118</v>
      </c>
      <c r="W18" s="75"/>
      <c r="X18" s="84"/>
      <c r="Y18" s="84"/>
      <c r="Z18" s="69"/>
      <c r="AA18" s="186" t="s">
        <v>1093</v>
      </c>
      <c r="AB18" s="70"/>
      <c r="AC18" s="93" t="s">
        <v>1140</v>
      </c>
      <c r="AD18" s="102" t="s">
        <v>136</v>
      </c>
      <c r="AE18" s="274" t="s">
        <v>1546</v>
      </c>
      <c r="AF18" s="281" t="s">
        <v>169</v>
      </c>
      <c r="AG18" s="75"/>
      <c r="AH18" s="274" t="s">
        <v>1546</v>
      </c>
      <c r="AI18" s="281" t="s">
        <v>177</v>
      </c>
      <c r="AJ18" s="193"/>
      <c r="AK18" s="10"/>
      <c r="AL18" s="75"/>
      <c r="AM18" s="10"/>
      <c r="AN18" s="75"/>
      <c r="AO18" s="68" t="s">
        <v>1221</v>
      </c>
      <c r="AP18" s="5" t="s">
        <v>1222</v>
      </c>
      <c r="AQ18" s="70"/>
      <c r="AR18" s="107"/>
      <c r="AS18" s="70"/>
      <c r="AT18" s="207"/>
      <c r="AU18" s="161" t="s">
        <v>155</v>
      </c>
      <c r="AV18" s="218" t="s">
        <v>214</v>
      </c>
      <c r="AW18" s="219" t="s">
        <v>215</v>
      </c>
      <c r="AX18" s="89"/>
      <c r="AY18" s="87" t="s">
        <v>259</v>
      </c>
      <c r="AZ18" s="87" t="s">
        <v>260</v>
      </c>
      <c r="BA18" s="87"/>
    </row>
    <row r="19" spans="1:53" x14ac:dyDescent="0.3">
      <c r="A19" s="11">
        <v>9</v>
      </c>
      <c r="B19" s="127">
        <v>9</v>
      </c>
      <c r="C19" s="128" t="s">
        <v>1199</v>
      </c>
      <c r="D19" s="120" t="s">
        <v>1208</v>
      </c>
      <c r="E19" s="69" t="s">
        <v>1186</v>
      </c>
      <c r="F19" s="68"/>
      <c r="G19" s="5"/>
      <c r="H19" s="5"/>
      <c r="I19" s="70"/>
      <c r="J19" s="69" t="s">
        <v>82</v>
      </c>
      <c r="K19" s="75" t="s">
        <v>1089</v>
      </c>
      <c r="L19" s="159"/>
      <c r="M19" s="5"/>
      <c r="N19" s="5" t="s">
        <v>83</v>
      </c>
      <c r="O19" s="2" t="s">
        <v>119</v>
      </c>
      <c r="P19" s="75"/>
      <c r="Q19" s="68" t="s">
        <v>82</v>
      </c>
      <c r="R19" s="146" t="s">
        <v>1091</v>
      </c>
      <c r="S19" s="159"/>
      <c r="T19" s="5"/>
      <c r="U19" s="5" t="s">
        <v>83</v>
      </c>
      <c r="V19" s="2" t="s">
        <v>119</v>
      </c>
      <c r="W19" s="75"/>
      <c r="X19" s="84"/>
      <c r="Y19" s="84"/>
      <c r="Z19" s="69"/>
      <c r="AA19" s="2" t="s">
        <v>1094</v>
      </c>
      <c r="AB19" s="70"/>
      <c r="AC19" s="102" t="s">
        <v>145</v>
      </c>
      <c r="AD19" s="93" t="s">
        <v>129</v>
      </c>
      <c r="AE19" s="192"/>
      <c r="AF19" s="281" t="s">
        <v>170</v>
      </c>
      <c r="AG19" s="75"/>
      <c r="AH19" s="77"/>
      <c r="AI19" s="281" t="s">
        <v>178</v>
      </c>
      <c r="AJ19" s="75"/>
      <c r="AK19" s="10"/>
      <c r="AL19" s="75"/>
      <c r="AM19" s="10"/>
      <c r="AN19" s="75"/>
      <c r="AO19" s="69"/>
      <c r="AP19" s="5"/>
      <c r="AQ19" s="70"/>
      <c r="AR19" s="107"/>
      <c r="AS19" s="70"/>
      <c r="AT19" s="207"/>
      <c r="AU19" s="161" t="s">
        <v>182</v>
      </c>
      <c r="AV19" s="218" t="s">
        <v>216</v>
      </c>
      <c r="AW19" s="219" t="s">
        <v>217</v>
      </c>
      <c r="AX19" s="89"/>
      <c r="AY19" s="87" t="s">
        <v>261</v>
      </c>
      <c r="AZ19" s="87" t="s">
        <v>262</v>
      </c>
      <c r="BA19" s="87"/>
    </row>
    <row r="20" spans="1:53" x14ac:dyDescent="0.3">
      <c r="A20" s="11" t="s">
        <v>349</v>
      </c>
      <c r="B20" s="127">
        <v>10</v>
      </c>
      <c r="C20" s="128" t="s">
        <v>1199</v>
      </c>
      <c r="D20" s="120" t="s">
        <v>1209</v>
      </c>
      <c r="E20" s="267" t="s">
        <v>1192</v>
      </c>
      <c r="F20" s="262" t="s">
        <v>1543</v>
      </c>
      <c r="G20" s="5"/>
      <c r="H20" s="5"/>
      <c r="I20" s="70"/>
      <c r="J20" s="107" t="s">
        <v>83</v>
      </c>
      <c r="K20" s="193" t="s">
        <v>1196</v>
      </c>
      <c r="L20" s="159"/>
      <c r="M20" s="5"/>
      <c r="N20" s="5" t="s">
        <v>84</v>
      </c>
      <c r="O20" s="2" t="s">
        <v>120</v>
      </c>
      <c r="P20" s="75"/>
      <c r="Q20" s="287" t="s">
        <v>83</v>
      </c>
      <c r="R20" s="193" t="s">
        <v>153</v>
      </c>
      <c r="S20" s="159"/>
      <c r="T20" s="5"/>
      <c r="U20" s="5" t="s">
        <v>84</v>
      </c>
      <c r="V20" s="2" t="s">
        <v>120</v>
      </c>
      <c r="W20" s="75"/>
      <c r="X20" s="84"/>
      <c r="Y20" s="84"/>
      <c r="Z20" s="69"/>
      <c r="AA20" s="189" t="s">
        <v>1234</v>
      </c>
      <c r="AB20" s="70"/>
      <c r="AC20" s="93" t="s">
        <v>146</v>
      </c>
      <c r="AD20" s="93" t="s">
        <v>130</v>
      </c>
      <c r="AE20" s="77"/>
      <c r="AF20" s="281" t="s">
        <v>171</v>
      </c>
      <c r="AG20" s="206"/>
      <c r="AH20" s="192"/>
      <c r="AI20" s="281" t="s">
        <v>179</v>
      </c>
      <c r="AJ20" s="110"/>
      <c r="AK20" s="10"/>
      <c r="AL20" s="75"/>
      <c r="AM20" s="10"/>
      <c r="AN20" s="75"/>
      <c r="AO20" s="69"/>
      <c r="AP20" s="5"/>
      <c r="AQ20" s="70"/>
      <c r="AR20" s="107"/>
      <c r="AS20" s="70"/>
      <c r="AT20" s="207"/>
      <c r="AU20" s="161" t="s">
        <v>183</v>
      </c>
      <c r="AV20" s="218" t="s">
        <v>218</v>
      </c>
      <c r="AW20" s="219" t="s">
        <v>219</v>
      </c>
      <c r="AX20" s="89"/>
      <c r="AY20" s="87" t="s">
        <v>263</v>
      </c>
      <c r="AZ20" s="87" t="s">
        <v>264</v>
      </c>
      <c r="BA20" s="87"/>
    </row>
    <row r="21" spans="1:53" x14ac:dyDescent="0.3">
      <c r="A21" s="11" t="s">
        <v>350</v>
      </c>
      <c r="B21" s="127">
        <v>11</v>
      </c>
      <c r="C21" s="128" t="s">
        <v>1199</v>
      </c>
      <c r="D21" s="120" t="s">
        <v>1210</v>
      </c>
      <c r="E21" s="204" t="s">
        <v>1193</v>
      </c>
      <c r="F21" s="68"/>
      <c r="G21" s="5"/>
      <c r="H21" s="5"/>
      <c r="I21" s="70"/>
      <c r="J21" s="69" t="s">
        <v>84</v>
      </c>
      <c r="K21" s="190" t="s">
        <v>1538</v>
      </c>
      <c r="L21" s="159"/>
      <c r="M21" s="5"/>
      <c r="N21" s="5" t="s">
        <v>85</v>
      </c>
      <c r="O21" s="2" t="s">
        <v>121</v>
      </c>
      <c r="P21" s="75"/>
      <c r="Q21" s="68" t="s">
        <v>84</v>
      </c>
      <c r="R21" s="190" t="s">
        <v>1540</v>
      </c>
      <c r="S21" s="159"/>
      <c r="T21" s="5"/>
      <c r="U21" s="5" t="s">
        <v>85</v>
      </c>
      <c r="V21" s="2" t="s">
        <v>121</v>
      </c>
      <c r="W21" s="75"/>
      <c r="X21" s="84"/>
      <c r="Y21" s="84"/>
      <c r="Z21" s="69"/>
      <c r="AA21" s="263" t="s">
        <v>1544</v>
      </c>
      <c r="AB21" s="70"/>
      <c r="AC21" s="93" t="s">
        <v>147</v>
      </c>
      <c r="AD21" s="93" t="s">
        <v>131</v>
      </c>
      <c r="AE21" s="77"/>
      <c r="AF21" s="281" t="s">
        <v>172</v>
      </c>
      <c r="AG21" s="193"/>
      <c r="AH21" s="192"/>
      <c r="AI21" s="281" t="s">
        <v>181</v>
      </c>
      <c r="AJ21" s="75"/>
      <c r="AK21" s="10"/>
      <c r="AL21" s="75"/>
      <c r="AM21" s="10"/>
      <c r="AN21" s="75"/>
      <c r="AO21" s="69"/>
      <c r="AP21" s="5"/>
      <c r="AQ21" s="70"/>
      <c r="AR21" s="107"/>
      <c r="AS21" s="70"/>
      <c r="AT21" s="207"/>
      <c r="AU21" s="264"/>
      <c r="AV21" s="218" t="s">
        <v>220</v>
      </c>
      <c r="AW21" s="219" t="s">
        <v>221</v>
      </c>
      <c r="AX21" s="89"/>
      <c r="AY21" s="87" t="s">
        <v>265</v>
      </c>
      <c r="AZ21" s="87" t="s">
        <v>266</v>
      </c>
      <c r="BA21" s="87"/>
    </row>
    <row r="22" spans="1:53" x14ac:dyDescent="0.3">
      <c r="A22" s="11" t="s">
        <v>351</v>
      </c>
      <c r="B22" s="127">
        <v>12</v>
      </c>
      <c r="C22" s="128" t="s">
        <v>1199</v>
      </c>
      <c r="D22" s="120" t="s">
        <v>1211</v>
      </c>
      <c r="E22" s="69" t="s">
        <v>1430</v>
      </c>
      <c r="F22" s="68"/>
      <c r="G22" s="5"/>
      <c r="H22" s="5"/>
      <c r="I22" s="70"/>
      <c r="J22" s="69" t="s">
        <v>85</v>
      </c>
      <c r="K22" s="190" t="s">
        <v>1539</v>
      </c>
      <c r="L22" s="159"/>
      <c r="M22" s="5"/>
      <c r="N22" s="2" t="s">
        <v>127</v>
      </c>
      <c r="O22" s="2" t="s">
        <v>122</v>
      </c>
      <c r="P22" s="75"/>
      <c r="Q22" s="68" t="s">
        <v>85</v>
      </c>
      <c r="R22" s="190" t="s">
        <v>1541</v>
      </c>
      <c r="S22" s="159"/>
      <c r="T22" s="5"/>
      <c r="U22" s="2" t="s">
        <v>127</v>
      </c>
      <c r="V22" s="2" t="s">
        <v>122</v>
      </c>
      <c r="W22" s="75"/>
      <c r="X22" s="84"/>
      <c r="Y22" s="84"/>
      <c r="Z22" s="77"/>
      <c r="AA22" s="2"/>
      <c r="AB22" s="70"/>
      <c r="AC22" s="93" t="s">
        <v>148</v>
      </c>
      <c r="AD22" s="93" t="s">
        <v>132</v>
      </c>
      <c r="AE22" s="77"/>
      <c r="AF22" s="283" t="s">
        <v>1463</v>
      </c>
      <c r="AG22" s="75"/>
      <c r="AH22" s="77"/>
      <c r="AI22" s="283" t="s">
        <v>1463</v>
      </c>
      <c r="AJ22" s="75"/>
      <c r="AK22" s="10"/>
      <c r="AL22" s="75"/>
      <c r="AM22" s="10"/>
      <c r="AN22" s="75"/>
      <c r="AO22" s="69"/>
      <c r="AP22" s="5"/>
      <c r="AQ22" s="70"/>
      <c r="AR22" s="107"/>
      <c r="AS22" s="76"/>
      <c r="AT22" s="207"/>
      <c r="AU22" s="264"/>
      <c r="AV22" s="218" t="s">
        <v>222</v>
      </c>
      <c r="AW22" s="219" t="s">
        <v>223</v>
      </c>
      <c r="AX22" s="89"/>
      <c r="AY22" s="87" t="s">
        <v>267</v>
      </c>
      <c r="AZ22" s="87" t="s">
        <v>268</v>
      </c>
      <c r="BA22" s="87"/>
    </row>
    <row r="23" spans="1:53" x14ac:dyDescent="0.3">
      <c r="A23" s="11" t="s">
        <v>352</v>
      </c>
      <c r="B23" s="127">
        <v>13</v>
      </c>
      <c r="C23" s="128" t="s">
        <v>1199</v>
      </c>
      <c r="D23" s="120" t="s">
        <v>1212</v>
      </c>
      <c r="E23" s="69" t="s">
        <v>1432</v>
      </c>
      <c r="F23" s="68"/>
      <c r="G23" s="5"/>
      <c r="H23" s="5"/>
      <c r="I23" s="70"/>
      <c r="J23" s="187" t="s">
        <v>99</v>
      </c>
      <c r="K23" s="75"/>
      <c r="L23" s="159"/>
      <c r="M23" s="5"/>
      <c r="N23" s="2" t="s">
        <v>128</v>
      </c>
      <c r="O23" s="2" t="s">
        <v>123</v>
      </c>
      <c r="P23" s="75"/>
      <c r="Q23" s="188" t="s">
        <v>100</v>
      </c>
      <c r="R23" s="146"/>
      <c r="S23" s="159"/>
      <c r="T23" s="5"/>
      <c r="U23" s="2" t="s">
        <v>128</v>
      </c>
      <c r="V23" s="2" t="s">
        <v>1537</v>
      </c>
      <c r="W23" s="75"/>
      <c r="X23" s="84"/>
      <c r="Y23" s="84"/>
      <c r="Z23" s="78"/>
      <c r="AA23" s="2"/>
      <c r="AB23" s="70"/>
      <c r="AC23" s="93" t="s">
        <v>149</v>
      </c>
      <c r="AD23" s="93" t="s">
        <v>133</v>
      </c>
      <c r="AE23" s="77"/>
      <c r="AF23" s="284" t="s">
        <v>1226</v>
      </c>
      <c r="AG23" s="75"/>
      <c r="AH23" s="77"/>
      <c r="AI23" s="284" t="s">
        <v>1225</v>
      </c>
      <c r="AJ23" s="76"/>
      <c r="AK23" s="10"/>
      <c r="AL23" s="75"/>
      <c r="AM23" s="10"/>
      <c r="AN23" s="75"/>
      <c r="AO23" s="69"/>
      <c r="AP23" s="5"/>
      <c r="AQ23" s="70"/>
      <c r="AR23" s="107"/>
      <c r="AS23" s="76"/>
      <c r="AT23" s="207"/>
      <c r="AU23" s="264"/>
      <c r="AV23" s="218" t="s">
        <v>224</v>
      </c>
      <c r="AW23" s="219" t="s">
        <v>225</v>
      </c>
      <c r="AX23" s="89"/>
      <c r="AY23" s="87" t="s">
        <v>269</v>
      </c>
      <c r="AZ23" s="87" t="s">
        <v>270</v>
      </c>
      <c r="BA23" s="87"/>
    </row>
    <row r="24" spans="1:53" x14ac:dyDescent="0.3">
      <c r="A24" s="11" t="s">
        <v>353</v>
      </c>
      <c r="B24" s="127">
        <v>14</v>
      </c>
      <c r="C24" s="128" t="s">
        <v>1199</v>
      </c>
      <c r="D24" s="120" t="s">
        <v>1213</v>
      </c>
      <c r="E24" s="69" t="s">
        <v>1191</v>
      </c>
      <c r="F24" s="68"/>
      <c r="G24" s="5"/>
      <c r="H24" s="5"/>
      <c r="I24" s="70"/>
      <c r="J24" s="77" t="s">
        <v>71</v>
      </c>
      <c r="K24" s="75"/>
      <c r="L24" s="159"/>
      <c r="M24" s="2"/>
      <c r="N24" s="2" t="s">
        <v>109</v>
      </c>
      <c r="O24" s="2" t="s">
        <v>110</v>
      </c>
      <c r="P24" s="76"/>
      <c r="Q24" s="10" t="s">
        <v>73</v>
      </c>
      <c r="R24" s="146"/>
      <c r="S24" s="159"/>
      <c r="T24" s="2"/>
      <c r="U24" s="2" t="s">
        <v>66</v>
      </c>
      <c r="V24" s="2" t="s">
        <v>1536</v>
      </c>
      <c r="W24" s="76"/>
      <c r="X24" s="85"/>
      <c r="Y24" s="85"/>
      <c r="Z24" s="78"/>
      <c r="AA24" s="2"/>
      <c r="AB24" s="70"/>
      <c r="AC24" s="93" t="s">
        <v>150</v>
      </c>
      <c r="AD24" s="93" t="s">
        <v>134</v>
      </c>
      <c r="AE24" s="77"/>
      <c r="AF24" s="284" t="s">
        <v>1237</v>
      </c>
      <c r="AG24" s="111"/>
      <c r="AH24" s="77"/>
      <c r="AI24" s="284" t="s">
        <v>1238</v>
      </c>
      <c r="AJ24" s="111"/>
      <c r="AK24" s="15"/>
      <c r="AL24" s="76"/>
      <c r="AM24" s="15"/>
      <c r="AN24" s="76"/>
      <c r="AO24" s="69"/>
      <c r="AP24" s="5"/>
      <c r="AQ24" s="70"/>
      <c r="AR24" s="107"/>
      <c r="AS24" s="76"/>
      <c r="AT24" s="207"/>
      <c r="AU24" s="264"/>
      <c r="AV24" s="218" t="s">
        <v>226</v>
      </c>
      <c r="AW24" s="219" t="s">
        <v>227</v>
      </c>
      <c r="AX24" s="89"/>
      <c r="AY24" s="87" t="s">
        <v>271</v>
      </c>
      <c r="AZ24" s="87" t="s">
        <v>272</v>
      </c>
      <c r="BA24" s="87"/>
    </row>
    <row r="25" spans="1:53" s="119" customFormat="1" ht="17.25" thickBot="1" x14ac:dyDescent="0.35">
      <c r="A25" s="221" t="s">
        <v>354</v>
      </c>
      <c r="B25" s="14">
        <v>15</v>
      </c>
      <c r="C25" s="222" t="s">
        <v>1199</v>
      </c>
      <c r="D25" s="223" t="s">
        <v>1214</v>
      </c>
      <c r="E25" s="224"/>
      <c r="F25" s="225"/>
      <c r="G25" s="94"/>
      <c r="H25" s="94"/>
      <c r="I25" s="226"/>
      <c r="J25" s="227" t="s">
        <v>1233</v>
      </c>
      <c r="K25" s="228" t="s">
        <v>1197</v>
      </c>
      <c r="L25" s="229"/>
      <c r="M25" s="230"/>
      <c r="N25" s="231"/>
      <c r="O25" s="232" t="s">
        <v>1534</v>
      </c>
      <c r="P25" s="233"/>
      <c r="Q25" s="234" t="s">
        <v>87</v>
      </c>
      <c r="R25" s="235" t="s">
        <v>1197</v>
      </c>
      <c r="S25" s="229"/>
      <c r="T25" s="230"/>
      <c r="U25" s="231"/>
      <c r="V25" s="232" t="s">
        <v>1535</v>
      </c>
      <c r="W25" s="233"/>
      <c r="X25" s="236"/>
      <c r="Y25" s="236"/>
      <c r="Z25" s="237"/>
      <c r="AA25" s="231"/>
      <c r="AB25" s="226"/>
      <c r="AC25" s="130" t="s">
        <v>151</v>
      </c>
      <c r="AD25" s="130" t="s">
        <v>135</v>
      </c>
      <c r="AE25" s="227"/>
      <c r="AF25" s="238" t="s">
        <v>1197</v>
      </c>
      <c r="AG25" s="239"/>
      <c r="AH25" s="240"/>
      <c r="AI25" s="238" t="s">
        <v>1197</v>
      </c>
      <c r="AJ25" s="241"/>
      <c r="AK25" s="234"/>
      <c r="AL25" s="233"/>
      <c r="AM25" s="234"/>
      <c r="AN25" s="233"/>
      <c r="AO25" s="224"/>
      <c r="AP25" s="94"/>
      <c r="AQ25" s="226"/>
      <c r="AR25" s="242"/>
      <c r="AS25" s="243"/>
      <c r="AT25" s="236"/>
      <c r="AU25" s="265"/>
      <c r="AV25" s="244" t="s">
        <v>228</v>
      </c>
      <c r="AW25" s="245" t="s">
        <v>229</v>
      </c>
      <c r="AX25" s="241"/>
      <c r="AY25" s="246" t="s">
        <v>273</v>
      </c>
      <c r="AZ25" s="246" t="s">
        <v>274</v>
      </c>
      <c r="BA25" s="246"/>
    </row>
    <row r="26" spans="1:53" s="251" customFormat="1" ht="17.25" thickBot="1" x14ac:dyDescent="0.35">
      <c r="A26" s="247">
        <v>10</v>
      </c>
      <c r="B26" s="248">
        <v>16</v>
      </c>
      <c r="C26" s="249" t="s">
        <v>1200</v>
      </c>
      <c r="D26" s="250" t="s">
        <v>1199</v>
      </c>
      <c r="E26" s="100" t="s">
        <v>33</v>
      </c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196" t="s">
        <v>1542</v>
      </c>
      <c r="AD26" s="197" t="s">
        <v>1140</v>
      </c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66" t="s">
        <v>1545</v>
      </c>
      <c r="AV26" s="252"/>
      <c r="AW26" s="252"/>
      <c r="AX26" s="252"/>
      <c r="AY26" s="252"/>
      <c r="AZ26" s="252"/>
      <c r="BA26" s="252"/>
    </row>
    <row r="27" spans="1:53" s="119" customFormat="1" x14ac:dyDescent="0.3">
      <c r="A27" s="253">
        <v>11</v>
      </c>
      <c r="B27" s="124">
        <v>17</v>
      </c>
      <c r="C27" s="181" t="s">
        <v>1200</v>
      </c>
      <c r="D27" s="223" t="s">
        <v>1200</v>
      </c>
      <c r="E27" s="5" t="s">
        <v>34</v>
      </c>
      <c r="J27" s="131"/>
      <c r="K27" s="184" t="s">
        <v>110</v>
      </c>
      <c r="L27" s="184" t="s">
        <v>153</v>
      </c>
      <c r="M27" s="184" t="s">
        <v>1143</v>
      </c>
      <c r="N27" s="184" t="s">
        <v>1144</v>
      </c>
      <c r="O27" s="183" t="s">
        <v>160</v>
      </c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02" t="s">
        <v>1242</v>
      </c>
      <c r="AD27" s="203" t="s">
        <v>1243</v>
      </c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254"/>
    </row>
    <row r="28" spans="1:53" s="119" customFormat="1" x14ac:dyDescent="0.3">
      <c r="A28" s="253">
        <v>12</v>
      </c>
      <c r="B28" s="124">
        <v>18</v>
      </c>
      <c r="C28" s="181" t="s">
        <v>1200</v>
      </c>
      <c r="D28" s="223" t="s">
        <v>1201</v>
      </c>
      <c r="E28" s="5" t="s">
        <v>35</v>
      </c>
      <c r="J28" s="224" t="s">
        <v>1227</v>
      </c>
      <c r="K28" s="260" t="s">
        <v>164</v>
      </c>
      <c r="L28" s="260" t="s">
        <v>144</v>
      </c>
      <c r="M28" s="260" t="s">
        <v>1230</v>
      </c>
      <c r="N28" s="260" t="s">
        <v>1231</v>
      </c>
      <c r="O28" s="261" t="s">
        <v>1232</v>
      </c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04" t="s">
        <v>1244</v>
      </c>
      <c r="AD28" s="205" t="s">
        <v>1247</v>
      </c>
      <c r="AE28" s="254"/>
      <c r="AG28" s="254"/>
      <c r="AH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</row>
    <row r="29" spans="1:53" s="119" customFormat="1" x14ac:dyDescent="0.3">
      <c r="A29" s="253">
        <v>13</v>
      </c>
      <c r="B29" s="124">
        <v>19</v>
      </c>
      <c r="C29" s="181" t="s">
        <v>1200</v>
      </c>
      <c r="D29" s="223" t="s">
        <v>1202</v>
      </c>
      <c r="E29" s="5" t="s">
        <v>36</v>
      </c>
      <c r="J29" s="69"/>
      <c r="K29" s="275" t="s">
        <v>1547</v>
      </c>
      <c r="L29" s="5" t="s">
        <v>72</v>
      </c>
      <c r="M29" s="2" t="s">
        <v>1194</v>
      </c>
      <c r="N29" s="2" t="s">
        <v>1195</v>
      </c>
      <c r="O29" s="70" t="s">
        <v>74</v>
      </c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198" t="s">
        <v>1245</v>
      </c>
      <c r="AD29" s="199" t="s">
        <v>1245</v>
      </c>
      <c r="AE29" s="254"/>
      <c r="AG29" s="254"/>
      <c r="AH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</row>
    <row r="30" spans="1:53" s="119" customFormat="1" x14ac:dyDescent="0.3">
      <c r="A30" s="253">
        <v>14</v>
      </c>
      <c r="B30" s="124">
        <v>20</v>
      </c>
      <c r="C30" s="181" t="s">
        <v>1200</v>
      </c>
      <c r="D30" s="223" t="s">
        <v>1203</v>
      </c>
      <c r="E30" s="5" t="s">
        <v>37</v>
      </c>
      <c r="J30" s="69"/>
      <c r="K30" s="5" t="s">
        <v>1548</v>
      </c>
      <c r="L30" s="5" t="s">
        <v>1549</v>
      </c>
      <c r="M30" s="2" t="s">
        <v>89</v>
      </c>
      <c r="N30" s="2" t="s">
        <v>93</v>
      </c>
      <c r="O30" s="70"/>
      <c r="P30" s="254"/>
      <c r="Q30" s="254"/>
      <c r="R30" s="254"/>
      <c r="S30" s="254"/>
      <c r="T30" s="254"/>
      <c r="U30" s="254"/>
      <c r="V30" s="254"/>
      <c r="W30" s="254"/>
      <c r="Z30" s="254"/>
      <c r="AA30" s="254"/>
      <c r="AB30" s="254"/>
      <c r="AC30" s="198" t="s">
        <v>1141</v>
      </c>
      <c r="AD30" s="199" t="s">
        <v>1142</v>
      </c>
      <c r="AE30" s="254"/>
      <c r="AG30" s="254"/>
      <c r="AH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</row>
    <row r="31" spans="1:53" s="119" customFormat="1" ht="17.25" thickBot="1" x14ac:dyDescent="0.35">
      <c r="A31" s="253">
        <v>15</v>
      </c>
      <c r="B31" s="124">
        <v>21</v>
      </c>
      <c r="C31" s="181" t="s">
        <v>1200</v>
      </c>
      <c r="D31" s="223" t="s">
        <v>1204</v>
      </c>
      <c r="E31" s="5" t="s">
        <v>38</v>
      </c>
      <c r="J31" s="69"/>
      <c r="K31" s="5" t="s">
        <v>86</v>
      </c>
      <c r="L31" s="5" t="s">
        <v>87</v>
      </c>
      <c r="M31" s="2" t="s">
        <v>90</v>
      </c>
      <c r="N31" s="2" t="s">
        <v>94</v>
      </c>
      <c r="O31" s="70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00" t="s">
        <v>1246</v>
      </c>
      <c r="AD31" s="201"/>
      <c r="AE31" s="254"/>
      <c r="AG31" s="254"/>
      <c r="AH31" s="254"/>
      <c r="AJ31" s="254"/>
      <c r="AK31" s="254"/>
      <c r="AL31" s="254"/>
      <c r="AM31" s="254"/>
      <c r="AO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</row>
    <row r="32" spans="1:53" s="119" customFormat="1" x14ac:dyDescent="0.3">
      <c r="A32" s="253"/>
      <c r="B32" s="124">
        <v>22</v>
      </c>
      <c r="C32" s="181" t="s">
        <v>1200</v>
      </c>
      <c r="D32" s="223" t="s">
        <v>1205</v>
      </c>
      <c r="E32" s="5" t="s">
        <v>39</v>
      </c>
      <c r="J32" s="69"/>
      <c r="K32" s="5" t="s">
        <v>99</v>
      </c>
      <c r="L32" s="5" t="s">
        <v>100</v>
      </c>
      <c r="M32" s="2" t="s">
        <v>91</v>
      </c>
      <c r="N32" s="2" t="s">
        <v>95</v>
      </c>
      <c r="O32" s="70"/>
      <c r="AS32" s="255"/>
    </row>
    <row r="33" spans="1:45" s="119" customFormat="1" x14ac:dyDescent="0.3">
      <c r="A33" s="256"/>
      <c r="B33" s="221">
        <v>23</v>
      </c>
      <c r="C33" s="257" t="s">
        <v>1200</v>
      </c>
      <c r="D33" s="223" t="s">
        <v>1206</v>
      </c>
      <c r="E33" s="5" t="s">
        <v>40</v>
      </c>
      <c r="J33" s="69"/>
      <c r="K33" s="5" t="s">
        <v>71</v>
      </c>
      <c r="L33" s="5" t="s">
        <v>73</v>
      </c>
      <c r="M33" s="2" t="s">
        <v>92</v>
      </c>
      <c r="N33" s="2" t="s">
        <v>96</v>
      </c>
      <c r="O33" s="70"/>
    </row>
    <row r="34" spans="1:45" s="119" customFormat="1" x14ac:dyDescent="0.3">
      <c r="A34" s="253"/>
      <c r="B34" s="124">
        <v>24</v>
      </c>
      <c r="C34" s="181" t="s">
        <v>1200</v>
      </c>
      <c r="D34" s="223" t="s">
        <v>1207</v>
      </c>
      <c r="E34" s="5" t="s">
        <v>1132</v>
      </c>
      <c r="J34" s="69"/>
      <c r="K34" s="5"/>
      <c r="L34" s="5"/>
      <c r="M34" s="2" t="s">
        <v>97</v>
      </c>
      <c r="N34" s="2" t="s">
        <v>98</v>
      </c>
      <c r="O34" s="70"/>
    </row>
    <row r="35" spans="1:45" s="119" customFormat="1" x14ac:dyDescent="0.3">
      <c r="A35" s="253"/>
      <c r="B35" s="124">
        <v>25</v>
      </c>
      <c r="C35" s="181" t="s">
        <v>1200</v>
      </c>
      <c r="D35" s="223" t="s">
        <v>1208</v>
      </c>
      <c r="E35" s="5" t="s">
        <v>1133</v>
      </c>
      <c r="J35" s="69"/>
      <c r="K35" s="5"/>
      <c r="L35" s="5"/>
      <c r="M35" s="2" t="s">
        <v>165</v>
      </c>
      <c r="N35" s="2" t="s">
        <v>175</v>
      </c>
      <c r="O35" s="70"/>
    </row>
    <row r="36" spans="1:45" s="119" customFormat="1" x14ac:dyDescent="0.3">
      <c r="A36" s="253"/>
      <c r="B36" s="124">
        <v>26</v>
      </c>
      <c r="C36" s="181" t="s">
        <v>1200</v>
      </c>
      <c r="D36" s="223" t="s">
        <v>1209</v>
      </c>
      <c r="E36" s="5" t="s">
        <v>1134</v>
      </c>
      <c r="J36" s="69"/>
      <c r="K36" s="5"/>
      <c r="L36" s="5"/>
      <c r="M36" s="132" t="s">
        <v>1228</v>
      </c>
      <c r="N36" s="132" t="s">
        <v>1229</v>
      </c>
      <c r="O36" s="70"/>
    </row>
    <row r="37" spans="1:45" s="119" customFormat="1" x14ac:dyDescent="0.3">
      <c r="A37" s="253"/>
      <c r="B37" s="124">
        <v>27</v>
      </c>
      <c r="C37" s="181" t="s">
        <v>1200</v>
      </c>
      <c r="D37" s="223" t="s">
        <v>1210</v>
      </c>
      <c r="E37" s="5" t="s">
        <v>1135</v>
      </c>
      <c r="J37" s="69"/>
      <c r="K37" s="5"/>
      <c r="L37" s="5"/>
      <c r="M37" s="5"/>
      <c r="N37" s="5"/>
      <c r="O37" s="70"/>
    </row>
    <row r="38" spans="1:45" s="119" customFormat="1" x14ac:dyDescent="0.3">
      <c r="A38" s="253"/>
      <c r="B38" s="124">
        <v>28</v>
      </c>
      <c r="C38" s="181" t="s">
        <v>1200</v>
      </c>
      <c r="D38" s="223" t="s">
        <v>1211</v>
      </c>
      <c r="E38" s="5" t="s">
        <v>1136</v>
      </c>
      <c r="J38" s="69"/>
      <c r="K38" s="5"/>
      <c r="L38" s="5"/>
      <c r="M38" s="2"/>
      <c r="N38" s="2"/>
      <c r="O38" s="70"/>
    </row>
    <row r="39" spans="1:45" s="119" customFormat="1" ht="17.25" thickBot="1" x14ac:dyDescent="0.35">
      <c r="A39" s="253"/>
      <c r="B39" s="124">
        <v>29</v>
      </c>
      <c r="C39" s="181" t="s">
        <v>1200</v>
      </c>
      <c r="D39" s="223" t="s">
        <v>1212</v>
      </c>
      <c r="E39" s="5" t="s">
        <v>1137</v>
      </c>
      <c r="J39" s="71"/>
      <c r="K39" s="22"/>
      <c r="L39" s="22"/>
      <c r="M39" s="158"/>
      <c r="N39" s="158"/>
      <c r="O39" s="72"/>
      <c r="AS39" s="255"/>
    </row>
    <row r="40" spans="1:45" s="119" customFormat="1" x14ac:dyDescent="0.3">
      <c r="A40" s="253"/>
      <c r="B40" s="124">
        <v>30</v>
      </c>
      <c r="C40" s="181" t="s">
        <v>1200</v>
      </c>
      <c r="D40" s="223" t="s">
        <v>1213</v>
      </c>
      <c r="E40" s="5" t="s">
        <v>1138</v>
      </c>
      <c r="K40" s="276" t="s">
        <v>1550</v>
      </c>
    </row>
    <row r="41" spans="1:45" s="19" customFormat="1" ht="17.25" thickBot="1" x14ac:dyDescent="0.35">
      <c r="A41" s="258"/>
      <c r="B41" s="20">
        <v>31</v>
      </c>
      <c r="C41" s="122" t="s">
        <v>1200</v>
      </c>
      <c r="D41" s="123" t="s">
        <v>1214</v>
      </c>
      <c r="E41" s="22" t="s">
        <v>1139</v>
      </c>
      <c r="K41" s="277" t="s">
        <v>1551</v>
      </c>
    </row>
    <row r="42" spans="1:45" x14ac:dyDescent="0.3">
      <c r="B42" s="11">
        <v>32</v>
      </c>
      <c r="C42" s="185" t="s">
        <v>1201</v>
      </c>
      <c r="D42" s="120" t="s">
        <v>1199</v>
      </c>
      <c r="E42" s="17" t="s">
        <v>9</v>
      </c>
    </row>
    <row r="43" spans="1:45" x14ac:dyDescent="0.3">
      <c r="B43" s="11">
        <v>33</v>
      </c>
      <c r="C43" s="185" t="s">
        <v>1201</v>
      </c>
      <c r="D43" s="120" t="s">
        <v>1200</v>
      </c>
      <c r="E43" s="5" t="s">
        <v>10</v>
      </c>
    </row>
    <row r="44" spans="1:45" x14ac:dyDescent="0.3">
      <c r="B44" s="11">
        <v>34</v>
      </c>
      <c r="C44" s="185" t="s">
        <v>1201</v>
      </c>
      <c r="D44" s="120" t="s">
        <v>1201</v>
      </c>
      <c r="E44" s="5" t="s">
        <v>11</v>
      </c>
    </row>
    <row r="45" spans="1:45" x14ac:dyDescent="0.3">
      <c r="B45" s="11">
        <v>35</v>
      </c>
      <c r="C45" s="185" t="s">
        <v>1201</v>
      </c>
      <c r="D45" s="120" t="s">
        <v>1202</v>
      </c>
      <c r="E45" s="5" t="s">
        <v>12</v>
      </c>
    </row>
    <row r="46" spans="1:45" x14ac:dyDescent="0.3">
      <c r="B46" s="11">
        <v>36</v>
      </c>
      <c r="C46" s="185" t="s">
        <v>1201</v>
      </c>
      <c r="D46" s="120" t="s">
        <v>1203</v>
      </c>
      <c r="E46" s="5" t="s">
        <v>13</v>
      </c>
    </row>
    <row r="47" spans="1:45" x14ac:dyDescent="0.3">
      <c r="B47" s="11">
        <v>37</v>
      </c>
      <c r="C47" s="185" t="s">
        <v>1201</v>
      </c>
      <c r="D47" s="120" t="s">
        <v>1204</v>
      </c>
      <c r="E47" s="5" t="s">
        <v>14</v>
      </c>
      <c r="Y47" s="4">
        <v>44</v>
      </c>
      <c r="Z47" s="4">
        <f>HEX2DEC(Y47)</f>
        <v>68</v>
      </c>
    </row>
    <row r="48" spans="1:45" x14ac:dyDescent="0.3">
      <c r="B48" s="11">
        <v>38</v>
      </c>
      <c r="C48" s="185" t="s">
        <v>1201</v>
      </c>
      <c r="D48" s="120" t="s">
        <v>1205</v>
      </c>
      <c r="E48" s="5" t="s">
        <v>15</v>
      </c>
    </row>
    <row r="49" spans="1:14" x14ac:dyDescent="0.3">
      <c r="B49" s="11">
        <v>39</v>
      </c>
      <c r="C49" s="185" t="s">
        <v>1201</v>
      </c>
      <c r="D49" s="120" t="s">
        <v>1206</v>
      </c>
      <c r="E49" s="5" t="s">
        <v>16</v>
      </c>
    </row>
    <row r="50" spans="1:14" x14ac:dyDescent="0.3">
      <c r="B50" s="11">
        <v>40</v>
      </c>
      <c r="C50" s="185" t="s">
        <v>1201</v>
      </c>
      <c r="D50" s="120" t="s">
        <v>1207</v>
      </c>
      <c r="E50" s="268" t="s">
        <v>17</v>
      </c>
      <c r="F50" s="262" t="s">
        <v>1543</v>
      </c>
    </row>
    <row r="51" spans="1:14" x14ac:dyDescent="0.3">
      <c r="B51" s="11">
        <v>41</v>
      </c>
      <c r="C51" s="185" t="s">
        <v>1201</v>
      </c>
      <c r="D51" s="120" t="s">
        <v>1208</v>
      </c>
      <c r="E51" s="268" t="s">
        <v>18</v>
      </c>
    </row>
    <row r="52" spans="1:14" x14ac:dyDescent="0.3">
      <c r="B52" s="11">
        <v>42</v>
      </c>
      <c r="C52" s="185" t="s">
        <v>1201</v>
      </c>
      <c r="D52" s="120" t="s">
        <v>1209</v>
      </c>
      <c r="E52" s="268" t="s">
        <v>19</v>
      </c>
    </row>
    <row r="53" spans="1:14" x14ac:dyDescent="0.3">
      <c r="B53" s="11">
        <v>43</v>
      </c>
      <c r="C53" s="185" t="s">
        <v>1201</v>
      </c>
      <c r="D53" s="120" t="s">
        <v>1210</v>
      </c>
      <c r="E53" s="268" t="s">
        <v>20</v>
      </c>
    </row>
    <row r="54" spans="1:14" x14ac:dyDescent="0.3">
      <c r="B54" s="11">
        <v>44</v>
      </c>
      <c r="C54" s="185" t="s">
        <v>1201</v>
      </c>
      <c r="D54" s="120" t="s">
        <v>1211</v>
      </c>
      <c r="E54" s="268" t="s">
        <v>21</v>
      </c>
    </row>
    <row r="55" spans="1:14" x14ac:dyDescent="0.3">
      <c r="B55" s="11">
        <v>45</v>
      </c>
      <c r="C55" s="185" t="s">
        <v>1201</v>
      </c>
      <c r="D55" s="120" t="s">
        <v>1212</v>
      </c>
      <c r="E55" s="268" t="s">
        <v>22</v>
      </c>
    </row>
    <row r="56" spans="1:14" x14ac:dyDescent="0.3">
      <c r="B56" s="11">
        <v>46</v>
      </c>
      <c r="C56" s="185" t="s">
        <v>1201</v>
      </c>
      <c r="D56" s="120" t="s">
        <v>1213</v>
      </c>
      <c r="E56" s="269" t="s">
        <v>23</v>
      </c>
    </row>
    <row r="57" spans="1:14" s="19" customFormat="1" ht="17.25" thickBot="1" x14ac:dyDescent="0.35">
      <c r="A57" s="20"/>
      <c r="B57" s="20">
        <v>47</v>
      </c>
      <c r="C57" s="122" t="s">
        <v>1201</v>
      </c>
      <c r="D57" s="123" t="s">
        <v>1214</v>
      </c>
      <c r="E57" s="270" t="s">
        <v>24</v>
      </c>
      <c r="M57" s="4"/>
      <c r="N57" s="4"/>
    </row>
    <row r="58" spans="1:14" x14ac:dyDescent="0.3">
      <c r="B58" s="11">
        <v>48</v>
      </c>
      <c r="C58" s="185" t="s">
        <v>1202</v>
      </c>
      <c r="D58" s="120" t="s">
        <v>1199</v>
      </c>
      <c r="E58" s="271" t="s">
        <v>25</v>
      </c>
    </row>
    <row r="59" spans="1:14" x14ac:dyDescent="0.3">
      <c r="B59" s="11">
        <v>49</v>
      </c>
      <c r="C59" s="185" t="s">
        <v>1202</v>
      </c>
      <c r="D59" s="120" t="s">
        <v>1200</v>
      </c>
      <c r="E59" s="268" t="s">
        <v>26</v>
      </c>
    </row>
    <row r="60" spans="1:14" x14ac:dyDescent="0.3">
      <c r="B60" s="11">
        <v>50</v>
      </c>
      <c r="C60" s="185" t="s">
        <v>1202</v>
      </c>
      <c r="D60" s="120" t="s">
        <v>1201</v>
      </c>
      <c r="E60" s="268" t="s">
        <v>27</v>
      </c>
    </row>
    <row r="61" spans="1:14" x14ac:dyDescent="0.3">
      <c r="B61" s="11">
        <v>51</v>
      </c>
      <c r="C61" s="185" t="s">
        <v>1202</v>
      </c>
      <c r="D61" s="120" t="s">
        <v>1202</v>
      </c>
      <c r="E61" s="268" t="s">
        <v>28</v>
      </c>
    </row>
    <row r="62" spans="1:14" x14ac:dyDescent="0.3">
      <c r="B62" s="11">
        <v>52</v>
      </c>
      <c r="C62" s="185" t="s">
        <v>1202</v>
      </c>
      <c r="D62" s="120" t="s">
        <v>1203</v>
      </c>
      <c r="E62" s="268" t="s">
        <v>29</v>
      </c>
    </row>
    <row r="63" spans="1:14" x14ac:dyDescent="0.3">
      <c r="B63" s="11">
        <v>53</v>
      </c>
      <c r="C63" s="185" t="s">
        <v>1202</v>
      </c>
      <c r="D63" s="120" t="s">
        <v>1204</v>
      </c>
      <c r="E63" s="268" t="s">
        <v>30</v>
      </c>
    </row>
    <row r="64" spans="1:14" x14ac:dyDescent="0.3">
      <c r="B64" s="11">
        <v>54</v>
      </c>
      <c r="C64" s="185" t="s">
        <v>1202</v>
      </c>
      <c r="D64" s="120" t="s">
        <v>1205</v>
      </c>
      <c r="E64" s="268" t="s">
        <v>31</v>
      </c>
    </row>
    <row r="65" spans="1:6" x14ac:dyDescent="0.3">
      <c r="B65" s="11">
        <v>55</v>
      </c>
      <c r="C65" s="185" t="s">
        <v>1202</v>
      </c>
      <c r="D65" s="120" t="s">
        <v>1206</v>
      </c>
      <c r="E65" s="268" t="s">
        <v>32</v>
      </c>
    </row>
    <row r="66" spans="1:6" x14ac:dyDescent="0.3">
      <c r="B66" s="11">
        <v>56</v>
      </c>
      <c r="C66" s="185" t="s">
        <v>1202</v>
      </c>
      <c r="D66" s="120" t="s">
        <v>1207</v>
      </c>
      <c r="E66" s="268" t="s">
        <v>1</v>
      </c>
    </row>
    <row r="67" spans="1:6" x14ac:dyDescent="0.3">
      <c r="B67" s="11">
        <v>57</v>
      </c>
      <c r="C67" s="185" t="s">
        <v>1202</v>
      </c>
      <c r="D67" s="120" t="s">
        <v>1208</v>
      </c>
      <c r="E67" s="268" t="s">
        <v>2</v>
      </c>
    </row>
    <row r="68" spans="1:6" x14ac:dyDescent="0.3">
      <c r="B68" s="11">
        <v>58</v>
      </c>
      <c r="C68" s="185" t="s">
        <v>1202</v>
      </c>
      <c r="D68" s="120" t="s">
        <v>1209</v>
      </c>
      <c r="E68" s="268" t="s">
        <v>3</v>
      </c>
    </row>
    <row r="69" spans="1:6" x14ac:dyDescent="0.3">
      <c r="B69" s="11">
        <v>59</v>
      </c>
      <c r="C69" s="185" t="s">
        <v>1202</v>
      </c>
      <c r="D69" s="120" t="s">
        <v>1210</v>
      </c>
      <c r="E69" s="268" t="s">
        <v>4</v>
      </c>
    </row>
    <row r="70" spans="1:6" x14ac:dyDescent="0.3">
      <c r="B70" s="11">
        <v>60</v>
      </c>
      <c r="C70" s="185" t="s">
        <v>1202</v>
      </c>
      <c r="D70" s="120" t="s">
        <v>1211</v>
      </c>
      <c r="E70" s="268" t="s">
        <v>5</v>
      </c>
    </row>
    <row r="71" spans="1:6" x14ac:dyDescent="0.3">
      <c r="B71" s="11">
        <v>61</v>
      </c>
      <c r="C71" s="185" t="s">
        <v>1202</v>
      </c>
      <c r="D71" s="120" t="s">
        <v>1212</v>
      </c>
      <c r="E71" s="268" t="s">
        <v>6</v>
      </c>
    </row>
    <row r="72" spans="1:6" x14ac:dyDescent="0.3">
      <c r="B72" s="11">
        <v>62</v>
      </c>
      <c r="C72" s="185" t="s">
        <v>1202</v>
      </c>
      <c r="D72" s="120" t="s">
        <v>1213</v>
      </c>
      <c r="E72" s="268" t="s">
        <v>7</v>
      </c>
    </row>
    <row r="73" spans="1:6" s="19" customFormat="1" ht="17.25" thickBot="1" x14ac:dyDescent="0.35">
      <c r="A73" s="20"/>
      <c r="B73" s="20">
        <v>63</v>
      </c>
      <c r="C73" s="122" t="s">
        <v>1202</v>
      </c>
      <c r="D73" s="123" t="s">
        <v>1214</v>
      </c>
      <c r="E73" s="270" t="s">
        <v>8</v>
      </c>
    </row>
    <row r="74" spans="1:6" x14ac:dyDescent="0.3">
      <c r="B74" s="11">
        <v>64</v>
      </c>
      <c r="C74" s="185" t="s">
        <v>1203</v>
      </c>
      <c r="D74" s="120" t="s">
        <v>1199</v>
      </c>
      <c r="E74" s="17" t="s">
        <v>41</v>
      </c>
      <c r="F74" s="4">
        <v>0</v>
      </c>
    </row>
    <row r="75" spans="1:6" x14ac:dyDescent="0.3">
      <c r="B75" s="11">
        <v>65</v>
      </c>
      <c r="C75" s="185" t="s">
        <v>1203</v>
      </c>
      <c r="D75" s="120" t="s">
        <v>1200</v>
      </c>
      <c r="E75" s="5" t="s">
        <v>42</v>
      </c>
      <c r="F75" s="4">
        <v>1</v>
      </c>
    </row>
    <row r="76" spans="1:6" x14ac:dyDescent="0.3">
      <c r="B76" s="11">
        <v>66</v>
      </c>
      <c r="C76" s="185" t="s">
        <v>1203</v>
      </c>
      <c r="D76" s="120" t="s">
        <v>1201</v>
      </c>
      <c r="E76" s="5" t="s">
        <v>43</v>
      </c>
      <c r="F76" s="4">
        <v>2</v>
      </c>
    </row>
    <row r="77" spans="1:6" x14ac:dyDescent="0.3">
      <c r="B77" s="11">
        <v>67</v>
      </c>
      <c r="C77" s="185" t="s">
        <v>1203</v>
      </c>
      <c r="D77" s="120" t="s">
        <v>1202</v>
      </c>
      <c r="E77" s="5" t="s">
        <v>44</v>
      </c>
      <c r="F77" s="4">
        <v>3</v>
      </c>
    </row>
    <row r="78" spans="1:6" x14ac:dyDescent="0.3">
      <c r="B78" s="11">
        <v>68</v>
      </c>
      <c r="C78" s="185" t="s">
        <v>1203</v>
      </c>
      <c r="D78" s="120" t="s">
        <v>1203</v>
      </c>
      <c r="E78" s="5" t="s">
        <v>45</v>
      </c>
      <c r="F78" s="4">
        <v>4</v>
      </c>
    </row>
    <row r="79" spans="1:6" x14ac:dyDescent="0.3">
      <c r="B79" s="11">
        <v>69</v>
      </c>
      <c r="C79" s="185" t="s">
        <v>1203</v>
      </c>
      <c r="D79" s="120" t="s">
        <v>1204</v>
      </c>
      <c r="E79" s="5" t="s">
        <v>46</v>
      </c>
      <c r="F79" s="4">
        <v>5</v>
      </c>
    </row>
    <row r="80" spans="1:6" x14ac:dyDescent="0.3">
      <c r="B80" s="11">
        <v>70</v>
      </c>
      <c r="C80" s="185" t="s">
        <v>1203</v>
      </c>
      <c r="D80" s="120" t="s">
        <v>1205</v>
      </c>
      <c r="E80" s="5" t="s">
        <v>47</v>
      </c>
      <c r="F80" s="4">
        <v>6</v>
      </c>
    </row>
    <row r="81" spans="2:6" x14ac:dyDescent="0.3">
      <c r="B81" s="11">
        <v>71</v>
      </c>
      <c r="C81" s="185" t="s">
        <v>1203</v>
      </c>
      <c r="D81" s="120" t="s">
        <v>1206</v>
      </c>
      <c r="E81" s="5" t="s">
        <v>48</v>
      </c>
      <c r="F81" s="4">
        <v>7</v>
      </c>
    </row>
    <row r="82" spans="2:6" x14ac:dyDescent="0.3">
      <c r="B82" s="11">
        <v>72</v>
      </c>
      <c r="C82" s="185" t="s">
        <v>1203</v>
      </c>
      <c r="D82" s="120" t="s">
        <v>1207</v>
      </c>
      <c r="E82" s="5" t="s">
        <v>49</v>
      </c>
      <c r="F82" s="4">
        <v>8</v>
      </c>
    </row>
    <row r="83" spans="2:6" x14ac:dyDescent="0.3">
      <c r="B83" s="11">
        <v>73</v>
      </c>
      <c r="C83" s="185" t="s">
        <v>1203</v>
      </c>
      <c r="D83" s="120" t="s">
        <v>1208</v>
      </c>
      <c r="E83" s="5" t="s">
        <v>50</v>
      </c>
      <c r="F83" s="4">
        <v>9</v>
      </c>
    </row>
    <row r="84" spans="2:6" x14ac:dyDescent="0.3">
      <c r="B84" s="11">
        <v>74</v>
      </c>
      <c r="C84" s="185" t="s">
        <v>1203</v>
      </c>
      <c r="D84" s="120" t="s">
        <v>1209</v>
      </c>
      <c r="E84" s="5" t="s">
        <v>51</v>
      </c>
      <c r="F84" s="4">
        <v>10</v>
      </c>
    </row>
    <row r="85" spans="2:6" x14ac:dyDescent="0.3">
      <c r="B85" s="11">
        <v>75</v>
      </c>
      <c r="C85" s="185" t="s">
        <v>1203</v>
      </c>
      <c r="D85" s="120" t="s">
        <v>1210</v>
      </c>
      <c r="E85" s="5" t="s">
        <v>52</v>
      </c>
      <c r="F85" s="4">
        <v>11</v>
      </c>
    </row>
    <row r="86" spans="2:6" x14ac:dyDescent="0.3">
      <c r="B86" s="11">
        <v>76</v>
      </c>
      <c r="C86" s="185" t="s">
        <v>1203</v>
      </c>
      <c r="D86" s="120" t="s">
        <v>1211</v>
      </c>
      <c r="E86" s="5" t="s">
        <v>53</v>
      </c>
      <c r="F86" s="4">
        <v>12</v>
      </c>
    </row>
    <row r="87" spans="2:6" x14ac:dyDescent="0.3">
      <c r="B87" s="11">
        <v>77</v>
      </c>
      <c r="C87" s="185" t="s">
        <v>1203</v>
      </c>
      <c r="D87" s="120" t="s">
        <v>1212</v>
      </c>
      <c r="E87" s="5" t="s">
        <v>54</v>
      </c>
      <c r="F87" s="4">
        <v>13</v>
      </c>
    </row>
    <row r="88" spans="2:6" x14ac:dyDescent="0.3">
      <c r="B88" s="11">
        <v>78</v>
      </c>
      <c r="C88" s="185" t="s">
        <v>1203</v>
      </c>
      <c r="D88" s="120" t="s">
        <v>1213</v>
      </c>
      <c r="E88" s="5" t="s">
        <v>55</v>
      </c>
      <c r="F88" s="4">
        <v>14</v>
      </c>
    </row>
    <row r="89" spans="2:6" x14ac:dyDescent="0.3">
      <c r="B89" s="11">
        <v>79</v>
      </c>
      <c r="C89" s="185" t="s">
        <v>1203</v>
      </c>
      <c r="D89" s="120" t="s">
        <v>1214</v>
      </c>
      <c r="E89" s="5" t="s">
        <v>56</v>
      </c>
      <c r="F89" s="4">
        <v>15</v>
      </c>
    </row>
    <row r="90" spans="2:6" x14ac:dyDescent="0.3">
      <c r="B90" s="11">
        <v>80</v>
      </c>
      <c r="C90" s="185" t="s">
        <v>1204</v>
      </c>
      <c r="D90" s="120" t="s">
        <v>1199</v>
      </c>
      <c r="E90" s="5" t="s">
        <v>57</v>
      </c>
      <c r="F90" s="4">
        <v>16</v>
      </c>
    </row>
    <row r="91" spans="2:6" x14ac:dyDescent="0.3">
      <c r="B91" s="11">
        <v>81</v>
      </c>
      <c r="C91" s="185" t="s">
        <v>1204</v>
      </c>
      <c r="D91" s="120" t="s">
        <v>1200</v>
      </c>
      <c r="E91" s="5" t="s">
        <v>58</v>
      </c>
      <c r="F91" s="4">
        <v>17</v>
      </c>
    </row>
    <row r="92" spans="2:6" x14ac:dyDescent="0.3">
      <c r="B92" s="11">
        <v>82</v>
      </c>
      <c r="C92" s="185" t="s">
        <v>1204</v>
      </c>
      <c r="D92" s="120" t="s">
        <v>1201</v>
      </c>
      <c r="E92" s="5" t="s">
        <v>59</v>
      </c>
      <c r="F92" s="4">
        <v>18</v>
      </c>
    </row>
    <row r="93" spans="2:6" x14ac:dyDescent="0.3">
      <c r="B93" s="11">
        <v>83</v>
      </c>
      <c r="C93" s="185" t="s">
        <v>1204</v>
      </c>
      <c r="D93" s="120" t="s">
        <v>1202</v>
      </c>
      <c r="F93" s="4">
        <v>19</v>
      </c>
    </row>
    <row r="94" spans="2:6" x14ac:dyDescent="0.3">
      <c r="B94" s="11">
        <v>84</v>
      </c>
      <c r="C94" s="185" t="s">
        <v>1204</v>
      </c>
      <c r="D94" s="120" t="s">
        <v>1203</v>
      </c>
      <c r="F94" s="4">
        <v>20</v>
      </c>
    </row>
    <row r="95" spans="2:6" x14ac:dyDescent="0.3">
      <c r="B95" s="11">
        <v>85</v>
      </c>
      <c r="C95" s="185" t="s">
        <v>1204</v>
      </c>
      <c r="D95" s="120" t="s">
        <v>1204</v>
      </c>
      <c r="F95" s="4">
        <v>21</v>
      </c>
    </row>
    <row r="96" spans="2:6" x14ac:dyDescent="0.3">
      <c r="B96" s="11">
        <v>86</v>
      </c>
      <c r="C96" s="185" t="s">
        <v>1204</v>
      </c>
      <c r="D96" s="120" t="s">
        <v>1205</v>
      </c>
      <c r="F96" s="4">
        <v>22</v>
      </c>
    </row>
    <row r="97" spans="2:6" x14ac:dyDescent="0.3">
      <c r="B97" s="11">
        <v>87</v>
      </c>
      <c r="C97" s="185" t="s">
        <v>1204</v>
      </c>
      <c r="D97" s="120" t="s">
        <v>1206</v>
      </c>
      <c r="F97" s="4">
        <v>23</v>
      </c>
    </row>
    <row r="98" spans="2:6" x14ac:dyDescent="0.3">
      <c r="B98" s="11">
        <v>88</v>
      </c>
      <c r="C98" s="185" t="s">
        <v>1204</v>
      </c>
      <c r="D98" s="120" t="s">
        <v>1207</v>
      </c>
      <c r="F98" s="4">
        <v>24</v>
      </c>
    </row>
    <row r="99" spans="2:6" x14ac:dyDescent="0.3">
      <c r="B99" s="11">
        <v>89</v>
      </c>
      <c r="C99" s="185" t="s">
        <v>1204</v>
      </c>
      <c r="D99" s="120" t="s">
        <v>1208</v>
      </c>
      <c r="F99" s="4">
        <v>25</v>
      </c>
    </row>
    <row r="100" spans="2:6" x14ac:dyDescent="0.3">
      <c r="B100" s="11">
        <v>90</v>
      </c>
      <c r="C100" s="185" t="s">
        <v>1204</v>
      </c>
      <c r="D100" s="120" t="s">
        <v>1209</v>
      </c>
      <c r="F100" s="4">
        <v>26</v>
      </c>
    </row>
    <row r="101" spans="2:6" x14ac:dyDescent="0.3">
      <c r="B101" s="11">
        <v>91</v>
      </c>
      <c r="C101" s="185" t="s">
        <v>1204</v>
      </c>
      <c r="D101" s="120" t="s">
        <v>1210</v>
      </c>
      <c r="F101" s="4">
        <v>27</v>
      </c>
    </row>
    <row r="102" spans="2:6" x14ac:dyDescent="0.3">
      <c r="B102" s="11">
        <v>92</v>
      </c>
      <c r="C102" s="185" t="s">
        <v>1204</v>
      </c>
      <c r="D102" s="120" t="s">
        <v>1211</v>
      </c>
      <c r="F102" s="4">
        <v>28</v>
      </c>
    </row>
    <row r="103" spans="2:6" x14ac:dyDescent="0.3">
      <c r="B103" s="11">
        <v>93</v>
      </c>
      <c r="C103" s="185" t="s">
        <v>1204</v>
      </c>
      <c r="D103" s="120" t="s">
        <v>1212</v>
      </c>
      <c r="F103" s="4">
        <v>29</v>
      </c>
    </row>
    <row r="104" spans="2:6" x14ac:dyDescent="0.3">
      <c r="B104" s="11">
        <v>94</v>
      </c>
      <c r="C104" s="185" t="s">
        <v>1204</v>
      </c>
      <c r="D104" s="120" t="s">
        <v>1213</v>
      </c>
      <c r="F104" s="4">
        <v>30</v>
      </c>
    </row>
    <row r="105" spans="2:6" x14ac:dyDescent="0.3">
      <c r="B105" s="11">
        <v>95</v>
      </c>
      <c r="C105" s="185" t="s">
        <v>1204</v>
      </c>
      <c r="D105" s="120" t="s">
        <v>1214</v>
      </c>
      <c r="F105" s="4">
        <v>31</v>
      </c>
    </row>
    <row r="106" spans="2:6" x14ac:dyDescent="0.3">
      <c r="B106" s="11">
        <v>96</v>
      </c>
      <c r="C106" s="185" t="s">
        <v>1205</v>
      </c>
      <c r="D106" s="120" t="s">
        <v>1199</v>
      </c>
      <c r="F106" s="4">
        <v>32</v>
      </c>
    </row>
    <row r="107" spans="2:6" x14ac:dyDescent="0.3">
      <c r="B107" s="11">
        <v>97</v>
      </c>
      <c r="C107" s="185" t="s">
        <v>1205</v>
      </c>
      <c r="D107" s="120" t="s">
        <v>1200</v>
      </c>
      <c r="F107" s="4">
        <v>33</v>
      </c>
    </row>
    <row r="108" spans="2:6" x14ac:dyDescent="0.3">
      <c r="B108" s="11">
        <v>98</v>
      </c>
      <c r="C108" s="185" t="s">
        <v>1205</v>
      </c>
      <c r="D108" s="120" t="s">
        <v>1201</v>
      </c>
      <c r="F108" s="4">
        <v>34</v>
      </c>
    </row>
    <row r="109" spans="2:6" x14ac:dyDescent="0.3">
      <c r="B109" s="11">
        <v>99</v>
      </c>
      <c r="C109" s="185" t="s">
        <v>1205</v>
      </c>
      <c r="D109" s="120" t="s">
        <v>1202</v>
      </c>
      <c r="F109" s="4">
        <v>35</v>
      </c>
    </row>
    <row r="110" spans="2:6" x14ac:dyDescent="0.3">
      <c r="B110" s="11">
        <v>100</v>
      </c>
      <c r="C110" s="185" t="s">
        <v>1205</v>
      </c>
      <c r="D110" s="120" t="s">
        <v>1203</v>
      </c>
      <c r="F110" s="4">
        <v>36</v>
      </c>
    </row>
    <row r="111" spans="2:6" x14ac:dyDescent="0.3">
      <c r="B111" s="11">
        <v>101</v>
      </c>
      <c r="C111" s="185" t="s">
        <v>1205</v>
      </c>
      <c r="D111" s="120" t="s">
        <v>1204</v>
      </c>
      <c r="F111" s="4">
        <v>37</v>
      </c>
    </row>
    <row r="112" spans="2:6" x14ac:dyDescent="0.3">
      <c r="B112" s="11">
        <v>102</v>
      </c>
      <c r="C112" s="185" t="s">
        <v>1205</v>
      </c>
      <c r="D112" s="120" t="s">
        <v>1205</v>
      </c>
      <c r="F112" s="4">
        <v>38</v>
      </c>
    </row>
    <row r="113" spans="2:6" x14ac:dyDescent="0.3">
      <c r="B113" s="11">
        <v>103</v>
      </c>
      <c r="C113" s="185" t="s">
        <v>1205</v>
      </c>
      <c r="D113" s="120" t="s">
        <v>1206</v>
      </c>
      <c r="F113" s="4">
        <v>39</v>
      </c>
    </row>
    <row r="114" spans="2:6" x14ac:dyDescent="0.3">
      <c r="B114" s="11">
        <v>104</v>
      </c>
      <c r="C114" s="185" t="s">
        <v>1205</v>
      </c>
      <c r="D114" s="120" t="s">
        <v>1207</v>
      </c>
      <c r="F114" s="4">
        <v>40</v>
      </c>
    </row>
    <row r="115" spans="2:6" x14ac:dyDescent="0.3">
      <c r="B115" s="11">
        <v>105</v>
      </c>
      <c r="C115" s="185" t="s">
        <v>1205</v>
      </c>
      <c r="D115" s="120" t="s">
        <v>1208</v>
      </c>
      <c r="F115" s="4">
        <v>41</v>
      </c>
    </row>
    <row r="116" spans="2:6" x14ac:dyDescent="0.3">
      <c r="B116" s="11">
        <v>106</v>
      </c>
      <c r="C116" s="185" t="s">
        <v>1205</v>
      </c>
      <c r="D116" s="120" t="s">
        <v>1209</v>
      </c>
      <c r="F116" s="4">
        <v>42</v>
      </c>
    </row>
    <row r="117" spans="2:6" x14ac:dyDescent="0.3">
      <c r="B117" s="11">
        <v>107</v>
      </c>
      <c r="C117" s="185" t="s">
        <v>1205</v>
      </c>
      <c r="D117" s="120" t="s">
        <v>1210</v>
      </c>
      <c r="F117" s="4">
        <v>43</v>
      </c>
    </row>
    <row r="118" spans="2:6" x14ac:dyDescent="0.3">
      <c r="B118" s="11">
        <v>108</v>
      </c>
      <c r="C118" s="185" t="s">
        <v>1205</v>
      </c>
      <c r="D118" s="120" t="s">
        <v>1211</v>
      </c>
      <c r="F118" s="4">
        <v>44</v>
      </c>
    </row>
    <row r="119" spans="2:6" x14ac:dyDescent="0.3">
      <c r="B119" s="11">
        <v>109</v>
      </c>
      <c r="C119" s="185" t="s">
        <v>1205</v>
      </c>
      <c r="D119" s="120" t="s">
        <v>1212</v>
      </c>
      <c r="F119" s="4">
        <v>45</v>
      </c>
    </row>
    <row r="120" spans="2:6" x14ac:dyDescent="0.3">
      <c r="B120" s="11">
        <v>110</v>
      </c>
      <c r="C120" s="185" t="s">
        <v>1205</v>
      </c>
      <c r="D120" s="120" t="s">
        <v>1213</v>
      </c>
      <c r="F120" s="4">
        <v>46</v>
      </c>
    </row>
    <row r="121" spans="2:6" x14ac:dyDescent="0.3">
      <c r="B121" s="11">
        <v>111</v>
      </c>
      <c r="C121" s="185" t="s">
        <v>1205</v>
      </c>
      <c r="D121" s="120" t="s">
        <v>1214</v>
      </c>
      <c r="F121" s="4">
        <v>47</v>
      </c>
    </row>
    <row r="122" spans="2:6" x14ac:dyDescent="0.3">
      <c r="B122" s="11">
        <v>112</v>
      </c>
      <c r="C122" s="185" t="s">
        <v>1206</v>
      </c>
      <c r="D122" s="120" t="s">
        <v>1199</v>
      </c>
      <c r="F122" s="4">
        <v>48</v>
      </c>
    </row>
    <row r="123" spans="2:6" x14ac:dyDescent="0.3">
      <c r="B123" s="11">
        <v>113</v>
      </c>
      <c r="C123" s="185" t="s">
        <v>1206</v>
      </c>
      <c r="D123" s="120" t="s">
        <v>1200</v>
      </c>
      <c r="F123" s="4">
        <v>49</v>
      </c>
    </row>
    <row r="124" spans="2:6" x14ac:dyDescent="0.3">
      <c r="B124" s="11">
        <v>114</v>
      </c>
      <c r="C124" s="185" t="s">
        <v>1206</v>
      </c>
      <c r="D124" s="120" t="s">
        <v>1201</v>
      </c>
      <c r="F124" s="4">
        <v>50</v>
      </c>
    </row>
    <row r="125" spans="2:6" x14ac:dyDescent="0.3">
      <c r="B125" s="11">
        <v>115</v>
      </c>
      <c r="C125" s="185" t="s">
        <v>1206</v>
      </c>
      <c r="D125" s="120" t="s">
        <v>1202</v>
      </c>
      <c r="F125" s="4">
        <v>51</v>
      </c>
    </row>
    <row r="126" spans="2:6" x14ac:dyDescent="0.3">
      <c r="B126" s="11">
        <v>116</v>
      </c>
      <c r="C126" s="185" t="s">
        <v>1206</v>
      </c>
      <c r="D126" s="120" t="s">
        <v>1203</v>
      </c>
      <c r="F126" s="4">
        <v>52</v>
      </c>
    </row>
    <row r="127" spans="2:6" x14ac:dyDescent="0.3">
      <c r="B127" s="11">
        <v>117</v>
      </c>
      <c r="C127" s="185" t="s">
        <v>1206</v>
      </c>
      <c r="D127" s="120" t="s">
        <v>1204</v>
      </c>
      <c r="F127" s="4">
        <v>53</v>
      </c>
    </row>
    <row r="128" spans="2:6" x14ac:dyDescent="0.3">
      <c r="B128" s="11">
        <v>118</v>
      </c>
      <c r="C128" s="185" t="s">
        <v>1206</v>
      </c>
      <c r="D128" s="120" t="s">
        <v>1205</v>
      </c>
      <c r="F128" s="4">
        <v>54</v>
      </c>
    </row>
    <row r="129" spans="2:6" x14ac:dyDescent="0.3">
      <c r="B129" s="11">
        <v>119</v>
      </c>
      <c r="C129" s="185" t="s">
        <v>1206</v>
      </c>
      <c r="D129" s="120" t="s">
        <v>1206</v>
      </c>
      <c r="F129" s="4">
        <v>55</v>
      </c>
    </row>
    <row r="130" spans="2:6" x14ac:dyDescent="0.3">
      <c r="B130" s="11">
        <v>120</v>
      </c>
      <c r="C130" s="185" t="s">
        <v>1206</v>
      </c>
      <c r="D130" s="120" t="s">
        <v>1207</v>
      </c>
      <c r="F130" s="4">
        <v>56</v>
      </c>
    </row>
    <row r="131" spans="2:6" x14ac:dyDescent="0.3">
      <c r="B131" s="11">
        <v>121</v>
      </c>
      <c r="C131" s="185" t="s">
        <v>1206</v>
      </c>
      <c r="D131" s="120" t="s">
        <v>1208</v>
      </c>
      <c r="F131" s="4">
        <v>57</v>
      </c>
    </row>
    <row r="132" spans="2:6" x14ac:dyDescent="0.3">
      <c r="B132" s="11">
        <v>122</v>
      </c>
      <c r="C132" s="185" t="s">
        <v>1206</v>
      </c>
      <c r="D132" s="120" t="s">
        <v>1209</v>
      </c>
      <c r="F132" s="4">
        <v>58</v>
      </c>
    </row>
    <row r="133" spans="2:6" x14ac:dyDescent="0.3">
      <c r="B133" s="11">
        <v>123</v>
      </c>
      <c r="C133" s="185" t="s">
        <v>1206</v>
      </c>
      <c r="D133" s="120" t="s">
        <v>1210</v>
      </c>
      <c r="F133" s="4">
        <v>59</v>
      </c>
    </row>
    <row r="134" spans="2:6" x14ac:dyDescent="0.3">
      <c r="B134" s="11">
        <v>124</v>
      </c>
      <c r="C134" s="185" t="s">
        <v>1206</v>
      </c>
      <c r="D134" s="120" t="s">
        <v>1211</v>
      </c>
      <c r="F134" s="4">
        <v>60</v>
      </c>
    </row>
    <row r="135" spans="2:6" x14ac:dyDescent="0.3">
      <c r="B135" s="11">
        <v>125</v>
      </c>
      <c r="C135" s="185" t="s">
        <v>1206</v>
      </c>
      <c r="D135" s="120" t="s">
        <v>1212</v>
      </c>
      <c r="F135" s="4">
        <v>61</v>
      </c>
    </row>
    <row r="136" spans="2:6" x14ac:dyDescent="0.3">
      <c r="B136" s="11">
        <v>126</v>
      </c>
      <c r="C136" s="185" t="s">
        <v>1206</v>
      </c>
      <c r="D136" s="120" t="s">
        <v>1213</v>
      </c>
      <c r="F136" s="4">
        <v>62</v>
      </c>
    </row>
    <row r="137" spans="2:6" x14ac:dyDescent="0.3">
      <c r="B137" s="11">
        <v>127</v>
      </c>
      <c r="C137" s="185" t="s">
        <v>1206</v>
      </c>
      <c r="D137" s="4" t="str">
        <f t="shared" ref="D137" si="0">DEC2BIN(B137,8)</f>
        <v>01111111</v>
      </c>
      <c r="F137" s="4">
        <v>63</v>
      </c>
    </row>
  </sheetData>
  <mergeCells count="13">
    <mergeCell ref="C9:D9"/>
    <mergeCell ref="AH8:AJ8"/>
    <mergeCell ref="AK8:AL8"/>
    <mergeCell ref="AM8:AN8"/>
    <mergeCell ref="AO8:AQ8"/>
    <mergeCell ref="AV8:AW8"/>
    <mergeCell ref="AE8:AG8"/>
    <mergeCell ref="E8:I8"/>
    <mergeCell ref="J8:K8"/>
    <mergeCell ref="L8:P8"/>
    <mergeCell ref="Q8:R8"/>
    <mergeCell ref="S8:W8"/>
    <mergeCell ref="Z8:AB8"/>
  </mergeCells>
  <phoneticPr fontId="1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67"/>
  <sheetViews>
    <sheetView topLeftCell="A19" zoomScale="85" zoomScaleNormal="85" workbookViewId="0">
      <selection activeCell="B8" sqref="B8:B162"/>
    </sheetView>
  </sheetViews>
  <sheetFormatPr defaultColWidth="8.875" defaultRowHeight="16.5" x14ac:dyDescent="0.3"/>
  <cols>
    <col min="1" max="1" width="8.875" style="12"/>
    <col min="2" max="2" width="18.375" style="12" customWidth="1"/>
    <col min="3" max="3" width="11" style="12" customWidth="1"/>
    <col min="4" max="4" width="21" style="11" customWidth="1"/>
    <col min="5" max="5" width="16.375" style="11" customWidth="1"/>
    <col min="6" max="6" width="21.375" style="11" customWidth="1"/>
    <col min="7" max="7" width="13.625" style="12" customWidth="1"/>
    <col min="8" max="16384" width="8.875" style="12"/>
  </cols>
  <sheetData>
    <row r="1" spans="2:8" x14ac:dyDescent="0.3">
      <c r="H1" s="11"/>
    </row>
    <row r="2" spans="2:8" x14ac:dyDescent="0.3">
      <c r="H2" s="11"/>
    </row>
    <row r="3" spans="2:8" x14ac:dyDescent="0.3">
      <c r="H3" s="11"/>
    </row>
    <row r="4" spans="2:8" x14ac:dyDescent="0.3">
      <c r="H4" s="11"/>
    </row>
    <row r="6" spans="2:8" ht="24.75" customHeight="1" x14ac:dyDescent="0.3">
      <c r="B6" s="310" t="s">
        <v>275</v>
      </c>
      <c r="C6" s="310"/>
      <c r="D6" s="310"/>
      <c r="E6" s="310" t="s">
        <v>276</v>
      </c>
      <c r="F6" s="310" t="s">
        <v>277</v>
      </c>
    </row>
    <row r="7" spans="2:8" ht="25.5" customHeight="1" x14ac:dyDescent="0.3">
      <c r="B7" s="3" t="s">
        <v>278</v>
      </c>
      <c r="C7" s="3" t="s">
        <v>279</v>
      </c>
      <c r="D7" s="3" t="s">
        <v>280</v>
      </c>
      <c r="E7" s="310"/>
      <c r="F7" s="310"/>
    </row>
    <row r="8" spans="2:8" x14ac:dyDescent="0.3">
      <c r="B8" s="311">
        <v>0</v>
      </c>
      <c r="C8" s="3">
        <v>0</v>
      </c>
      <c r="D8" s="3">
        <v>0</v>
      </c>
      <c r="E8" s="3">
        <v>24</v>
      </c>
      <c r="F8" s="3" t="s">
        <v>342</v>
      </c>
    </row>
    <row r="9" spans="2:8" x14ac:dyDescent="0.3">
      <c r="B9" s="312"/>
      <c r="C9" s="3">
        <v>0</v>
      </c>
      <c r="D9" s="3">
        <f t="shared" ref="D9:D73" si="0">D8+E8/8</f>
        <v>3</v>
      </c>
      <c r="E9" s="3">
        <v>24</v>
      </c>
      <c r="F9" s="3" t="s">
        <v>343</v>
      </c>
    </row>
    <row r="10" spans="2:8" x14ac:dyDescent="0.3">
      <c r="B10" s="312"/>
      <c r="C10" s="3">
        <v>0</v>
      </c>
      <c r="D10" s="129">
        <f t="shared" si="0"/>
        <v>6</v>
      </c>
      <c r="E10" s="3">
        <v>24</v>
      </c>
      <c r="F10" s="3" t="s">
        <v>281</v>
      </c>
    </row>
    <row r="11" spans="2:8" x14ac:dyDescent="0.3">
      <c r="B11" s="312"/>
      <c r="C11" s="3">
        <v>0</v>
      </c>
      <c r="D11" s="129">
        <f t="shared" si="0"/>
        <v>9</v>
      </c>
      <c r="E11" s="3">
        <v>24</v>
      </c>
      <c r="F11" s="3" t="s">
        <v>282</v>
      </c>
    </row>
    <row r="12" spans="2:8" x14ac:dyDescent="0.3">
      <c r="B12" s="312"/>
      <c r="C12" s="3">
        <v>0</v>
      </c>
      <c r="D12" s="129">
        <f t="shared" si="0"/>
        <v>12</v>
      </c>
      <c r="E12" s="3">
        <v>24</v>
      </c>
      <c r="F12" s="3" t="s">
        <v>283</v>
      </c>
    </row>
    <row r="13" spans="2:8" x14ac:dyDescent="0.3">
      <c r="B13" s="312"/>
      <c r="C13" s="3">
        <v>0</v>
      </c>
      <c r="D13" s="129">
        <f t="shared" si="0"/>
        <v>15</v>
      </c>
      <c r="E13" s="3">
        <v>24</v>
      </c>
      <c r="F13" s="3" t="s">
        <v>284</v>
      </c>
    </row>
    <row r="14" spans="2:8" x14ac:dyDescent="0.3">
      <c r="B14" s="312"/>
      <c r="C14" s="3">
        <v>0</v>
      </c>
      <c r="D14" s="129">
        <f t="shared" si="0"/>
        <v>18</v>
      </c>
      <c r="E14" s="3">
        <v>24</v>
      </c>
      <c r="F14" s="3" t="s">
        <v>285</v>
      </c>
    </row>
    <row r="15" spans="2:8" x14ac:dyDescent="0.3">
      <c r="B15" s="312"/>
      <c r="C15" s="3">
        <v>0</v>
      </c>
      <c r="D15" s="129">
        <f t="shared" si="0"/>
        <v>21</v>
      </c>
      <c r="E15" s="3">
        <v>24</v>
      </c>
      <c r="F15" s="3" t="s">
        <v>286</v>
      </c>
    </row>
    <row r="16" spans="2:8" x14ac:dyDescent="0.3">
      <c r="B16" s="312"/>
      <c r="C16" s="3">
        <v>0</v>
      </c>
      <c r="D16" s="129">
        <f t="shared" si="0"/>
        <v>24</v>
      </c>
      <c r="E16" s="3">
        <v>24</v>
      </c>
      <c r="F16" s="3" t="s">
        <v>287</v>
      </c>
    </row>
    <row r="17" spans="2:6" x14ac:dyDescent="0.3">
      <c r="B17" s="312"/>
      <c r="C17" s="3">
        <v>0</v>
      </c>
      <c r="D17" s="129">
        <f t="shared" si="0"/>
        <v>27</v>
      </c>
      <c r="E17" s="3">
        <v>24</v>
      </c>
      <c r="F17" s="3" t="s">
        <v>288</v>
      </c>
    </row>
    <row r="18" spans="2:6" x14ac:dyDescent="0.3">
      <c r="B18" s="312"/>
      <c r="C18" s="3">
        <v>0</v>
      </c>
      <c r="D18" s="129">
        <f t="shared" si="0"/>
        <v>30</v>
      </c>
      <c r="E18" s="3">
        <v>24</v>
      </c>
      <c r="F18" s="3" t="s">
        <v>289</v>
      </c>
    </row>
    <row r="19" spans="2:6" x14ac:dyDescent="0.3">
      <c r="B19" s="312"/>
      <c r="C19" s="3">
        <v>0</v>
      </c>
      <c r="D19" s="129">
        <f t="shared" si="0"/>
        <v>33</v>
      </c>
      <c r="E19" s="3">
        <v>24</v>
      </c>
      <c r="F19" s="3" t="s">
        <v>290</v>
      </c>
    </row>
    <row r="20" spans="2:6" x14ac:dyDescent="0.3">
      <c r="B20" s="312"/>
      <c r="C20" s="3">
        <v>0</v>
      </c>
      <c r="D20" s="129">
        <f t="shared" si="0"/>
        <v>36</v>
      </c>
      <c r="E20" s="3">
        <v>24</v>
      </c>
      <c r="F20" s="3" t="s">
        <v>291</v>
      </c>
    </row>
    <row r="21" spans="2:6" x14ac:dyDescent="0.3">
      <c r="B21" s="312"/>
      <c r="C21" s="3">
        <v>0</v>
      </c>
      <c r="D21" s="129">
        <f t="shared" si="0"/>
        <v>39</v>
      </c>
      <c r="E21" s="3">
        <v>24</v>
      </c>
      <c r="F21" s="3" t="s">
        <v>292</v>
      </c>
    </row>
    <row r="22" spans="2:6" x14ac:dyDescent="0.3">
      <c r="B22" s="312"/>
      <c r="C22" s="3">
        <v>0</v>
      </c>
      <c r="D22" s="129">
        <f t="shared" si="0"/>
        <v>42</v>
      </c>
      <c r="E22" s="3">
        <v>24</v>
      </c>
      <c r="F22" s="3" t="s">
        <v>293</v>
      </c>
    </row>
    <row r="23" spans="2:6" x14ac:dyDescent="0.3">
      <c r="B23" s="312"/>
      <c r="C23" s="3">
        <v>0</v>
      </c>
      <c r="D23" s="129">
        <f t="shared" si="0"/>
        <v>45</v>
      </c>
      <c r="E23" s="3">
        <v>24</v>
      </c>
      <c r="F23" s="3" t="s">
        <v>294</v>
      </c>
    </row>
    <row r="24" spans="2:6" x14ac:dyDescent="0.3">
      <c r="B24" s="312"/>
      <c r="C24" s="3">
        <v>0</v>
      </c>
      <c r="D24" s="129">
        <f t="shared" si="0"/>
        <v>48</v>
      </c>
      <c r="E24" s="3">
        <v>24</v>
      </c>
      <c r="F24" s="5" t="s">
        <v>65</v>
      </c>
    </row>
    <row r="25" spans="2:6" x14ac:dyDescent="0.3">
      <c r="B25" s="312"/>
      <c r="C25" s="3">
        <v>0</v>
      </c>
      <c r="D25" s="129">
        <f t="shared" si="0"/>
        <v>51</v>
      </c>
      <c r="E25" s="3">
        <v>24</v>
      </c>
      <c r="F25" s="5" t="s">
        <v>66</v>
      </c>
    </row>
    <row r="26" spans="2:6" x14ac:dyDescent="0.3">
      <c r="B26" s="312"/>
      <c r="C26" s="3">
        <v>0</v>
      </c>
      <c r="D26" s="129">
        <f t="shared" si="0"/>
        <v>54</v>
      </c>
      <c r="E26" s="3">
        <v>8</v>
      </c>
      <c r="F26" s="5" t="s">
        <v>67</v>
      </c>
    </row>
    <row r="27" spans="2:6" x14ac:dyDescent="0.3">
      <c r="B27" s="312"/>
      <c r="C27" s="3">
        <v>0</v>
      </c>
      <c r="D27" s="129">
        <f t="shared" si="0"/>
        <v>55</v>
      </c>
      <c r="E27" s="3">
        <v>24</v>
      </c>
      <c r="F27" s="5" t="s">
        <v>68</v>
      </c>
    </row>
    <row r="28" spans="2:6" x14ac:dyDescent="0.3">
      <c r="B28" s="312"/>
      <c r="C28" s="3">
        <v>0</v>
      </c>
      <c r="D28" s="129">
        <f t="shared" si="0"/>
        <v>58</v>
      </c>
      <c r="E28" s="3">
        <v>24</v>
      </c>
      <c r="F28" s="5" t="s">
        <v>69</v>
      </c>
    </row>
    <row r="29" spans="2:6" x14ac:dyDescent="0.3">
      <c r="B29" s="312"/>
      <c r="C29" s="3">
        <v>0</v>
      </c>
      <c r="D29" s="129">
        <f t="shared" si="0"/>
        <v>61</v>
      </c>
      <c r="E29" s="3">
        <v>24</v>
      </c>
      <c r="F29" s="5" t="s">
        <v>70</v>
      </c>
    </row>
    <row r="30" spans="2:6" x14ac:dyDescent="0.3">
      <c r="B30" s="312"/>
      <c r="C30" s="3">
        <v>0</v>
      </c>
      <c r="D30" s="129">
        <f t="shared" si="0"/>
        <v>64</v>
      </c>
      <c r="E30" s="3">
        <v>24</v>
      </c>
      <c r="F30" s="5" t="s">
        <v>71</v>
      </c>
    </row>
    <row r="31" spans="2:6" x14ac:dyDescent="0.3">
      <c r="B31" s="312"/>
      <c r="C31" s="3">
        <v>0</v>
      </c>
      <c r="D31" s="129">
        <f t="shared" si="0"/>
        <v>67</v>
      </c>
      <c r="E31" s="3">
        <v>24</v>
      </c>
      <c r="F31" s="5" t="s">
        <v>72</v>
      </c>
    </row>
    <row r="32" spans="2:6" x14ac:dyDescent="0.3">
      <c r="B32" s="312"/>
      <c r="C32" s="3">
        <v>0</v>
      </c>
      <c r="D32" s="129">
        <f t="shared" si="0"/>
        <v>70</v>
      </c>
      <c r="E32" s="95">
        <v>24</v>
      </c>
      <c r="F32" s="5" t="s">
        <v>73</v>
      </c>
    </row>
    <row r="33" spans="2:6" x14ac:dyDescent="0.3">
      <c r="B33" s="312"/>
      <c r="C33" s="3">
        <v>0</v>
      </c>
      <c r="D33" s="129">
        <f t="shared" si="0"/>
        <v>73</v>
      </c>
      <c r="E33" s="95">
        <v>8</v>
      </c>
      <c r="F33" s="5" t="s">
        <v>74</v>
      </c>
    </row>
    <row r="34" spans="2:6" x14ac:dyDescent="0.3">
      <c r="B34" s="312"/>
      <c r="C34" s="3">
        <v>0</v>
      </c>
      <c r="D34" s="129">
        <f t="shared" si="0"/>
        <v>74</v>
      </c>
      <c r="E34" s="95">
        <v>24</v>
      </c>
      <c r="F34" s="5" t="s">
        <v>75</v>
      </c>
    </row>
    <row r="35" spans="2:6" x14ac:dyDescent="0.3">
      <c r="B35" s="312"/>
      <c r="C35" s="3">
        <v>0</v>
      </c>
      <c r="D35" s="129">
        <f t="shared" si="0"/>
        <v>77</v>
      </c>
      <c r="E35" s="95">
        <v>24</v>
      </c>
      <c r="F35" s="5" t="s">
        <v>76</v>
      </c>
    </row>
    <row r="36" spans="2:6" x14ac:dyDescent="0.3">
      <c r="B36" s="312"/>
      <c r="C36" s="3">
        <v>0</v>
      </c>
      <c r="D36" s="129">
        <f t="shared" si="0"/>
        <v>80</v>
      </c>
      <c r="E36" s="95">
        <v>24</v>
      </c>
      <c r="F36" s="5" t="s">
        <v>77</v>
      </c>
    </row>
    <row r="37" spans="2:6" x14ac:dyDescent="0.3">
      <c r="B37" s="312"/>
      <c r="C37" s="3">
        <v>0</v>
      </c>
      <c r="D37" s="129">
        <f t="shared" si="0"/>
        <v>83</v>
      </c>
      <c r="E37" s="95">
        <v>24</v>
      </c>
      <c r="F37" s="5" t="s">
        <v>78</v>
      </c>
    </row>
    <row r="38" spans="2:6" x14ac:dyDescent="0.3">
      <c r="B38" s="312"/>
      <c r="C38" s="3">
        <v>0</v>
      </c>
      <c r="D38" s="129">
        <f t="shared" si="0"/>
        <v>86</v>
      </c>
      <c r="E38" s="95">
        <v>24</v>
      </c>
      <c r="F38" s="5" t="s">
        <v>79</v>
      </c>
    </row>
    <row r="39" spans="2:6" x14ac:dyDescent="0.3">
      <c r="B39" s="312"/>
      <c r="C39" s="3">
        <v>0</v>
      </c>
      <c r="D39" s="129">
        <f t="shared" si="0"/>
        <v>89</v>
      </c>
      <c r="E39" s="95">
        <v>24</v>
      </c>
      <c r="F39" s="5" t="s">
        <v>80</v>
      </c>
    </row>
    <row r="40" spans="2:6" x14ac:dyDescent="0.3">
      <c r="B40" s="312"/>
      <c r="C40" s="3">
        <v>0</v>
      </c>
      <c r="D40" s="129">
        <f t="shared" si="0"/>
        <v>92</v>
      </c>
      <c r="E40" s="95">
        <v>24</v>
      </c>
      <c r="F40" s="5" t="s">
        <v>1235</v>
      </c>
    </row>
    <row r="41" spans="2:6" x14ac:dyDescent="0.3">
      <c r="B41" s="312"/>
      <c r="C41" s="3">
        <v>0</v>
      </c>
      <c r="D41" s="129">
        <f t="shared" si="0"/>
        <v>95</v>
      </c>
      <c r="E41" s="129">
        <v>24</v>
      </c>
      <c r="F41" s="5" t="s">
        <v>81</v>
      </c>
    </row>
    <row r="42" spans="2:6" x14ac:dyDescent="0.3">
      <c r="B42" s="312"/>
      <c r="C42" s="3">
        <v>0</v>
      </c>
      <c r="D42" s="129">
        <f t="shared" si="0"/>
        <v>98</v>
      </c>
      <c r="E42" s="95">
        <v>24</v>
      </c>
      <c r="F42" s="5" t="s">
        <v>82</v>
      </c>
    </row>
    <row r="43" spans="2:6" x14ac:dyDescent="0.3">
      <c r="B43" s="312"/>
      <c r="C43" s="3">
        <v>0</v>
      </c>
      <c r="D43" s="129">
        <f t="shared" si="0"/>
        <v>101</v>
      </c>
      <c r="E43" s="95">
        <v>24</v>
      </c>
      <c r="F43" s="5" t="s">
        <v>83</v>
      </c>
    </row>
    <row r="44" spans="2:6" x14ac:dyDescent="0.3">
      <c r="B44" s="312"/>
      <c r="C44" s="3">
        <v>0</v>
      </c>
      <c r="D44" s="129">
        <f t="shared" si="0"/>
        <v>104</v>
      </c>
      <c r="E44" s="95">
        <v>24</v>
      </c>
      <c r="F44" s="5" t="s">
        <v>84</v>
      </c>
    </row>
    <row r="45" spans="2:6" x14ac:dyDescent="0.3">
      <c r="B45" s="312"/>
      <c r="C45" s="3"/>
      <c r="D45" s="129">
        <f t="shared" si="0"/>
        <v>107</v>
      </c>
      <c r="E45" s="95">
        <v>24</v>
      </c>
      <c r="F45" s="5" t="s">
        <v>85</v>
      </c>
    </row>
    <row r="46" spans="2:6" x14ac:dyDescent="0.3">
      <c r="B46" s="312"/>
      <c r="C46" s="3"/>
      <c r="D46" s="129">
        <f t="shared" si="0"/>
        <v>110</v>
      </c>
      <c r="E46" s="95">
        <v>24</v>
      </c>
      <c r="F46" s="5" t="s">
        <v>86</v>
      </c>
    </row>
    <row r="47" spans="2:6" x14ac:dyDescent="0.3">
      <c r="B47" s="312"/>
      <c r="C47" s="104"/>
      <c r="D47" s="129">
        <f t="shared" si="0"/>
        <v>113</v>
      </c>
      <c r="E47" s="95">
        <v>24</v>
      </c>
      <c r="F47" s="5" t="s">
        <v>87</v>
      </c>
    </row>
    <row r="48" spans="2:6" x14ac:dyDescent="0.3">
      <c r="B48" s="312"/>
      <c r="C48" s="3">
        <v>0</v>
      </c>
      <c r="D48" s="129">
        <f t="shared" si="0"/>
        <v>116</v>
      </c>
      <c r="E48" s="129">
        <v>24</v>
      </c>
      <c r="F48" s="5" t="s">
        <v>1194</v>
      </c>
    </row>
    <row r="49" spans="2:18" x14ac:dyDescent="0.3">
      <c r="B49" s="312"/>
      <c r="C49" s="3">
        <v>0</v>
      </c>
      <c r="D49" s="129">
        <f t="shared" si="0"/>
        <v>119</v>
      </c>
      <c r="E49" s="129">
        <v>24</v>
      </c>
      <c r="F49" s="5" t="s">
        <v>89</v>
      </c>
    </row>
    <row r="50" spans="2:18" x14ac:dyDescent="0.3">
      <c r="B50" s="312"/>
      <c r="C50" s="3">
        <v>0</v>
      </c>
      <c r="D50" s="129">
        <f t="shared" si="0"/>
        <v>122</v>
      </c>
      <c r="E50" s="129">
        <v>24</v>
      </c>
      <c r="F50" s="5" t="s">
        <v>90</v>
      </c>
    </row>
    <row r="51" spans="2:18" x14ac:dyDescent="0.3">
      <c r="B51" s="312"/>
      <c r="C51" s="3">
        <v>0</v>
      </c>
      <c r="D51" s="129">
        <f t="shared" si="0"/>
        <v>125</v>
      </c>
      <c r="E51" s="129">
        <v>24</v>
      </c>
      <c r="F51" s="5" t="s">
        <v>91</v>
      </c>
    </row>
    <row r="52" spans="2:18" x14ac:dyDescent="0.3">
      <c r="B52" s="312"/>
      <c r="C52" s="104"/>
      <c r="D52" s="129">
        <f t="shared" si="0"/>
        <v>128</v>
      </c>
      <c r="E52" s="129">
        <v>24</v>
      </c>
      <c r="F52" s="5" t="s">
        <v>92</v>
      </c>
    </row>
    <row r="53" spans="2:18" x14ac:dyDescent="0.3">
      <c r="B53" s="312"/>
      <c r="C53" s="3">
        <v>0</v>
      </c>
      <c r="D53" s="129">
        <f t="shared" si="0"/>
        <v>131</v>
      </c>
      <c r="E53" s="129">
        <v>24</v>
      </c>
      <c r="F53" s="5" t="s">
        <v>1195</v>
      </c>
      <c r="P53" s="162">
        <v>164</v>
      </c>
      <c r="Q53" s="12">
        <f>P53+1</f>
        <v>165</v>
      </c>
      <c r="R53" s="12">
        <f>Q53+1</f>
        <v>166</v>
      </c>
    </row>
    <row r="54" spans="2:18" x14ac:dyDescent="0.3">
      <c r="B54" s="312"/>
      <c r="C54" s="3">
        <v>0</v>
      </c>
      <c r="D54" s="129">
        <f t="shared" si="0"/>
        <v>134</v>
      </c>
      <c r="E54" s="129">
        <v>24</v>
      </c>
      <c r="F54" s="5" t="s">
        <v>93</v>
      </c>
      <c r="P54" s="162">
        <v>167</v>
      </c>
      <c r="Q54" s="12">
        <f t="shared" ref="Q54:R54" si="1">P54+1</f>
        <v>168</v>
      </c>
      <c r="R54" s="12">
        <f t="shared" si="1"/>
        <v>169</v>
      </c>
    </row>
    <row r="55" spans="2:18" x14ac:dyDescent="0.3">
      <c r="B55" s="312"/>
      <c r="C55" s="3">
        <v>0</v>
      </c>
      <c r="D55" s="129">
        <f t="shared" si="0"/>
        <v>137</v>
      </c>
      <c r="E55" s="129">
        <v>24</v>
      </c>
      <c r="F55" s="5" t="s">
        <v>94</v>
      </c>
      <c r="P55" s="162">
        <v>170</v>
      </c>
      <c r="Q55" s="12">
        <f t="shared" ref="Q55:R55" si="2">P55+1</f>
        <v>171</v>
      </c>
      <c r="R55" s="12">
        <f t="shared" si="2"/>
        <v>172</v>
      </c>
    </row>
    <row r="56" spans="2:18" x14ac:dyDescent="0.3">
      <c r="B56" s="312"/>
      <c r="C56" s="3">
        <v>0</v>
      </c>
      <c r="D56" s="129">
        <f t="shared" si="0"/>
        <v>140</v>
      </c>
      <c r="E56" s="129">
        <v>24</v>
      </c>
      <c r="F56" s="5" t="s">
        <v>95</v>
      </c>
      <c r="P56" s="162">
        <v>172</v>
      </c>
      <c r="Q56" s="12">
        <f t="shared" ref="Q56:R56" si="3">P56+1</f>
        <v>173</v>
      </c>
      <c r="R56" s="12">
        <f t="shared" si="3"/>
        <v>174</v>
      </c>
    </row>
    <row r="57" spans="2:18" x14ac:dyDescent="0.3">
      <c r="B57" s="312"/>
      <c r="C57" s="3">
        <v>0</v>
      </c>
      <c r="D57" s="129">
        <f t="shared" si="0"/>
        <v>143</v>
      </c>
      <c r="E57" s="129">
        <v>24</v>
      </c>
      <c r="F57" s="5" t="s">
        <v>96</v>
      </c>
      <c r="P57" s="162">
        <v>175</v>
      </c>
      <c r="Q57" s="12">
        <f t="shared" ref="Q57:R57" si="4">P57+1</f>
        <v>176</v>
      </c>
      <c r="R57" s="12">
        <f t="shared" si="4"/>
        <v>177</v>
      </c>
    </row>
    <row r="58" spans="2:18" x14ac:dyDescent="0.3">
      <c r="B58" s="312"/>
      <c r="C58" s="3">
        <v>0</v>
      </c>
      <c r="D58" s="129">
        <f t="shared" si="0"/>
        <v>146</v>
      </c>
      <c r="E58" s="129">
        <v>24</v>
      </c>
      <c r="F58" s="5" t="s">
        <v>97</v>
      </c>
      <c r="P58" s="162">
        <v>178</v>
      </c>
      <c r="Q58" s="12">
        <f t="shared" ref="Q58:R58" si="5">P58+1</f>
        <v>179</v>
      </c>
      <c r="R58" s="12">
        <f t="shared" si="5"/>
        <v>180</v>
      </c>
    </row>
    <row r="59" spans="2:18" x14ac:dyDescent="0.3">
      <c r="B59" s="312"/>
      <c r="C59" s="3">
        <v>0</v>
      </c>
      <c r="D59" s="129">
        <f t="shared" si="0"/>
        <v>149</v>
      </c>
      <c r="E59" s="129">
        <v>24</v>
      </c>
      <c r="F59" s="5" t="s">
        <v>98</v>
      </c>
      <c r="P59" s="162">
        <v>180</v>
      </c>
      <c r="Q59" s="12">
        <f t="shared" ref="Q59:R59" si="6">P59+1</f>
        <v>181</v>
      </c>
      <c r="R59" s="12">
        <f t="shared" si="6"/>
        <v>182</v>
      </c>
    </row>
    <row r="60" spans="2:18" x14ac:dyDescent="0.3">
      <c r="B60" s="312"/>
      <c r="C60" s="3">
        <v>0</v>
      </c>
      <c r="D60" s="129">
        <f t="shared" si="0"/>
        <v>152</v>
      </c>
      <c r="E60" s="129">
        <v>24</v>
      </c>
      <c r="F60" s="5" t="s">
        <v>165</v>
      </c>
      <c r="P60" s="162">
        <v>183</v>
      </c>
      <c r="Q60" s="12">
        <f t="shared" ref="Q60:R60" si="7">P60+1</f>
        <v>184</v>
      </c>
      <c r="R60" s="12">
        <f t="shared" si="7"/>
        <v>185</v>
      </c>
    </row>
    <row r="61" spans="2:18" x14ac:dyDescent="0.3">
      <c r="B61" s="312"/>
      <c r="C61" s="3">
        <v>0</v>
      </c>
      <c r="D61" s="129">
        <f t="shared" si="0"/>
        <v>155</v>
      </c>
      <c r="E61" s="129">
        <v>24</v>
      </c>
      <c r="F61" s="5" t="s">
        <v>1435</v>
      </c>
      <c r="P61" s="162">
        <v>185</v>
      </c>
      <c r="Q61" s="12">
        <f t="shared" ref="Q61:R61" si="8">P61+1</f>
        <v>186</v>
      </c>
      <c r="R61" s="12">
        <f t="shared" si="8"/>
        <v>187</v>
      </c>
    </row>
    <row r="62" spans="2:18" x14ac:dyDescent="0.3">
      <c r="B62" s="312"/>
      <c r="C62" s="3">
        <v>0</v>
      </c>
      <c r="D62" s="129">
        <f t="shared" si="0"/>
        <v>158</v>
      </c>
      <c r="E62" s="3">
        <v>24</v>
      </c>
      <c r="F62" s="5" t="s">
        <v>99</v>
      </c>
      <c r="P62" s="162">
        <v>186</v>
      </c>
      <c r="Q62" s="12">
        <f t="shared" ref="Q62:R62" si="9">P62+1</f>
        <v>187</v>
      </c>
      <c r="R62" s="12">
        <f t="shared" si="9"/>
        <v>188</v>
      </c>
    </row>
    <row r="63" spans="2:18" x14ac:dyDescent="0.3">
      <c r="B63" s="312"/>
      <c r="C63" s="3">
        <v>0</v>
      </c>
      <c r="D63" s="129">
        <f t="shared" si="0"/>
        <v>161</v>
      </c>
      <c r="E63" s="3">
        <v>24</v>
      </c>
      <c r="F63" s="5" t="s">
        <v>100</v>
      </c>
      <c r="P63" s="162">
        <v>189</v>
      </c>
      <c r="Q63" s="12">
        <f t="shared" ref="Q63:R63" si="10">P63+1</f>
        <v>190</v>
      </c>
      <c r="R63" s="12">
        <f t="shared" si="10"/>
        <v>191</v>
      </c>
    </row>
    <row r="64" spans="2:18" x14ac:dyDescent="0.3">
      <c r="B64" s="312"/>
      <c r="C64" s="3">
        <v>0</v>
      </c>
      <c r="D64" s="129">
        <f t="shared" si="0"/>
        <v>164</v>
      </c>
      <c r="E64" s="129">
        <v>24</v>
      </c>
      <c r="F64" s="5" t="s">
        <v>101</v>
      </c>
      <c r="P64" s="162">
        <v>192</v>
      </c>
      <c r="Q64" s="12">
        <f t="shared" ref="Q64:R64" si="11">P64+1</f>
        <v>193</v>
      </c>
      <c r="R64" s="12">
        <f t="shared" si="11"/>
        <v>194</v>
      </c>
    </row>
    <row r="65" spans="2:18" x14ac:dyDescent="0.3">
      <c r="B65" s="312"/>
      <c r="C65" s="3">
        <v>0</v>
      </c>
      <c r="D65" s="129">
        <f t="shared" si="0"/>
        <v>167</v>
      </c>
      <c r="E65" s="129">
        <v>24</v>
      </c>
      <c r="F65" s="5" t="s">
        <v>102</v>
      </c>
      <c r="P65" s="162">
        <v>194</v>
      </c>
      <c r="Q65" s="12">
        <f t="shared" ref="Q65:R65" si="12">P65+1</f>
        <v>195</v>
      </c>
      <c r="R65" s="12">
        <f t="shared" si="12"/>
        <v>196</v>
      </c>
    </row>
    <row r="66" spans="2:18" x14ac:dyDescent="0.3">
      <c r="B66" s="312"/>
      <c r="C66" s="3">
        <v>0</v>
      </c>
      <c r="D66" s="129">
        <f t="shared" si="0"/>
        <v>170</v>
      </c>
      <c r="E66" s="129">
        <v>16</v>
      </c>
      <c r="F66" s="5" t="s">
        <v>1182</v>
      </c>
      <c r="P66" s="162">
        <v>197</v>
      </c>
      <c r="Q66" s="12">
        <f t="shared" ref="Q66:R66" si="13">P66+1</f>
        <v>198</v>
      </c>
      <c r="R66" s="12">
        <f t="shared" si="13"/>
        <v>199</v>
      </c>
    </row>
    <row r="67" spans="2:18" x14ac:dyDescent="0.3">
      <c r="B67" s="312"/>
      <c r="C67" s="3">
        <v>0</v>
      </c>
      <c r="D67" s="129">
        <f t="shared" si="0"/>
        <v>172</v>
      </c>
      <c r="E67" s="103">
        <v>24</v>
      </c>
      <c r="F67" s="103" t="s">
        <v>1433</v>
      </c>
      <c r="H67" s="12" t="s">
        <v>1177</v>
      </c>
      <c r="P67" s="162">
        <v>200</v>
      </c>
      <c r="Q67" s="12">
        <f t="shared" ref="Q67:R67" si="14">P67+1</f>
        <v>201</v>
      </c>
      <c r="R67" s="12">
        <f t="shared" si="14"/>
        <v>202</v>
      </c>
    </row>
    <row r="68" spans="2:18" x14ac:dyDescent="0.3">
      <c r="B68" s="312"/>
      <c r="C68" s="3">
        <v>0</v>
      </c>
      <c r="D68" s="129">
        <f t="shared" si="0"/>
        <v>175</v>
      </c>
      <c r="E68" s="103">
        <v>24</v>
      </c>
      <c r="F68" s="103" t="s">
        <v>1151</v>
      </c>
      <c r="H68" s="12" t="s">
        <v>295</v>
      </c>
      <c r="P68" s="162">
        <v>201</v>
      </c>
      <c r="Q68" s="12">
        <f t="shared" ref="Q68:R68" si="15">P68+1</f>
        <v>202</v>
      </c>
      <c r="R68" s="12">
        <f t="shared" si="15"/>
        <v>203</v>
      </c>
    </row>
    <row r="69" spans="2:18" x14ac:dyDescent="0.3">
      <c r="B69" s="312"/>
      <c r="C69" s="3">
        <v>0</v>
      </c>
      <c r="D69" s="129">
        <f t="shared" si="0"/>
        <v>178</v>
      </c>
      <c r="E69" s="103">
        <v>16</v>
      </c>
      <c r="F69" s="138" t="s">
        <v>1434</v>
      </c>
      <c r="H69" s="12" t="s">
        <v>1178</v>
      </c>
      <c r="P69" s="162">
        <v>204</v>
      </c>
      <c r="Q69" s="12">
        <f t="shared" ref="Q69:R69" si="16">P69+1</f>
        <v>205</v>
      </c>
      <c r="R69" s="12">
        <f t="shared" si="16"/>
        <v>206</v>
      </c>
    </row>
    <row r="70" spans="2:18" x14ac:dyDescent="0.3">
      <c r="B70" s="312"/>
      <c r="C70" s="3">
        <v>0</v>
      </c>
      <c r="D70" s="129">
        <f t="shared" si="0"/>
        <v>180</v>
      </c>
      <c r="E70" s="103">
        <v>24</v>
      </c>
      <c r="F70" s="138" t="s">
        <v>1431</v>
      </c>
      <c r="H70" s="12" t="s">
        <v>1179</v>
      </c>
      <c r="P70" s="162">
        <v>207</v>
      </c>
      <c r="Q70" s="12">
        <f t="shared" ref="Q70:R70" si="17">P70+1</f>
        <v>208</v>
      </c>
      <c r="R70" s="12">
        <f t="shared" si="17"/>
        <v>209</v>
      </c>
    </row>
    <row r="71" spans="2:18" x14ac:dyDescent="0.3">
      <c r="B71" s="312"/>
      <c r="C71" s="3">
        <v>0</v>
      </c>
      <c r="D71" s="129">
        <f t="shared" si="0"/>
        <v>183</v>
      </c>
      <c r="E71" s="103">
        <v>16</v>
      </c>
      <c r="F71" s="138" t="s">
        <v>1436</v>
      </c>
      <c r="H71" s="12" t="s">
        <v>1180</v>
      </c>
      <c r="P71" s="162">
        <v>210</v>
      </c>
      <c r="Q71" s="12">
        <f t="shared" ref="Q71:R71" si="18">P71+1</f>
        <v>211</v>
      </c>
      <c r="R71" s="12">
        <f t="shared" si="18"/>
        <v>212</v>
      </c>
    </row>
    <row r="72" spans="2:18" x14ac:dyDescent="0.3">
      <c r="B72" s="312"/>
      <c r="C72" s="3">
        <v>0</v>
      </c>
      <c r="D72" s="129">
        <f t="shared" si="0"/>
        <v>185</v>
      </c>
      <c r="E72" s="103">
        <v>8</v>
      </c>
      <c r="F72" s="103" t="s">
        <v>1152</v>
      </c>
      <c r="H72" s="12" t="s">
        <v>1181</v>
      </c>
      <c r="K72" s="12" t="s">
        <v>1490</v>
      </c>
      <c r="P72" s="162">
        <v>213</v>
      </c>
      <c r="Q72" s="12">
        <f t="shared" ref="Q72:R72" si="19">P72+1</f>
        <v>214</v>
      </c>
      <c r="R72" s="12">
        <f t="shared" si="19"/>
        <v>215</v>
      </c>
    </row>
    <row r="73" spans="2:18" x14ac:dyDescent="0.3">
      <c r="B73" s="312"/>
      <c r="C73" s="3">
        <v>0</v>
      </c>
      <c r="D73" s="129">
        <f t="shared" si="0"/>
        <v>186</v>
      </c>
      <c r="E73" s="103">
        <v>24</v>
      </c>
      <c r="F73" s="103" t="s">
        <v>296</v>
      </c>
      <c r="H73" s="12" t="s">
        <v>295</v>
      </c>
      <c r="L73" s="12" t="s">
        <v>1438</v>
      </c>
      <c r="P73" s="162">
        <v>216</v>
      </c>
      <c r="Q73" s="12">
        <f t="shared" ref="Q73:R73" si="20">P73+1</f>
        <v>217</v>
      </c>
      <c r="R73" s="12">
        <f t="shared" si="20"/>
        <v>218</v>
      </c>
    </row>
    <row r="74" spans="2:18" x14ac:dyDescent="0.3">
      <c r="B74" s="312"/>
      <c r="C74" s="3">
        <v>0</v>
      </c>
      <c r="D74" s="129">
        <f t="shared" ref="D74:D137" si="21">D73+E73/8</f>
        <v>189</v>
      </c>
      <c r="E74" s="103">
        <v>24</v>
      </c>
      <c r="F74" s="103" t="s">
        <v>1153</v>
      </c>
      <c r="H74" s="12" t="s">
        <v>295</v>
      </c>
      <c r="L74" s="12" t="s">
        <v>1439</v>
      </c>
      <c r="P74" s="162">
        <v>217</v>
      </c>
      <c r="Q74" s="12">
        <f t="shared" ref="Q74:R74" si="22">P74+1</f>
        <v>218</v>
      </c>
      <c r="R74" s="12">
        <f t="shared" si="22"/>
        <v>219</v>
      </c>
    </row>
    <row r="75" spans="2:18" x14ac:dyDescent="0.3">
      <c r="B75" s="312"/>
      <c r="C75" s="3">
        <v>0</v>
      </c>
      <c r="D75" s="129">
        <f t="shared" si="21"/>
        <v>192</v>
      </c>
      <c r="E75" s="103">
        <v>16</v>
      </c>
      <c r="F75" s="103" t="s">
        <v>1154</v>
      </c>
      <c r="H75" s="12" t="s">
        <v>295</v>
      </c>
      <c r="L75" s="12" t="s">
        <v>1440</v>
      </c>
      <c r="P75" s="162">
        <v>218</v>
      </c>
      <c r="Q75" s="12">
        <f t="shared" ref="Q75:R75" si="23">P75+1</f>
        <v>219</v>
      </c>
      <c r="R75" s="12">
        <f t="shared" si="23"/>
        <v>220</v>
      </c>
    </row>
    <row r="76" spans="2:18" x14ac:dyDescent="0.3">
      <c r="B76" s="312"/>
      <c r="C76" s="3">
        <v>0</v>
      </c>
      <c r="D76" s="129">
        <f t="shared" si="21"/>
        <v>194</v>
      </c>
      <c r="E76" s="103">
        <v>24</v>
      </c>
      <c r="F76" s="139" t="s">
        <v>1155</v>
      </c>
      <c r="P76" s="162">
        <v>219</v>
      </c>
      <c r="Q76" s="12">
        <f t="shared" ref="Q76:R76" si="24">P76+1</f>
        <v>220</v>
      </c>
      <c r="R76" s="12">
        <f t="shared" si="24"/>
        <v>221</v>
      </c>
    </row>
    <row r="77" spans="2:18" x14ac:dyDescent="0.3">
      <c r="B77" s="312"/>
      <c r="C77" s="3">
        <v>0</v>
      </c>
      <c r="D77" s="129">
        <f t="shared" si="21"/>
        <v>197</v>
      </c>
      <c r="E77" s="103">
        <v>24</v>
      </c>
      <c r="F77" s="139" t="s">
        <v>1156</v>
      </c>
      <c r="P77" s="162">
        <v>220</v>
      </c>
      <c r="Q77" s="12">
        <f t="shared" ref="Q77:R77" si="25">P77+1</f>
        <v>221</v>
      </c>
      <c r="R77" s="12">
        <f t="shared" si="25"/>
        <v>222</v>
      </c>
    </row>
    <row r="78" spans="2:18" x14ac:dyDescent="0.3">
      <c r="B78" s="312"/>
      <c r="C78" s="3">
        <v>0</v>
      </c>
      <c r="D78" s="129">
        <f t="shared" si="21"/>
        <v>200</v>
      </c>
      <c r="E78" s="103">
        <v>8</v>
      </c>
      <c r="F78" s="139" t="s">
        <v>1157</v>
      </c>
      <c r="P78" s="162">
        <v>221</v>
      </c>
      <c r="Q78" s="12">
        <f t="shared" ref="Q78:R78" si="26">P78+1</f>
        <v>222</v>
      </c>
      <c r="R78" s="12">
        <f t="shared" si="26"/>
        <v>223</v>
      </c>
    </row>
    <row r="79" spans="2:18" x14ac:dyDescent="0.3">
      <c r="B79" s="312"/>
      <c r="C79" s="3">
        <v>0</v>
      </c>
      <c r="D79" s="129">
        <f t="shared" si="21"/>
        <v>201</v>
      </c>
      <c r="E79" s="103">
        <v>24</v>
      </c>
      <c r="F79" s="139" t="s">
        <v>1158</v>
      </c>
      <c r="H79" s="12" t="s">
        <v>295</v>
      </c>
      <c r="P79" s="162">
        <v>224</v>
      </c>
      <c r="Q79" s="12">
        <f t="shared" ref="Q79:R79" si="27">P79+1</f>
        <v>225</v>
      </c>
      <c r="R79" s="12">
        <f t="shared" si="27"/>
        <v>226</v>
      </c>
    </row>
    <row r="80" spans="2:18" x14ac:dyDescent="0.3">
      <c r="B80" s="312"/>
      <c r="C80" s="3">
        <v>0</v>
      </c>
      <c r="D80" s="129">
        <f t="shared" si="21"/>
        <v>204</v>
      </c>
      <c r="E80" s="103">
        <v>24</v>
      </c>
      <c r="F80" s="139" t="s">
        <v>1159</v>
      </c>
      <c r="H80" s="12" t="s">
        <v>295</v>
      </c>
      <c r="P80" s="162">
        <v>227</v>
      </c>
      <c r="Q80" s="12">
        <f t="shared" ref="Q80:R80" si="28">P80+1</f>
        <v>228</v>
      </c>
      <c r="R80" s="12">
        <f t="shared" si="28"/>
        <v>229</v>
      </c>
    </row>
    <row r="81" spans="2:18" x14ac:dyDescent="0.3">
      <c r="B81" s="312"/>
      <c r="C81" s="3">
        <v>0</v>
      </c>
      <c r="D81" s="129">
        <f t="shared" si="21"/>
        <v>207</v>
      </c>
      <c r="E81" s="129">
        <v>24</v>
      </c>
      <c r="F81" s="139" t="s">
        <v>1160</v>
      </c>
      <c r="H81" s="12" t="s">
        <v>295</v>
      </c>
    </row>
    <row r="82" spans="2:18" x14ac:dyDescent="0.3">
      <c r="B82" s="312"/>
      <c r="C82" s="3">
        <v>0</v>
      </c>
      <c r="D82" s="129">
        <f t="shared" si="21"/>
        <v>210</v>
      </c>
      <c r="E82" s="129">
        <v>24</v>
      </c>
      <c r="F82" s="116" t="s">
        <v>1161</v>
      </c>
      <c r="H82" s="13" t="s">
        <v>1171</v>
      </c>
    </row>
    <row r="83" spans="2:18" x14ac:dyDescent="0.3">
      <c r="B83" s="312"/>
      <c r="C83" s="3">
        <v>0</v>
      </c>
      <c r="D83" s="129">
        <f t="shared" si="21"/>
        <v>213</v>
      </c>
      <c r="E83" s="129">
        <v>24</v>
      </c>
      <c r="F83" s="116" t="s">
        <v>1162</v>
      </c>
      <c r="H83" s="13" t="s">
        <v>1172</v>
      </c>
    </row>
    <row r="84" spans="2:18" x14ac:dyDescent="0.3">
      <c r="B84" s="312"/>
      <c r="C84" s="3">
        <v>0</v>
      </c>
      <c r="D84" s="129">
        <f t="shared" si="21"/>
        <v>216</v>
      </c>
      <c r="E84" s="103">
        <v>8</v>
      </c>
      <c r="F84" s="103" t="s">
        <v>1163</v>
      </c>
      <c r="H84" s="12" t="s">
        <v>295</v>
      </c>
      <c r="P84" s="12">
        <f>Q84+1</f>
        <v>2</v>
      </c>
      <c r="Q84" s="12">
        <f>R84+1</f>
        <v>1</v>
      </c>
      <c r="R84" s="129">
        <f>D8</f>
        <v>0</v>
      </c>
    </row>
    <row r="85" spans="2:18" x14ac:dyDescent="0.3">
      <c r="B85" s="312"/>
      <c r="C85" s="3">
        <v>0</v>
      </c>
      <c r="D85" s="129">
        <f t="shared" si="21"/>
        <v>217</v>
      </c>
      <c r="E85" s="103">
        <v>8</v>
      </c>
      <c r="F85" s="139" t="s">
        <v>1164</v>
      </c>
      <c r="H85" s="12" t="s">
        <v>1173</v>
      </c>
      <c r="P85" s="12">
        <f t="shared" ref="P85:Q85" si="29">Q85+1</f>
        <v>5</v>
      </c>
      <c r="Q85" s="12">
        <f t="shared" si="29"/>
        <v>4</v>
      </c>
      <c r="R85" s="129">
        <f t="shared" ref="R85:R148" si="30">D9</f>
        <v>3</v>
      </c>
    </row>
    <row r="86" spans="2:18" x14ac:dyDescent="0.3">
      <c r="B86" s="312"/>
      <c r="C86" s="3">
        <v>0</v>
      </c>
      <c r="D86" s="129">
        <f t="shared" si="21"/>
        <v>218</v>
      </c>
      <c r="E86" s="103">
        <v>8</v>
      </c>
      <c r="F86" s="139" t="s">
        <v>1165</v>
      </c>
      <c r="H86" s="12" t="s">
        <v>1174</v>
      </c>
      <c r="P86" s="12">
        <f t="shared" ref="P86:Q86" si="31">Q86+1</f>
        <v>8</v>
      </c>
      <c r="Q86" s="12">
        <f t="shared" si="31"/>
        <v>7</v>
      </c>
      <c r="R86" s="129">
        <f t="shared" si="30"/>
        <v>6</v>
      </c>
    </row>
    <row r="87" spans="2:18" x14ac:dyDescent="0.3">
      <c r="B87" s="312"/>
      <c r="C87" s="3">
        <v>0</v>
      </c>
      <c r="D87" s="129">
        <f t="shared" si="21"/>
        <v>219</v>
      </c>
      <c r="E87" s="103">
        <v>8</v>
      </c>
      <c r="F87" s="139" t="s">
        <v>1166</v>
      </c>
      <c r="H87" s="12" t="s">
        <v>1175</v>
      </c>
      <c r="P87" s="12">
        <f t="shared" ref="P87:Q87" si="32">Q87+1</f>
        <v>11</v>
      </c>
      <c r="Q87" s="12">
        <f t="shared" si="32"/>
        <v>10</v>
      </c>
      <c r="R87" s="129">
        <f t="shared" si="30"/>
        <v>9</v>
      </c>
    </row>
    <row r="88" spans="2:18" x14ac:dyDescent="0.3">
      <c r="B88" s="312"/>
      <c r="C88" s="3">
        <v>0</v>
      </c>
      <c r="D88" s="129">
        <f t="shared" si="21"/>
        <v>220</v>
      </c>
      <c r="E88" s="103">
        <v>8</v>
      </c>
      <c r="F88" s="139" t="s">
        <v>1167</v>
      </c>
      <c r="H88" s="12" t="s">
        <v>1176</v>
      </c>
      <c r="P88" s="12">
        <f t="shared" ref="P88:Q88" si="33">Q88+1</f>
        <v>14</v>
      </c>
      <c r="Q88" s="12">
        <f t="shared" si="33"/>
        <v>13</v>
      </c>
      <c r="R88" s="129">
        <f t="shared" si="30"/>
        <v>12</v>
      </c>
    </row>
    <row r="89" spans="2:18" x14ac:dyDescent="0.3">
      <c r="B89" s="312"/>
      <c r="C89" s="3">
        <v>0</v>
      </c>
      <c r="D89" s="129">
        <f t="shared" si="21"/>
        <v>221</v>
      </c>
      <c r="E89" s="103">
        <v>24</v>
      </c>
      <c r="F89" s="103" t="s">
        <v>1168</v>
      </c>
      <c r="P89" s="12">
        <f t="shared" ref="P89:Q89" si="34">Q89+1</f>
        <v>17</v>
      </c>
      <c r="Q89" s="12">
        <f t="shared" si="34"/>
        <v>16</v>
      </c>
      <c r="R89" s="129">
        <f t="shared" si="30"/>
        <v>15</v>
      </c>
    </row>
    <row r="90" spans="2:18" x14ac:dyDescent="0.3">
      <c r="B90" s="312"/>
      <c r="C90" s="3">
        <v>0</v>
      </c>
      <c r="D90" s="129">
        <f t="shared" si="21"/>
        <v>224</v>
      </c>
      <c r="E90" s="103">
        <v>24</v>
      </c>
      <c r="F90" s="103" t="s">
        <v>1169</v>
      </c>
      <c r="P90" s="12">
        <f t="shared" ref="P90:Q90" si="35">Q90+1</f>
        <v>20</v>
      </c>
      <c r="Q90" s="12">
        <f t="shared" si="35"/>
        <v>19</v>
      </c>
      <c r="R90" s="129">
        <f t="shared" si="30"/>
        <v>18</v>
      </c>
    </row>
    <row r="91" spans="2:18" x14ac:dyDescent="0.3">
      <c r="B91" s="312"/>
      <c r="C91" s="3">
        <v>0</v>
      </c>
      <c r="D91" s="129">
        <f t="shared" si="21"/>
        <v>227</v>
      </c>
      <c r="E91" s="103">
        <v>8</v>
      </c>
      <c r="F91" s="103" t="s">
        <v>1170</v>
      </c>
      <c r="P91" s="12">
        <f t="shared" ref="P91:Q91" si="36">Q91+1</f>
        <v>23</v>
      </c>
      <c r="Q91" s="12">
        <f t="shared" si="36"/>
        <v>22</v>
      </c>
      <c r="R91" s="129">
        <f t="shared" si="30"/>
        <v>21</v>
      </c>
    </row>
    <row r="92" spans="2:18" x14ac:dyDescent="0.3">
      <c r="B92" s="312"/>
      <c r="C92" s="3">
        <v>0</v>
      </c>
      <c r="D92" s="129">
        <f t="shared" si="21"/>
        <v>228</v>
      </c>
      <c r="E92" s="3">
        <v>8</v>
      </c>
      <c r="F92" s="138" t="s">
        <v>1437</v>
      </c>
      <c r="P92" s="12">
        <f t="shared" ref="P92:Q92" si="37">Q92+1</f>
        <v>26</v>
      </c>
      <c r="Q92" s="12">
        <f t="shared" si="37"/>
        <v>25</v>
      </c>
      <c r="R92" s="129">
        <f t="shared" si="30"/>
        <v>24</v>
      </c>
    </row>
    <row r="93" spans="2:18" x14ac:dyDescent="0.3">
      <c r="B93" s="312"/>
      <c r="C93" s="3">
        <v>0</v>
      </c>
      <c r="D93" s="129">
        <f t="shared" si="21"/>
        <v>229</v>
      </c>
      <c r="E93" s="3"/>
      <c r="F93" s="138" t="s">
        <v>1440</v>
      </c>
      <c r="P93" s="12">
        <f t="shared" ref="P93:Q93" si="38">Q93+1</f>
        <v>29</v>
      </c>
      <c r="Q93" s="12">
        <f t="shared" si="38"/>
        <v>28</v>
      </c>
      <c r="R93" s="129">
        <f t="shared" si="30"/>
        <v>27</v>
      </c>
    </row>
    <row r="94" spans="2:18" x14ac:dyDescent="0.3">
      <c r="B94" s="312"/>
      <c r="C94" s="3">
        <v>0</v>
      </c>
      <c r="D94" s="129">
        <f t="shared" si="21"/>
        <v>229</v>
      </c>
      <c r="E94" s="3"/>
      <c r="F94" s="3"/>
      <c r="P94" s="12">
        <f t="shared" ref="P94:Q94" si="39">Q94+1</f>
        <v>32</v>
      </c>
      <c r="Q94" s="12">
        <f t="shared" si="39"/>
        <v>31</v>
      </c>
      <c r="R94" s="129">
        <f t="shared" si="30"/>
        <v>30</v>
      </c>
    </row>
    <row r="95" spans="2:18" x14ac:dyDescent="0.3">
      <c r="B95" s="312"/>
      <c r="C95" s="3">
        <v>0</v>
      </c>
      <c r="D95" s="129">
        <f t="shared" si="21"/>
        <v>229</v>
      </c>
      <c r="E95" s="3"/>
      <c r="F95" s="3"/>
      <c r="P95" s="12">
        <f t="shared" ref="P95:Q95" si="40">Q95+1</f>
        <v>35</v>
      </c>
      <c r="Q95" s="12">
        <f t="shared" si="40"/>
        <v>34</v>
      </c>
      <c r="R95" s="129">
        <f t="shared" si="30"/>
        <v>33</v>
      </c>
    </row>
    <row r="96" spans="2:18" x14ac:dyDescent="0.3">
      <c r="B96" s="312"/>
      <c r="C96" s="3">
        <v>0</v>
      </c>
      <c r="D96" s="129">
        <f t="shared" si="21"/>
        <v>229</v>
      </c>
      <c r="E96" s="3"/>
      <c r="F96" s="3"/>
      <c r="P96" s="12">
        <f t="shared" ref="P96:Q96" si="41">Q96+1</f>
        <v>38</v>
      </c>
      <c r="Q96" s="12">
        <f t="shared" si="41"/>
        <v>37</v>
      </c>
      <c r="R96" s="129">
        <f t="shared" si="30"/>
        <v>36</v>
      </c>
    </row>
    <row r="97" spans="2:18" x14ac:dyDescent="0.3">
      <c r="B97" s="312"/>
      <c r="C97" s="3">
        <v>0</v>
      </c>
      <c r="D97" s="129">
        <f t="shared" si="21"/>
        <v>229</v>
      </c>
      <c r="E97" s="3"/>
      <c r="F97" s="3"/>
      <c r="P97" s="12">
        <f t="shared" ref="P97:Q97" si="42">Q97+1</f>
        <v>41</v>
      </c>
      <c r="Q97" s="12">
        <f t="shared" si="42"/>
        <v>40</v>
      </c>
      <c r="R97" s="129">
        <f t="shared" si="30"/>
        <v>39</v>
      </c>
    </row>
    <row r="98" spans="2:18" x14ac:dyDescent="0.3">
      <c r="B98" s="312"/>
      <c r="C98" s="3">
        <v>0</v>
      </c>
      <c r="D98" s="129">
        <f t="shared" si="21"/>
        <v>229</v>
      </c>
      <c r="E98" s="3"/>
      <c r="F98" s="3"/>
      <c r="P98" s="12">
        <f t="shared" ref="P98:Q98" si="43">Q98+1</f>
        <v>44</v>
      </c>
      <c r="Q98" s="12">
        <f t="shared" si="43"/>
        <v>43</v>
      </c>
      <c r="R98" s="129">
        <f t="shared" si="30"/>
        <v>42</v>
      </c>
    </row>
    <row r="99" spans="2:18" x14ac:dyDescent="0.3">
      <c r="B99" s="312"/>
      <c r="C99" s="3">
        <v>0</v>
      </c>
      <c r="D99" s="129">
        <f t="shared" si="21"/>
        <v>229</v>
      </c>
      <c r="E99" s="3"/>
      <c r="F99" s="3"/>
      <c r="P99" s="12">
        <f t="shared" ref="P99:Q99" si="44">Q99+1</f>
        <v>47</v>
      </c>
      <c r="Q99" s="12">
        <f t="shared" si="44"/>
        <v>46</v>
      </c>
      <c r="R99" s="129">
        <f t="shared" si="30"/>
        <v>45</v>
      </c>
    </row>
    <row r="100" spans="2:18" x14ac:dyDescent="0.3">
      <c r="B100" s="312"/>
      <c r="C100" s="3">
        <v>0</v>
      </c>
      <c r="D100" s="129">
        <f t="shared" si="21"/>
        <v>229</v>
      </c>
      <c r="E100" s="3"/>
      <c r="F100" s="3"/>
      <c r="P100" s="12">
        <f t="shared" ref="P100:Q100" si="45">Q100+1</f>
        <v>50</v>
      </c>
      <c r="Q100" s="12">
        <f t="shared" si="45"/>
        <v>49</v>
      </c>
      <c r="R100" s="129">
        <f t="shared" si="30"/>
        <v>48</v>
      </c>
    </row>
    <row r="101" spans="2:18" x14ac:dyDescent="0.3">
      <c r="B101" s="312"/>
      <c r="C101" s="3">
        <v>0</v>
      </c>
      <c r="D101" s="129">
        <f t="shared" si="21"/>
        <v>229</v>
      </c>
      <c r="E101" s="3"/>
      <c r="F101" s="3"/>
      <c r="P101" s="12">
        <f t="shared" ref="P101:Q101" si="46">Q101+1</f>
        <v>53</v>
      </c>
      <c r="Q101" s="12">
        <f t="shared" si="46"/>
        <v>52</v>
      </c>
      <c r="R101" s="129">
        <f t="shared" si="30"/>
        <v>51</v>
      </c>
    </row>
    <row r="102" spans="2:18" x14ac:dyDescent="0.3">
      <c r="B102" s="312"/>
      <c r="C102" s="3">
        <v>0</v>
      </c>
      <c r="D102" s="129">
        <f t="shared" si="21"/>
        <v>229</v>
      </c>
      <c r="E102" s="3"/>
      <c r="F102" s="3"/>
      <c r="P102" s="12">
        <f t="shared" ref="P102:Q102" si="47">Q102+1</f>
        <v>56</v>
      </c>
      <c r="Q102" s="12">
        <f t="shared" si="47"/>
        <v>55</v>
      </c>
      <c r="R102" s="129">
        <f t="shared" si="30"/>
        <v>54</v>
      </c>
    </row>
    <row r="103" spans="2:18" x14ac:dyDescent="0.3">
      <c r="B103" s="312"/>
      <c r="C103" s="3">
        <v>0</v>
      </c>
      <c r="D103" s="129">
        <f t="shared" si="21"/>
        <v>229</v>
      </c>
      <c r="E103" s="3"/>
      <c r="F103" s="3"/>
      <c r="P103" s="12">
        <f t="shared" ref="P103:Q103" si="48">Q103+1</f>
        <v>57</v>
      </c>
      <c r="Q103" s="12">
        <f t="shared" si="48"/>
        <v>56</v>
      </c>
      <c r="R103" s="129">
        <f t="shared" si="30"/>
        <v>55</v>
      </c>
    </row>
    <row r="104" spans="2:18" x14ac:dyDescent="0.3">
      <c r="B104" s="312"/>
      <c r="C104" s="3">
        <v>0</v>
      </c>
      <c r="D104" s="129">
        <f t="shared" si="21"/>
        <v>229</v>
      </c>
      <c r="E104" s="3"/>
      <c r="F104" s="3"/>
      <c r="P104" s="12">
        <f t="shared" ref="P104:Q104" si="49">Q104+1</f>
        <v>60</v>
      </c>
      <c r="Q104" s="12">
        <f t="shared" si="49"/>
        <v>59</v>
      </c>
      <c r="R104" s="129">
        <f t="shared" si="30"/>
        <v>58</v>
      </c>
    </row>
    <row r="105" spans="2:18" x14ac:dyDescent="0.3">
      <c r="B105" s="312"/>
      <c r="C105" s="3">
        <v>0</v>
      </c>
      <c r="D105" s="129">
        <f t="shared" si="21"/>
        <v>229</v>
      </c>
      <c r="E105" s="3"/>
      <c r="F105" s="3"/>
      <c r="P105" s="12">
        <f t="shared" ref="P105:Q105" si="50">Q105+1</f>
        <v>63</v>
      </c>
      <c r="Q105" s="12">
        <f t="shared" si="50"/>
        <v>62</v>
      </c>
      <c r="R105" s="129">
        <f t="shared" si="30"/>
        <v>61</v>
      </c>
    </row>
    <row r="106" spans="2:18" x14ac:dyDescent="0.3">
      <c r="B106" s="312"/>
      <c r="C106" s="3">
        <v>0</v>
      </c>
      <c r="D106" s="129">
        <f t="shared" si="21"/>
        <v>229</v>
      </c>
      <c r="E106" s="3"/>
      <c r="F106" s="3"/>
      <c r="P106" s="12">
        <f t="shared" ref="P106:Q106" si="51">Q106+1</f>
        <v>66</v>
      </c>
      <c r="Q106" s="12">
        <f t="shared" si="51"/>
        <v>65</v>
      </c>
      <c r="R106" s="129">
        <f t="shared" si="30"/>
        <v>64</v>
      </c>
    </row>
    <row r="107" spans="2:18" x14ac:dyDescent="0.3">
      <c r="B107" s="312"/>
      <c r="C107" s="3">
        <v>0</v>
      </c>
      <c r="D107" s="129">
        <f t="shared" si="21"/>
        <v>229</v>
      </c>
      <c r="E107" s="3"/>
      <c r="F107" s="3"/>
      <c r="P107" s="12">
        <f t="shared" ref="P107:Q107" si="52">Q107+1</f>
        <v>69</v>
      </c>
      <c r="Q107" s="12">
        <f t="shared" si="52"/>
        <v>68</v>
      </c>
      <c r="R107" s="129">
        <f t="shared" si="30"/>
        <v>67</v>
      </c>
    </row>
    <row r="108" spans="2:18" x14ac:dyDescent="0.3">
      <c r="B108" s="312"/>
      <c r="C108" s="3">
        <v>0</v>
      </c>
      <c r="D108" s="129">
        <f t="shared" si="21"/>
        <v>229</v>
      </c>
      <c r="E108" s="3"/>
      <c r="F108" s="3"/>
      <c r="P108" s="12">
        <f t="shared" ref="P108:Q108" si="53">Q108+1</f>
        <v>72</v>
      </c>
      <c r="Q108" s="12">
        <f t="shared" si="53"/>
        <v>71</v>
      </c>
      <c r="R108" s="129">
        <f t="shared" si="30"/>
        <v>70</v>
      </c>
    </row>
    <row r="109" spans="2:18" x14ac:dyDescent="0.3">
      <c r="B109" s="312"/>
      <c r="C109" s="3">
        <v>0</v>
      </c>
      <c r="D109" s="129">
        <f t="shared" si="21"/>
        <v>229</v>
      </c>
      <c r="E109" s="3"/>
      <c r="F109" s="3"/>
      <c r="P109" s="12">
        <f t="shared" ref="P109:Q109" si="54">Q109+1</f>
        <v>75</v>
      </c>
      <c r="Q109" s="12">
        <f t="shared" si="54"/>
        <v>74</v>
      </c>
      <c r="R109" s="129">
        <f t="shared" si="30"/>
        <v>73</v>
      </c>
    </row>
    <row r="110" spans="2:18" x14ac:dyDescent="0.3">
      <c r="B110" s="312"/>
      <c r="C110" s="3">
        <v>0</v>
      </c>
      <c r="D110" s="129">
        <f t="shared" si="21"/>
        <v>229</v>
      </c>
      <c r="E110" s="3"/>
      <c r="F110" s="3"/>
      <c r="P110" s="12">
        <f t="shared" ref="P110:Q110" si="55">Q110+1</f>
        <v>76</v>
      </c>
      <c r="Q110" s="12">
        <f t="shared" si="55"/>
        <v>75</v>
      </c>
      <c r="R110" s="129">
        <f t="shared" si="30"/>
        <v>74</v>
      </c>
    </row>
    <row r="111" spans="2:18" x14ac:dyDescent="0.3">
      <c r="B111" s="312"/>
      <c r="C111" s="3">
        <v>0</v>
      </c>
      <c r="D111" s="129">
        <f t="shared" si="21"/>
        <v>229</v>
      </c>
      <c r="E111" s="3"/>
      <c r="F111" s="3"/>
      <c r="P111" s="12">
        <f t="shared" ref="P111:Q111" si="56">Q111+1</f>
        <v>79</v>
      </c>
      <c r="Q111" s="12">
        <f t="shared" si="56"/>
        <v>78</v>
      </c>
      <c r="R111" s="129">
        <f t="shared" si="30"/>
        <v>77</v>
      </c>
    </row>
    <row r="112" spans="2:18" x14ac:dyDescent="0.3">
      <c r="B112" s="312"/>
      <c r="C112" s="3">
        <v>0</v>
      </c>
      <c r="D112" s="129">
        <f t="shared" si="21"/>
        <v>229</v>
      </c>
      <c r="E112" s="3"/>
      <c r="F112" s="3"/>
      <c r="P112" s="12">
        <f t="shared" ref="P112:Q112" si="57">Q112+1</f>
        <v>82</v>
      </c>
      <c r="Q112" s="12">
        <f t="shared" si="57"/>
        <v>81</v>
      </c>
      <c r="R112" s="129">
        <f t="shared" si="30"/>
        <v>80</v>
      </c>
    </row>
    <row r="113" spans="2:18" x14ac:dyDescent="0.3">
      <c r="B113" s="312"/>
      <c r="C113" s="3">
        <v>0</v>
      </c>
      <c r="D113" s="129">
        <f t="shared" si="21"/>
        <v>229</v>
      </c>
      <c r="E113" s="3"/>
      <c r="F113" s="3"/>
      <c r="P113" s="12">
        <f t="shared" ref="P113:Q113" si="58">Q113+1</f>
        <v>85</v>
      </c>
      <c r="Q113" s="12">
        <f t="shared" si="58"/>
        <v>84</v>
      </c>
      <c r="R113" s="129">
        <f t="shared" si="30"/>
        <v>83</v>
      </c>
    </row>
    <row r="114" spans="2:18" x14ac:dyDescent="0.3">
      <c r="B114" s="312"/>
      <c r="C114" s="3">
        <v>0</v>
      </c>
      <c r="D114" s="129">
        <f t="shared" si="21"/>
        <v>229</v>
      </c>
      <c r="E114" s="3"/>
      <c r="F114" s="3"/>
      <c r="P114" s="12">
        <f t="shared" ref="P114:Q114" si="59">Q114+1</f>
        <v>88</v>
      </c>
      <c r="Q114" s="12">
        <f t="shared" si="59"/>
        <v>87</v>
      </c>
      <c r="R114" s="129">
        <f t="shared" si="30"/>
        <v>86</v>
      </c>
    </row>
    <row r="115" spans="2:18" x14ac:dyDescent="0.3">
      <c r="B115" s="312"/>
      <c r="C115" s="3">
        <v>0</v>
      </c>
      <c r="D115" s="129">
        <f t="shared" si="21"/>
        <v>229</v>
      </c>
      <c r="E115" s="3"/>
      <c r="F115" s="3"/>
      <c r="P115" s="12">
        <f t="shared" ref="P115:Q115" si="60">Q115+1</f>
        <v>91</v>
      </c>
      <c r="Q115" s="12">
        <f t="shared" si="60"/>
        <v>90</v>
      </c>
      <c r="R115" s="129">
        <f t="shared" si="30"/>
        <v>89</v>
      </c>
    </row>
    <row r="116" spans="2:18" x14ac:dyDescent="0.3">
      <c r="B116" s="312"/>
      <c r="C116" s="3">
        <v>0</v>
      </c>
      <c r="D116" s="129">
        <f t="shared" si="21"/>
        <v>229</v>
      </c>
      <c r="E116" s="3"/>
      <c r="F116" s="3"/>
      <c r="P116" s="12">
        <f t="shared" ref="P116:Q116" si="61">Q116+1</f>
        <v>94</v>
      </c>
      <c r="Q116" s="12">
        <f t="shared" si="61"/>
        <v>93</v>
      </c>
      <c r="R116" s="129">
        <f t="shared" si="30"/>
        <v>92</v>
      </c>
    </row>
    <row r="117" spans="2:18" x14ac:dyDescent="0.3">
      <c r="B117" s="312"/>
      <c r="C117" s="3">
        <v>0</v>
      </c>
      <c r="D117" s="129">
        <f t="shared" si="21"/>
        <v>229</v>
      </c>
      <c r="E117" s="3"/>
      <c r="F117" s="3"/>
      <c r="P117" s="12">
        <f t="shared" ref="P117:Q117" si="62">Q117+1</f>
        <v>97</v>
      </c>
      <c r="Q117" s="12">
        <f t="shared" si="62"/>
        <v>96</v>
      </c>
      <c r="R117" s="129">
        <f t="shared" si="30"/>
        <v>95</v>
      </c>
    </row>
    <row r="118" spans="2:18" x14ac:dyDescent="0.3">
      <c r="B118" s="312"/>
      <c r="C118" s="3">
        <v>0</v>
      </c>
      <c r="D118" s="129">
        <f t="shared" si="21"/>
        <v>229</v>
      </c>
      <c r="E118" s="3"/>
      <c r="F118" s="3"/>
      <c r="P118" s="12">
        <f t="shared" ref="P118:Q118" si="63">Q118+1</f>
        <v>100</v>
      </c>
      <c r="Q118" s="12">
        <f t="shared" si="63"/>
        <v>99</v>
      </c>
      <c r="R118" s="129">
        <f t="shared" si="30"/>
        <v>98</v>
      </c>
    </row>
    <row r="119" spans="2:18" x14ac:dyDescent="0.3">
      <c r="B119" s="312"/>
      <c r="C119" s="3">
        <v>0</v>
      </c>
      <c r="D119" s="129">
        <f t="shared" si="21"/>
        <v>229</v>
      </c>
      <c r="E119" s="3"/>
      <c r="F119" s="3"/>
      <c r="P119" s="12">
        <f t="shared" ref="P119:Q119" si="64">Q119+1</f>
        <v>103</v>
      </c>
      <c r="Q119" s="12">
        <f t="shared" si="64"/>
        <v>102</v>
      </c>
      <c r="R119" s="129">
        <f t="shared" si="30"/>
        <v>101</v>
      </c>
    </row>
    <row r="120" spans="2:18" x14ac:dyDescent="0.3">
      <c r="B120" s="312"/>
      <c r="C120" s="3">
        <v>0</v>
      </c>
      <c r="D120" s="129">
        <f t="shared" si="21"/>
        <v>229</v>
      </c>
      <c r="E120" s="3"/>
      <c r="F120" s="3"/>
      <c r="P120" s="12">
        <f t="shared" ref="P120:Q120" si="65">Q120+1</f>
        <v>106</v>
      </c>
      <c r="Q120" s="12">
        <f t="shared" si="65"/>
        <v>105</v>
      </c>
      <c r="R120" s="129">
        <f t="shared" si="30"/>
        <v>104</v>
      </c>
    </row>
    <row r="121" spans="2:18" x14ac:dyDescent="0.3">
      <c r="B121" s="312"/>
      <c r="C121" s="3">
        <v>0</v>
      </c>
      <c r="D121" s="129">
        <f t="shared" si="21"/>
        <v>229</v>
      </c>
      <c r="E121" s="3"/>
      <c r="F121" s="3"/>
      <c r="P121" s="12">
        <f t="shared" ref="P121:Q121" si="66">Q121+1</f>
        <v>109</v>
      </c>
      <c r="Q121" s="12">
        <f t="shared" si="66"/>
        <v>108</v>
      </c>
      <c r="R121" s="129">
        <f t="shared" si="30"/>
        <v>107</v>
      </c>
    </row>
    <row r="122" spans="2:18" x14ac:dyDescent="0.3">
      <c r="B122" s="312"/>
      <c r="C122" s="3">
        <v>0</v>
      </c>
      <c r="D122" s="129">
        <f t="shared" si="21"/>
        <v>229</v>
      </c>
      <c r="E122" s="3"/>
      <c r="F122" s="3"/>
      <c r="P122" s="12">
        <f t="shared" ref="P122:Q122" si="67">Q122+1</f>
        <v>112</v>
      </c>
      <c r="Q122" s="12">
        <f t="shared" si="67"/>
        <v>111</v>
      </c>
      <c r="R122" s="129">
        <f t="shared" si="30"/>
        <v>110</v>
      </c>
    </row>
    <row r="123" spans="2:18" x14ac:dyDescent="0.3">
      <c r="B123" s="312"/>
      <c r="C123" s="3">
        <v>0</v>
      </c>
      <c r="D123" s="129">
        <f t="shared" si="21"/>
        <v>229</v>
      </c>
      <c r="E123" s="3"/>
      <c r="F123" s="3"/>
      <c r="P123" s="12">
        <f t="shared" ref="P123:Q123" si="68">Q123+1</f>
        <v>115</v>
      </c>
      <c r="Q123" s="12">
        <f t="shared" si="68"/>
        <v>114</v>
      </c>
      <c r="R123" s="129">
        <f t="shared" si="30"/>
        <v>113</v>
      </c>
    </row>
    <row r="124" spans="2:18" x14ac:dyDescent="0.3">
      <c r="B124" s="312"/>
      <c r="C124" s="3">
        <v>0</v>
      </c>
      <c r="D124" s="129">
        <f t="shared" si="21"/>
        <v>229</v>
      </c>
      <c r="E124" s="3"/>
      <c r="F124" s="3"/>
      <c r="P124" s="12">
        <f t="shared" ref="P124:Q124" si="69">Q124+1</f>
        <v>118</v>
      </c>
      <c r="Q124" s="12">
        <f t="shared" si="69"/>
        <v>117</v>
      </c>
      <c r="R124" s="129">
        <f t="shared" si="30"/>
        <v>116</v>
      </c>
    </row>
    <row r="125" spans="2:18" x14ac:dyDescent="0.3">
      <c r="B125" s="312"/>
      <c r="C125" s="3">
        <v>0</v>
      </c>
      <c r="D125" s="129">
        <f t="shared" si="21"/>
        <v>229</v>
      </c>
      <c r="E125" s="3"/>
      <c r="F125" s="3"/>
      <c r="P125" s="12">
        <f t="shared" ref="P125:Q125" si="70">Q125+1</f>
        <v>121</v>
      </c>
      <c r="Q125" s="12">
        <f t="shared" si="70"/>
        <v>120</v>
      </c>
      <c r="R125" s="129">
        <f t="shared" si="30"/>
        <v>119</v>
      </c>
    </row>
    <row r="126" spans="2:18" x14ac:dyDescent="0.3">
      <c r="B126" s="312"/>
      <c r="C126" s="3">
        <v>0</v>
      </c>
      <c r="D126" s="129">
        <f t="shared" si="21"/>
        <v>229</v>
      </c>
      <c r="E126" s="3"/>
      <c r="F126" s="3"/>
      <c r="P126" s="12">
        <f t="shared" ref="P126:Q126" si="71">Q126+1</f>
        <v>124</v>
      </c>
      <c r="Q126" s="12">
        <f t="shared" si="71"/>
        <v>123</v>
      </c>
      <c r="R126" s="129">
        <f t="shared" si="30"/>
        <v>122</v>
      </c>
    </row>
    <row r="127" spans="2:18" x14ac:dyDescent="0.3">
      <c r="B127" s="312"/>
      <c r="C127" s="3">
        <v>0</v>
      </c>
      <c r="D127" s="129">
        <f t="shared" si="21"/>
        <v>229</v>
      </c>
      <c r="E127" s="3"/>
      <c r="F127" s="3"/>
      <c r="P127" s="12">
        <f t="shared" ref="P127:Q127" si="72">Q127+1</f>
        <v>127</v>
      </c>
      <c r="Q127" s="12">
        <f t="shared" si="72"/>
        <v>126</v>
      </c>
      <c r="R127" s="129">
        <f t="shared" si="30"/>
        <v>125</v>
      </c>
    </row>
    <row r="128" spans="2:18" x14ac:dyDescent="0.3">
      <c r="B128" s="312"/>
      <c r="C128" s="3">
        <v>0</v>
      </c>
      <c r="D128" s="129">
        <f t="shared" si="21"/>
        <v>229</v>
      </c>
      <c r="E128" s="3"/>
      <c r="F128" s="3"/>
      <c r="P128" s="12">
        <f t="shared" ref="P128:Q128" si="73">Q128+1</f>
        <v>130</v>
      </c>
      <c r="Q128" s="12">
        <f t="shared" si="73"/>
        <v>129</v>
      </c>
      <c r="R128" s="129">
        <f t="shared" si="30"/>
        <v>128</v>
      </c>
    </row>
    <row r="129" spans="2:18" x14ac:dyDescent="0.3">
      <c r="B129" s="312"/>
      <c r="C129" s="3">
        <v>0</v>
      </c>
      <c r="D129" s="129">
        <f t="shared" si="21"/>
        <v>229</v>
      </c>
      <c r="E129" s="3"/>
      <c r="F129" s="3"/>
      <c r="P129" s="12">
        <f t="shared" ref="P129:Q129" si="74">Q129+1</f>
        <v>133</v>
      </c>
      <c r="Q129" s="12">
        <f t="shared" si="74"/>
        <v>132</v>
      </c>
      <c r="R129" s="129">
        <f t="shared" si="30"/>
        <v>131</v>
      </c>
    </row>
    <row r="130" spans="2:18" x14ac:dyDescent="0.3">
      <c r="B130" s="312"/>
      <c r="C130" s="3">
        <v>0</v>
      </c>
      <c r="D130" s="129">
        <f t="shared" si="21"/>
        <v>229</v>
      </c>
      <c r="E130" s="3"/>
      <c r="F130" s="3"/>
      <c r="P130" s="12">
        <f t="shared" ref="P130:Q130" si="75">Q130+1</f>
        <v>136</v>
      </c>
      <c r="Q130" s="12">
        <f t="shared" si="75"/>
        <v>135</v>
      </c>
      <c r="R130" s="129">
        <f t="shared" si="30"/>
        <v>134</v>
      </c>
    </row>
    <row r="131" spans="2:18" x14ac:dyDescent="0.3">
      <c r="B131" s="312"/>
      <c r="C131" s="3">
        <v>0</v>
      </c>
      <c r="D131" s="129">
        <f t="shared" si="21"/>
        <v>229</v>
      </c>
      <c r="E131" s="3"/>
      <c r="F131" s="3"/>
      <c r="P131" s="12">
        <f t="shared" ref="P131:Q131" si="76">Q131+1</f>
        <v>139</v>
      </c>
      <c r="Q131" s="12">
        <f t="shared" si="76"/>
        <v>138</v>
      </c>
      <c r="R131" s="129">
        <f t="shared" si="30"/>
        <v>137</v>
      </c>
    </row>
    <row r="132" spans="2:18" x14ac:dyDescent="0.3">
      <c r="B132" s="312"/>
      <c r="C132" s="3">
        <v>0</v>
      </c>
      <c r="D132" s="129">
        <f t="shared" si="21"/>
        <v>229</v>
      </c>
      <c r="E132" s="3"/>
      <c r="F132" s="3"/>
      <c r="P132" s="12">
        <f t="shared" ref="P132:Q132" si="77">Q132+1</f>
        <v>142</v>
      </c>
      <c r="Q132" s="12">
        <f t="shared" si="77"/>
        <v>141</v>
      </c>
      <c r="R132" s="129">
        <f t="shared" si="30"/>
        <v>140</v>
      </c>
    </row>
    <row r="133" spans="2:18" x14ac:dyDescent="0.3">
      <c r="B133" s="312"/>
      <c r="C133" s="3">
        <v>0</v>
      </c>
      <c r="D133" s="129">
        <f t="shared" si="21"/>
        <v>229</v>
      </c>
      <c r="E133" s="3"/>
      <c r="F133" s="3"/>
      <c r="P133" s="12">
        <f t="shared" ref="P133:Q133" si="78">Q133+1</f>
        <v>145</v>
      </c>
      <c r="Q133" s="12">
        <f t="shared" si="78"/>
        <v>144</v>
      </c>
      <c r="R133" s="129">
        <f t="shared" si="30"/>
        <v>143</v>
      </c>
    </row>
    <row r="134" spans="2:18" x14ac:dyDescent="0.3">
      <c r="B134" s="312"/>
      <c r="C134" s="3">
        <v>0</v>
      </c>
      <c r="D134" s="129">
        <f t="shared" si="21"/>
        <v>229</v>
      </c>
      <c r="E134" s="3"/>
      <c r="F134" s="3"/>
      <c r="P134" s="12">
        <f t="shared" ref="P134:Q134" si="79">Q134+1</f>
        <v>148</v>
      </c>
      <c r="Q134" s="12">
        <f t="shared" si="79"/>
        <v>147</v>
      </c>
      <c r="R134" s="129">
        <f t="shared" si="30"/>
        <v>146</v>
      </c>
    </row>
    <row r="135" spans="2:18" x14ac:dyDescent="0.3">
      <c r="B135" s="312"/>
      <c r="C135" s="3">
        <v>0</v>
      </c>
      <c r="D135" s="129">
        <f t="shared" si="21"/>
        <v>229</v>
      </c>
      <c r="E135" s="3"/>
      <c r="F135" s="3"/>
      <c r="P135" s="12">
        <f t="shared" ref="P135:Q135" si="80">Q135+1</f>
        <v>151</v>
      </c>
      <c r="Q135" s="12">
        <f t="shared" si="80"/>
        <v>150</v>
      </c>
      <c r="R135" s="129">
        <f t="shared" si="30"/>
        <v>149</v>
      </c>
    </row>
    <row r="136" spans="2:18" x14ac:dyDescent="0.3">
      <c r="B136" s="312"/>
      <c r="C136" s="3">
        <v>0</v>
      </c>
      <c r="D136" s="129">
        <f t="shared" si="21"/>
        <v>229</v>
      </c>
      <c r="E136" s="3"/>
      <c r="F136" s="3"/>
      <c r="P136" s="12">
        <f t="shared" ref="P136:Q136" si="81">Q136+1</f>
        <v>154</v>
      </c>
      <c r="Q136" s="12">
        <f t="shared" si="81"/>
        <v>153</v>
      </c>
      <c r="R136" s="129">
        <f t="shared" si="30"/>
        <v>152</v>
      </c>
    </row>
    <row r="137" spans="2:18" x14ac:dyDescent="0.3">
      <c r="B137" s="312"/>
      <c r="C137" s="3">
        <v>0</v>
      </c>
      <c r="D137" s="129">
        <f t="shared" si="21"/>
        <v>229</v>
      </c>
      <c r="E137" s="3"/>
      <c r="F137" s="3"/>
      <c r="P137" s="12">
        <f t="shared" ref="P137:Q137" si="82">Q137+1</f>
        <v>157</v>
      </c>
      <c r="Q137" s="12">
        <f t="shared" si="82"/>
        <v>156</v>
      </c>
      <c r="R137" s="129">
        <f t="shared" si="30"/>
        <v>155</v>
      </c>
    </row>
    <row r="138" spans="2:18" x14ac:dyDescent="0.3">
      <c r="B138" s="312"/>
      <c r="C138" s="3">
        <v>0</v>
      </c>
      <c r="D138" s="129">
        <f t="shared" ref="D138:D162" si="83">D137+E137/8</f>
        <v>229</v>
      </c>
      <c r="E138" s="3"/>
      <c r="F138" s="3"/>
      <c r="P138" s="12">
        <f t="shared" ref="P138:Q138" si="84">Q138+1</f>
        <v>160</v>
      </c>
      <c r="Q138" s="12">
        <f t="shared" si="84"/>
        <v>159</v>
      </c>
      <c r="R138" s="129">
        <f t="shared" si="30"/>
        <v>158</v>
      </c>
    </row>
    <row r="139" spans="2:18" x14ac:dyDescent="0.3">
      <c r="B139" s="312"/>
      <c r="C139" s="3">
        <v>0</v>
      </c>
      <c r="D139" s="129">
        <f t="shared" si="83"/>
        <v>229</v>
      </c>
      <c r="E139" s="3"/>
      <c r="F139" s="3"/>
      <c r="P139" s="12">
        <f t="shared" ref="P139:Q139" si="85">Q139+1</f>
        <v>163</v>
      </c>
      <c r="Q139" s="12">
        <f t="shared" si="85"/>
        <v>162</v>
      </c>
      <c r="R139" s="129">
        <f t="shared" si="30"/>
        <v>161</v>
      </c>
    </row>
    <row r="140" spans="2:18" x14ac:dyDescent="0.3">
      <c r="B140" s="312"/>
      <c r="C140" s="3">
        <v>0</v>
      </c>
      <c r="D140" s="129">
        <f t="shared" si="83"/>
        <v>229</v>
      </c>
      <c r="E140" s="3"/>
      <c r="F140" s="3"/>
      <c r="P140" s="12">
        <f t="shared" ref="P140:Q140" si="86">Q140+1</f>
        <v>166</v>
      </c>
      <c r="Q140" s="12">
        <f t="shared" si="86"/>
        <v>165</v>
      </c>
      <c r="R140" s="129">
        <f t="shared" si="30"/>
        <v>164</v>
      </c>
    </row>
    <row r="141" spans="2:18" x14ac:dyDescent="0.3">
      <c r="B141" s="312"/>
      <c r="C141" s="3">
        <v>0</v>
      </c>
      <c r="D141" s="129">
        <f t="shared" si="83"/>
        <v>229</v>
      </c>
      <c r="E141" s="3"/>
      <c r="F141" s="3"/>
      <c r="P141" s="12">
        <f t="shared" ref="P141:Q141" si="87">Q141+1</f>
        <v>169</v>
      </c>
      <c r="Q141" s="12">
        <f t="shared" si="87"/>
        <v>168</v>
      </c>
      <c r="R141" s="129">
        <f t="shared" si="30"/>
        <v>167</v>
      </c>
    </row>
    <row r="142" spans="2:18" x14ac:dyDescent="0.3">
      <c r="B142" s="312"/>
      <c r="C142" s="3">
        <v>0</v>
      </c>
      <c r="D142" s="129">
        <f t="shared" si="83"/>
        <v>229</v>
      </c>
      <c r="E142" s="3"/>
      <c r="F142" s="3"/>
      <c r="P142" s="12">
        <f t="shared" ref="P142:Q142" si="88">Q142+1</f>
        <v>172</v>
      </c>
      <c r="Q142" s="12">
        <f t="shared" si="88"/>
        <v>171</v>
      </c>
      <c r="R142" s="129">
        <f t="shared" si="30"/>
        <v>170</v>
      </c>
    </row>
    <row r="143" spans="2:18" x14ac:dyDescent="0.3">
      <c r="B143" s="312"/>
      <c r="C143" s="3">
        <v>0</v>
      </c>
      <c r="D143" s="129">
        <f t="shared" si="83"/>
        <v>229</v>
      </c>
      <c r="E143" s="3"/>
      <c r="F143" s="3"/>
      <c r="P143" s="12">
        <f t="shared" ref="P143:Q143" si="89">Q143+1</f>
        <v>174</v>
      </c>
      <c r="Q143" s="12">
        <f t="shared" si="89"/>
        <v>173</v>
      </c>
      <c r="R143" s="129">
        <f t="shared" si="30"/>
        <v>172</v>
      </c>
    </row>
    <row r="144" spans="2:18" x14ac:dyDescent="0.3">
      <c r="B144" s="312"/>
      <c r="C144" s="3">
        <v>0</v>
      </c>
      <c r="D144" s="129">
        <f t="shared" si="83"/>
        <v>229</v>
      </c>
      <c r="E144" s="3"/>
      <c r="F144" s="3"/>
      <c r="P144" s="12">
        <f t="shared" ref="P144:Q144" si="90">Q144+1</f>
        <v>177</v>
      </c>
      <c r="Q144" s="12">
        <f t="shared" si="90"/>
        <v>176</v>
      </c>
      <c r="R144" s="129">
        <f t="shared" si="30"/>
        <v>175</v>
      </c>
    </row>
    <row r="145" spans="2:18" x14ac:dyDescent="0.3">
      <c r="B145" s="312"/>
      <c r="C145" s="3">
        <v>0</v>
      </c>
      <c r="D145" s="129">
        <f t="shared" si="83"/>
        <v>229</v>
      </c>
      <c r="E145" s="3"/>
      <c r="F145" s="3"/>
      <c r="P145" s="12">
        <f t="shared" ref="P145:Q145" si="91">Q145+1</f>
        <v>180</v>
      </c>
      <c r="Q145" s="12">
        <f t="shared" si="91"/>
        <v>179</v>
      </c>
      <c r="R145" s="129">
        <f t="shared" si="30"/>
        <v>178</v>
      </c>
    </row>
    <row r="146" spans="2:18" x14ac:dyDescent="0.3">
      <c r="B146" s="312"/>
      <c r="C146" s="3">
        <v>0</v>
      </c>
      <c r="D146" s="129">
        <f t="shared" si="83"/>
        <v>229</v>
      </c>
      <c r="E146" s="3"/>
      <c r="F146" s="3"/>
      <c r="P146" s="12">
        <f t="shared" ref="P146:Q146" si="92">Q146+1</f>
        <v>182</v>
      </c>
      <c r="Q146" s="12">
        <f t="shared" si="92"/>
        <v>181</v>
      </c>
      <c r="R146" s="129">
        <f t="shared" si="30"/>
        <v>180</v>
      </c>
    </row>
    <row r="147" spans="2:18" x14ac:dyDescent="0.3">
      <c r="B147" s="312"/>
      <c r="C147" s="3">
        <v>0</v>
      </c>
      <c r="D147" s="129">
        <f t="shared" si="83"/>
        <v>229</v>
      </c>
      <c r="E147" s="3"/>
      <c r="F147" s="3"/>
      <c r="P147" s="12">
        <f t="shared" ref="P147:Q147" si="93">Q147+1</f>
        <v>185</v>
      </c>
      <c r="Q147" s="12">
        <f t="shared" si="93"/>
        <v>184</v>
      </c>
      <c r="R147" s="129">
        <f t="shared" si="30"/>
        <v>183</v>
      </c>
    </row>
    <row r="148" spans="2:18" x14ac:dyDescent="0.3">
      <c r="B148" s="312"/>
      <c r="C148" s="3">
        <v>0</v>
      </c>
      <c r="D148" s="129">
        <f t="shared" si="83"/>
        <v>229</v>
      </c>
      <c r="E148" s="3"/>
      <c r="F148" s="3"/>
      <c r="P148" s="12">
        <f t="shared" ref="P148:Q148" si="94">Q148+1</f>
        <v>187</v>
      </c>
      <c r="Q148" s="12">
        <f t="shared" si="94"/>
        <v>186</v>
      </c>
      <c r="R148" s="129">
        <f t="shared" si="30"/>
        <v>185</v>
      </c>
    </row>
    <row r="149" spans="2:18" x14ac:dyDescent="0.3">
      <c r="B149" s="312"/>
      <c r="C149" s="3">
        <v>0</v>
      </c>
      <c r="D149" s="129">
        <f t="shared" si="83"/>
        <v>229</v>
      </c>
      <c r="E149" s="3"/>
      <c r="F149" s="3"/>
      <c r="P149" s="12">
        <f t="shared" ref="P149:Q149" si="95">Q149+1</f>
        <v>188</v>
      </c>
      <c r="Q149" s="12">
        <f t="shared" si="95"/>
        <v>187</v>
      </c>
      <c r="R149" s="129">
        <f t="shared" ref="R149:R167" si="96">D73</f>
        <v>186</v>
      </c>
    </row>
    <row r="150" spans="2:18" x14ac:dyDescent="0.3">
      <c r="B150" s="312"/>
      <c r="C150" s="3">
        <v>0</v>
      </c>
      <c r="D150" s="129">
        <f t="shared" si="83"/>
        <v>229</v>
      </c>
      <c r="E150" s="3"/>
      <c r="F150" s="3"/>
      <c r="P150" s="12">
        <f t="shared" ref="P150:Q150" si="97">Q150+1</f>
        <v>191</v>
      </c>
      <c r="Q150" s="12">
        <f t="shared" si="97"/>
        <v>190</v>
      </c>
      <c r="R150" s="129">
        <f t="shared" si="96"/>
        <v>189</v>
      </c>
    </row>
    <row r="151" spans="2:18" x14ac:dyDescent="0.3">
      <c r="B151" s="312"/>
      <c r="C151" s="3">
        <v>0</v>
      </c>
      <c r="D151" s="129">
        <f t="shared" si="83"/>
        <v>229</v>
      </c>
      <c r="E151" s="3"/>
      <c r="F151" s="3"/>
      <c r="P151" s="12">
        <f t="shared" ref="P151:Q151" si="98">Q151+1</f>
        <v>194</v>
      </c>
      <c r="Q151" s="12">
        <f t="shared" si="98"/>
        <v>193</v>
      </c>
      <c r="R151" s="129">
        <f t="shared" si="96"/>
        <v>192</v>
      </c>
    </row>
    <row r="152" spans="2:18" x14ac:dyDescent="0.3">
      <c r="B152" s="312"/>
      <c r="C152" s="3">
        <v>0</v>
      </c>
      <c r="D152" s="129">
        <f t="shared" si="83"/>
        <v>229</v>
      </c>
      <c r="E152" s="3"/>
      <c r="F152" s="3"/>
      <c r="P152" s="12">
        <f t="shared" ref="P152:Q152" si="99">Q152+1</f>
        <v>196</v>
      </c>
      <c r="Q152" s="12">
        <f t="shared" si="99"/>
        <v>195</v>
      </c>
      <c r="R152" s="129">
        <f t="shared" si="96"/>
        <v>194</v>
      </c>
    </row>
    <row r="153" spans="2:18" x14ac:dyDescent="0.3">
      <c r="B153" s="312"/>
      <c r="C153" s="3">
        <v>0</v>
      </c>
      <c r="D153" s="129">
        <f t="shared" si="83"/>
        <v>229</v>
      </c>
      <c r="E153" s="3"/>
      <c r="F153" s="3"/>
      <c r="J153" s="13"/>
      <c r="P153" s="12">
        <f t="shared" ref="P153:Q153" si="100">Q153+1</f>
        <v>199</v>
      </c>
      <c r="Q153" s="12">
        <f t="shared" si="100"/>
        <v>198</v>
      </c>
      <c r="R153" s="129">
        <f t="shared" si="96"/>
        <v>197</v>
      </c>
    </row>
    <row r="154" spans="2:18" x14ac:dyDescent="0.3">
      <c r="B154" s="312"/>
      <c r="C154" s="3">
        <v>0</v>
      </c>
      <c r="D154" s="129">
        <f t="shared" si="83"/>
        <v>229</v>
      </c>
      <c r="E154" s="3"/>
      <c r="F154" s="3"/>
      <c r="J154" s="13"/>
      <c r="P154" s="12">
        <f t="shared" ref="P154:Q154" si="101">Q154+1</f>
        <v>202</v>
      </c>
      <c r="Q154" s="12">
        <f t="shared" si="101"/>
        <v>201</v>
      </c>
      <c r="R154" s="129">
        <f t="shared" si="96"/>
        <v>200</v>
      </c>
    </row>
    <row r="155" spans="2:18" x14ac:dyDescent="0.3">
      <c r="B155" s="312"/>
      <c r="C155" s="3">
        <v>0</v>
      </c>
      <c r="D155" s="129">
        <f t="shared" si="83"/>
        <v>229</v>
      </c>
      <c r="E155" s="3"/>
      <c r="F155" s="3"/>
      <c r="P155" s="12">
        <f t="shared" ref="P155:Q155" si="102">Q155+1</f>
        <v>203</v>
      </c>
      <c r="Q155" s="12">
        <f t="shared" si="102"/>
        <v>202</v>
      </c>
      <c r="R155" s="129">
        <f t="shared" si="96"/>
        <v>201</v>
      </c>
    </row>
    <row r="156" spans="2:18" x14ac:dyDescent="0.3">
      <c r="B156" s="312"/>
      <c r="C156" s="3">
        <v>0</v>
      </c>
      <c r="D156" s="129">
        <f t="shared" si="83"/>
        <v>229</v>
      </c>
      <c r="E156" s="3"/>
      <c r="F156" s="3"/>
      <c r="P156" s="12">
        <f t="shared" ref="P156:Q156" si="103">Q156+1</f>
        <v>206</v>
      </c>
      <c r="Q156" s="12">
        <f t="shared" si="103"/>
        <v>205</v>
      </c>
      <c r="R156" s="129">
        <f t="shared" si="96"/>
        <v>204</v>
      </c>
    </row>
    <row r="157" spans="2:18" x14ac:dyDescent="0.3">
      <c r="B157" s="312"/>
      <c r="C157" s="3">
        <v>0</v>
      </c>
      <c r="D157" s="129">
        <f t="shared" si="83"/>
        <v>229</v>
      </c>
      <c r="E157" s="3"/>
      <c r="F157" s="3"/>
      <c r="P157" s="12">
        <f t="shared" ref="P157:Q157" si="104">Q157+1</f>
        <v>209</v>
      </c>
      <c r="Q157" s="12">
        <f t="shared" si="104"/>
        <v>208</v>
      </c>
      <c r="R157" s="129">
        <f t="shared" si="96"/>
        <v>207</v>
      </c>
    </row>
    <row r="158" spans="2:18" x14ac:dyDescent="0.3">
      <c r="B158" s="312"/>
      <c r="C158" s="3">
        <v>0</v>
      </c>
      <c r="D158" s="129">
        <f t="shared" si="83"/>
        <v>229</v>
      </c>
      <c r="E158" s="3"/>
      <c r="F158" s="3"/>
      <c r="P158" s="12">
        <f t="shared" ref="P158:Q158" si="105">Q158+1</f>
        <v>212</v>
      </c>
      <c r="Q158" s="12">
        <f t="shared" si="105"/>
        <v>211</v>
      </c>
      <c r="R158" s="129">
        <f t="shared" si="96"/>
        <v>210</v>
      </c>
    </row>
    <row r="159" spans="2:18" x14ac:dyDescent="0.3">
      <c r="B159" s="312"/>
      <c r="C159" s="3">
        <v>0</v>
      </c>
      <c r="D159" s="129">
        <f t="shared" si="83"/>
        <v>229</v>
      </c>
      <c r="E159" s="3"/>
      <c r="F159" s="3"/>
      <c r="P159" s="12">
        <f t="shared" ref="P159:Q159" si="106">Q159+1</f>
        <v>215</v>
      </c>
      <c r="Q159" s="12">
        <f t="shared" si="106"/>
        <v>214</v>
      </c>
      <c r="R159" s="129">
        <f t="shared" si="96"/>
        <v>213</v>
      </c>
    </row>
    <row r="160" spans="2:18" x14ac:dyDescent="0.3">
      <c r="B160" s="312"/>
      <c r="C160" s="3">
        <v>0</v>
      </c>
      <c r="D160" s="129">
        <f t="shared" si="83"/>
        <v>229</v>
      </c>
      <c r="E160" s="3"/>
      <c r="F160" s="3"/>
      <c r="P160" s="12">
        <f t="shared" ref="P160:Q160" si="107">Q160+1</f>
        <v>218</v>
      </c>
      <c r="Q160" s="12">
        <f t="shared" si="107"/>
        <v>217</v>
      </c>
      <c r="R160" s="129">
        <f t="shared" si="96"/>
        <v>216</v>
      </c>
    </row>
    <row r="161" spans="2:18" x14ac:dyDescent="0.3">
      <c r="B161" s="312"/>
      <c r="C161" s="3">
        <v>0</v>
      </c>
      <c r="D161" s="129">
        <f t="shared" si="83"/>
        <v>229</v>
      </c>
      <c r="E161" s="3"/>
      <c r="F161" s="3"/>
      <c r="P161" s="12">
        <f t="shared" ref="P161:Q161" si="108">Q161+1</f>
        <v>219</v>
      </c>
      <c r="Q161" s="12">
        <f t="shared" si="108"/>
        <v>218</v>
      </c>
      <c r="R161" s="129">
        <f t="shared" si="96"/>
        <v>217</v>
      </c>
    </row>
    <row r="162" spans="2:18" x14ac:dyDescent="0.3">
      <c r="B162" s="313"/>
      <c r="C162" s="3">
        <v>0</v>
      </c>
      <c r="D162" s="129">
        <f t="shared" si="83"/>
        <v>229</v>
      </c>
      <c r="E162" s="3"/>
      <c r="F162" s="3"/>
      <c r="P162" s="12">
        <f t="shared" ref="P162:Q162" si="109">Q162+1</f>
        <v>220</v>
      </c>
      <c r="Q162" s="12">
        <f t="shared" si="109"/>
        <v>219</v>
      </c>
      <c r="R162" s="129">
        <f t="shared" si="96"/>
        <v>218</v>
      </c>
    </row>
    <row r="163" spans="2:18" x14ac:dyDescent="0.3">
      <c r="E163" s="11">
        <f>SUM(E8:E162)</f>
        <v>1832</v>
      </c>
      <c r="P163" s="12">
        <f t="shared" ref="P163:Q163" si="110">Q163+1</f>
        <v>221</v>
      </c>
      <c r="Q163" s="12">
        <f t="shared" si="110"/>
        <v>220</v>
      </c>
      <c r="R163" s="129">
        <f t="shared" si="96"/>
        <v>219</v>
      </c>
    </row>
    <row r="164" spans="2:18" x14ac:dyDescent="0.3">
      <c r="E164" s="11">
        <f>E163/8</f>
        <v>229</v>
      </c>
      <c r="P164" s="12">
        <f t="shared" ref="P164:Q164" si="111">Q164+1</f>
        <v>222</v>
      </c>
      <c r="Q164" s="12">
        <f t="shared" si="111"/>
        <v>221</v>
      </c>
      <c r="R164" s="129">
        <f t="shared" si="96"/>
        <v>220</v>
      </c>
    </row>
    <row r="165" spans="2:18" x14ac:dyDescent="0.3">
      <c r="P165" s="12">
        <f t="shared" ref="P165:Q165" si="112">Q165+1</f>
        <v>223</v>
      </c>
      <c r="Q165" s="12">
        <f t="shared" si="112"/>
        <v>222</v>
      </c>
      <c r="R165" s="129">
        <f t="shared" si="96"/>
        <v>221</v>
      </c>
    </row>
    <row r="166" spans="2:18" x14ac:dyDescent="0.3">
      <c r="P166" s="12">
        <f t="shared" ref="P166:Q166" si="113">Q166+1</f>
        <v>226</v>
      </c>
      <c r="Q166" s="12">
        <f t="shared" si="113"/>
        <v>225</v>
      </c>
      <c r="R166" s="129">
        <f t="shared" si="96"/>
        <v>224</v>
      </c>
    </row>
    <row r="167" spans="2:18" x14ac:dyDescent="0.3">
      <c r="P167" s="12">
        <f t="shared" ref="P167:Q167" si="114">Q167+1</f>
        <v>229</v>
      </c>
      <c r="Q167" s="12">
        <f t="shared" si="114"/>
        <v>228</v>
      </c>
      <c r="R167" s="129">
        <f t="shared" si="96"/>
        <v>227</v>
      </c>
    </row>
  </sheetData>
  <mergeCells count="4">
    <mergeCell ref="B6:D6"/>
    <mergeCell ref="E6:E7"/>
    <mergeCell ref="F6:F7"/>
    <mergeCell ref="B8:B16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G52"/>
  <sheetViews>
    <sheetView zoomScale="70" zoomScaleNormal="70" workbookViewId="0">
      <selection activeCell="E76" sqref="E76"/>
    </sheetView>
  </sheetViews>
  <sheetFormatPr defaultColWidth="8.875" defaultRowHeight="16.5" x14ac:dyDescent="0.3"/>
  <cols>
    <col min="1" max="2" width="8.875" style="12"/>
    <col min="3" max="3" width="19" style="11" customWidth="1"/>
    <col min="4" max="4" width="17.375" style="11" customWidth="1"/>
    <col min="5" max="5" width="20" style="11" customWidth="1"/>
    <col min="6" max="6" width="15.125" style="11" customWidth="1"/>
    <col min="7" max="16384" width="8.875" style="12"/>
  </cols>
  <sheetData>
    <row r="1" spans="2:59" ht="21" customHeight="1" x14ac:dyDescent="0.3">
      <c r="B1" s="310" t="s">
        <v>275</v>
      </c>
      <c r="C1" s="310"/>
      <c r="D1" s="310"/>
      <c r="E1" s="3" t="s">
        <v>276</v>
      </c>
      <c r="F1" s="3" t="s">
        <v>277</v>
      </c>
    </row>
    <row r="2" spans="2:59" ht="21" customHeight="1" x14ac:dyDescent="0.3">
      <c r="B2" s="3" t="s">
        <v>278</v>
      </c>
      <c r="C2" s="3" t="s">
        <v>279</v>
      </c>
      <c r="D2" s="3" t="s">
        <v>280</v>
      </c>
      <c r="E2" s="3" t="s">
        <v>336</v>
      </c>
      <c r="F2" s="3"/>
    </row>
    <row r="3" spans="2:59" x14ac:dyDescent="0.3">
      <c r="B3" s="310">
        <v>0</v>
      </c>
      <c r="C3" s="3">
        <v>1</v>
      </c>
      <c r="D3" s="3">
        <v>0</v>
      </c>
      <c r="E3" s="3"/>
      <c r="F3" s="310" t="s">
        <v>337</v>
      </c>
    </row>
    <row r="4" spans="2:59" x14ac:dyDescent="0.3">
      <c r="B4" s="310"/>
      <c r="C4" s="3">
        <v>1</v>
      </c>
      <c r="D4" s="3">
        <v>1</v>
      </c>
      <c r="E4" s="3"/>
      <c r="F4" s="310"/>
    </row>
    <row r="5" spans="2:59" x14ac:dyDescent="0.3">
      <c r="B5" s="310"/>
      <c r="C5" s="3">
        <v>1</v>
      </c>
      <c r="D5" s="3">
        <v>2</v>
      </c>
      <c r="E5" s="3"/>
      <c r="F5" s="310"/>
    </row>
    <row r="6" spans="2:59" x14ac:dyDescent="0.3">
      <c r="B6" s="310"/>
      <c r="C6" s="3">
        <v>1</v>
      </c>
      <c r="D6" s="3">
        <v>3</v>
      </c>
      <c r="E6" s="3"/>
      <c r="F6" s="310"/>
    </row>
    <row r="7" spans="2:59" x14ac:dyDescent="0.3">
      <c r="B7" s="310"/>
      <c r="C7" s="3">
        <v>1</v>
      </c>
      <c r="D7" s="3">
        <v>4</v>
      </c>
      <c r="E7" s="3"/>
      <c r="F7" s="310"/>
    </row>
    <row r="8" spans="2:59" x14ac:dyDescent="0.3">
      <c r="B8" s="310"/>
      <c r="C8" s="3">
        <v>1</v>
      </c>
      <c r="D8" s="3"/>
      <c r="E8" s="3"/>
      <c r="F8" s="310"/>
      <c r="P8" s="12">
        <v>4</v>
      </c>
      <c r="Q8" s="12">
        <v>4</v>
      </c>
      <c r="R8" s="12">
        <v>4</v>
      </c>
      <c r="S8" s="12">
        <v>4</v>
      </c>
      <c r="T8" s="12">
        <v>4</v>
      </c>
      <c r="U8" s="12">
        <v>4</v>
      </c>
      <c r="V8" s="12">
        <v>24</v>
      </c>
      <c r="W8" s="12">
        <v>4</v>
      </c>
      <c r="X8" s="12">
        <v>4</v>
      </c>
      <c r="Y8" s="12">
        <v>4</v>
      </c>
      <c r="Z8" s="12">
        <v>4</v>
      </c>
      <c r="AA8" s="12">
        <v>4</v>
      </c>
      <c r="AB8" s="12">
        <v>4</v>
      </c>
      <c r="AC8" s="12">
        <v>24</v>
      </c>
      <c r="AD8" s="12">
        <v>4</v>
      </c>
      <c r="AE8" s="12">
        <v>4</v>
      </c>
      <c r="AF8" s="12">
        <v>4</v>
      </c>
      <c r="AG8" s="12">
        <v>4</v>
      </c>
      <c r="AH8" s="12">
        <v>8</v>
      </c>
      <c r="AI8" s="12">
        <v>8</v>
      </c>
      <c r="AJ8" s="12">
        <v>8</v>
      </c>
      <c r="AK8" s="12">
        <v>4</v>
      </c>
      <c r="AL8" s="12">
        <v>4</v>
      </c>
      <c r="AM8" s="12">
        <v>8</v>
      </c>
      <c r="AN8" s="12">
        <v>4</v>
      </c>
      <c r="AO8" s="12">
        <v>4</v>
      </c>
      <c r="AP8" s="12">
        <v>4</v>
      </c>
      <c r="AQ8" s="12">
        <v>24</v>
      </c>
      <c r="AR8" s="12">
        <v>4</v>
      </c>
      <c r="AS8" s="12">
        <v>4</v>
      </c>
      <c r="AT8" s="12">
        <v>24</v>
      </c>
      <c r="AU8" s="12">
        <v>4</v>
      </c>
      <c r="AV8" s="12">
        <v>4</v>
      </c>
      <c r="AW8" s="12">
        <v>4</v>
      </c>
      <c r="AX8" s="12">
        <v>4</v>
      </c>
      <c r="AY8" s="12">
        <v>4</v>
      </c>
      <c r="AZ8" s="12">
        <v>16</v>
      </c>
      <c r="BA8" s="12">
        <v>16</v>
      </c>
      <c r="BB8" s="12">
        <v>8</v>
      </c>
      <c r="BC8" s="12">
        <v>16</v>
      </c>
      <c r="BD8" s="12">
        <v>16</v>
      </c>
      <c r="BE8" s="12">
        <v>4</v>
      </c>
      <c r="BF8" s="12">
        <v>4</v>
      </c>
      <c r="BG8" s="12">
        <v>4</v>
      </c>
    </row>
    <row r="9" spans="2:59" x14ac:dyDescent="0.3">
      <c r="B9" s="310"/>
      <c r="C9" s="3">
        <v>1</v>
      </c>
      <c r="D9" s="3">
        <v>63</v>
      </c>
      <c r="E9" s="3"/>
      <c r="F9" s="310"/>
      <c r="M9" s="12">
        <f>N9+O9-1</f>
        <v>3</v>
      </c>
      <c r="N9" s="12">
        <v>0</v>
      </c>
      <c r="O9" s="12">
        <v>4</v>
      </c>
    </row>
    <row r="10" spans="2:59" x14ac:dyDescent="0.3">
      <c r="B10" s="310"/>
      <c r="C10" s="3">
        <v>1</v>
      </c>
      <c r="D10" s="3">
        <f>D3+64</f>
        <v>64</v>
      </c>
      <c r="E10" s="3"/>
      <c r="F10" s="310" t="s">
        <v>338</v>
      </c>
      <c r="M10" s="12">
        <f>N10+O10-1</f>
        <v>7</v>
      </c>
      <c r="N10" s="12">
        <f>M9+1</f>
        <v>4</v>
      </c>
      <c r="O10" s="12">
        <v>4</v>
      </c>
    </row>
    <row r="11" spans="2:59" x14ac:dyDescent="0.3">
      <c r="B11" s="310"/>
      <c r="C11" s="3">
        <v>1</v>
      </c>
      <c r="D11" s="3">
        <f>D4+64</f>
        <v>65</v>
      </c>
      <c r="E11" s="3"/>
      <c r="F11" s="310"/>
      <c r="M11" s="12">
        <f t="shared" ref="M11:M52" si="0">N11+O11-1</f>
        <v>11</v>
      </c>
      <c r="N11" s="12">
        <f t="shared" ref="N11:N52" si="1">M10+1</f>
        <v>8</v>
      </c>
      <c r="O11" s="12">
        <v>4</v>
      </c>
    </row>
    <row r="12" spans="2:59" x14ac:dyDescent="0.3">
      <c r="B12" s="310"/>
      <c r="C12" s="3">
        <v>1</v>
      </c>
      <c r="D12" s="3">
        <f>D5+64</f>
        <v>66</v>
      </c>
      <c r="E12" s="3"/>
      <c r="F12" s="310"/>
      <c r="M12" s="12">
        <f t="shared" si="0"/>
        <v>15</v>
      </c>
      <c r="N12" s="12">
        <f t="shared" si="1"/>
        <v>12</v>
      </c>
      <c r="O12" s="12">
        <v>4</v>
      </c>
    </row>
    <row r="13" spans="2:59" x14ac:dyDescent="0.3">
      <c r="B13" s="310"/>
      <c r="C13" s="3">
        <v>1</v>
      </c>
      <c r="D13" s="3">
        <f>D6+64</f>
        <v>67</v>
      </c>
      <c r="E13" s="3"/>
      <c r="F13" s="310"/>
      <c r="M13" s="12">
        <f t="shared" si="0"/>
        <v>19</v>
      </c>
      <c r="N13" s="12">
        <f t="shared" si="1"/>
        <v>16</v>
      </c>
      <c r="O13" s="12">
        <v>4</v>
      </c>
    </row>
    <row r="14" spans="2:59" x14ac:dyDescent="0.3">
      <c r="B14" s="310"/>
      <c r="C14" s="3">
        <v>1</v>
      </c>
      <c r="D14" s="3">
        <f>D7+64</f>
        <v>68</v>
      </c>
      <c r="E14" s="3"/>
      <c r="F14" s="310"/>
      <c r="M14" s="12">
        <f t="shared" si="0"/>
        <v>23</v>
      </c>
      <c r="N14" s="12">
        <f t="shared" si="1"/>
        <v>20</v>
      </c>
      <c r="O14" s="12">
        <v>4</v>
      </c>
    </row>
    <row r="15" spans="2:59" x14ac:dyDescent="0.3">
      <c r="B15" s="310"/>
      <c r="C15" s="3">
        <v>1</v>
      </c>
      <c r="D15" s="3"/>
      <c r="E15" s="3"/>
      <c r="F15" s="310"/>
      <c r="M15" s="12">
        <f t="shared" si="0"/>
        <v>47</v>
      </c>
      <c r="N15" s="12">
        <f t="shared" si="1"/>
        <v>24</v>
      </c>
      <c r="O15" s="12">
        <v>24</v>
      </c>
    </row>
    <row r="16" spans="2:59" x14ac:dyDescent="0.3">
      <c r="B16" s="310"/>
      <c r="C16" s="3">
        <v>1</v>
      </c>
      <c r="D16" s="3">
        <f t="shared" ref="D16:D21" si="2">D9+64</f>
        <v>127</v>
      </c>
      <c r="E16" s="3"/>
      <c r="F16" s="310"/>
      <c r="M16" s="12">
        <f t="shared" si="0"/>
        <v>51</v>
      </c>
      <c r="N16" s="12">
        <f t="shared" si="1"/>
        <v>48</v>
      </c>
      <c r="O16" s="12">
        <v>4</v>
      </c>
    </row>
    <row r="17" spans="2:15" x14ac:dyDescent="0.3">
      <c r="B17" s="310"/>
      <c r="C17" s="3">
        <v>1</v>
      </c>
      <c r="D17" s="3">
        <f t="shared" si="2"/>
        <v>128</v>
      </c>
      <c r="E17" s="3"/>
      <c r="F17" s="310" t="s">
        <v>339</v>
      </c>
      <c r="M17" s="12">
        <f t="shared" si="0"/>
        <v>55</v>
      </c>
      <c r="N17" s="12">
        <f t="shared" si="1"/>
        <v>52</v>
      </c>
      <c r="O17" s="12">
        <v>4</v>
      </c>
    </row>
    <row r="18" spans="2:15" x14ac:dyDescent="0.3">
      <c r="B18" s="310"/>
      <c r="C18" s="3">
        <v>1</v>
      </c>
      <c r="D18" s="3">
        <f t="shared" si="2"/>
        <v>129</v>
      </c>
      <c r="E18" s="3"/>
      <c r="F18" s="310"/>
      <c r="M18" s="12">
        <f t="shared" si="0"/>
        <v>59</v>
      </c>
      <c r="N18" s="12">
        <f t="shared" si="1"/>
        <v>56</v>
      </c>
      <c r="O18" s="12">
        <v>4</v>
      </c>
    </row>
    <row r="19" spans="2:15" x14ac:dyDescent="0.3">
      <c r="B19" s="310"/>
      <c r="C19" s="3">
        <v>1</v>
      </c>
      <c r="D19" s="3">
        <f t="shared" si="2"/>
        <v>130</v>
      </c>
      <c r="E19" s="3"/>
      <c r="F19" s="310"/>
      <c r="M19" s="12">
        <f t="shared" si="0"/>
        <v>63</v>
      </c>
      <c r="N19" s="12">
        <f t="shared" si="1"/>
        <v>60</v>
      </c>
      <c r="O19" s="12">
        <v>4</v>
      </c>
    </row>
    <row r="20" spans="2:15" x14ac:dyDescent="0.3">
      <c r="B20" s="310"/>
      <c r="C20" s="3">
        <v>1</v>
      </c>
      <c r="D20" s="3">
        <f t="shared" si="2"/>
        <v>131</v>
      </c>
      <c r="E20" s="3"/>
      <c r="F20" s="310"/>
      <c r="M20" s="12">
        <f t="shared" si="0"/>
        <v>67</v>
      </c>
      <c r="N20" s="12">
        <f t="shared" si="1"/>
        <v>64</v>
      </c>
      <c r="O20" s="12">
        <v>4</v>
      </c>
    </row>
    <row r="21" spans="2:15" x14ac:dyDescent="0.3">
      <c r="B21" s="310"/>
      <c r="C21" s="3">
        <v>1</v>
      </c>
      <c r="D21" s="3">
        <f t="shared" si="2"/>
        <v>132</v>
      </c>
      <c r="E21" s="3"/>
      <c r="F21" s="310"/>
      <c r="M21" s="12">
        <f t="shared" si="0"/>
        <v>71</v>
      </c>
      <c r="N21" s="12">
        <f t="shared" si="1"/>
        <v>68</v>
      </c>
      <c r="O21" s="12">
        <v>4</v>
      </c>
    </row>
    <row r="22" spans="2:15" x14ac:dyDescent="0.3">
      <c r="B22" s="310"/>
      <c r="C22" s="3">
        <v>1</v>
      </c>
      <c r="D22" s="3"/>
      <c r="E22" s="3"/>
      <c r="F22" s="310"/>
      <c r="M22" s="12">
        <f t="shared" si="0"/>
        <v>95</v>
      </c>
      <c r="N22" s="12">
        <f t="shared" si="1"/>
        <v>72</v>
      </c>
      <c r="O22" s="12">
        <v>24</v>
      </c>
    </row>
    <row r="23" spans="2:15" x14ac:dyDescent="0.3">
      <c r="B23" s="310"/>
      <c r="C23" s="3">
        <v>1</v>
      </c>
      <c r="D23" s="3">
        <f t="shared" ref="D23:D28" si="3">D16+64</f>
        <v>191</v>
      </c>
      <c r="E23" s="3"/>
      <c r="F23" s="310"/>
      <c r="M23" s="12">
        <f t="shared" si="0"/>
        <v>99</v>
      </c>
      <c r="N23" s="12">
        <f t="shared" si="1"/>
        <v>96</v>
      </c>
      <c r="O23" s="12">
        <v>4</v>
      </c>
    </row>
    <row r="24" spans="2:15" x14ac:dyDescent="0.3">
      <c r="B24" s="310"/>
      <c r="C24" s="3">
        <v>1</v>
      </c>
      <c r="D24" s="3">
        <f t="shared" si="3"/>
        <v>192</v>
      </c>
      <c r="E24" s="3"/>
      <c r="F24" s="310" t="s">
        <v>340</v>
      </c>
      <c r="M24" s="12">
        <f t="shared" si="0"/>
        <v>103</v>
      </c>
      <c r="N24" s="12">
        <f t="shared" si="1"/>
        <v>100</v>
      </c>
      <c r="O24" s="12">
        <v>4</v>
      </c>
    </row>
    <row r="25" spans="2:15" x14ac:dyDescent="0.3">
      <c r="B25" s="310"/>
      <c r="C25" s="3">
        <v>1</v>
      </c>
      <c r="D25" s="3">
        <f t="shared" si="3"/>
        <v>193</v>
      </c>
      <c r="E25" s="3"/>
      <c r="F25" s="310"/>
      <c r="M25" s="12">
        <f t="shared" si="0"/>
        <v>107</v>
      </c>
      <c r="N25" s="12">
        <f t="shared" si="1"/>
        <v>104</v>
      </c>
      <c r="O25" s="12">
        <v>4</v>
      </c>
    </row>
    <row r="26" spans="2:15" x14ac:dyDescent="0.3">
      <c r="B26" s="310"/>
      <c r="C26" s="3">
        <v>1</v>
      </c>
      <c r="D26" s="3">
        <f t="shared" si="3"/>
        <v>194</v>
      </c>
      <c r="E26" s="3"/>
      <c r="F26" s="310"/>
      <c r="M26" s="12">
        <f t="shared" si="0"/>
        <v>111</v>
      </c>
      <c r="N26" s="12">
        <f t="shared" si="1"/>
        <v>108</v>
      </c>
      <c r="O26" s="12">
        <v>4</v>
      </c>
    </row>
    <row r="27" spans="2:15" x14ac:dyDescent="0.3">
      <c r="B27" s="310"/>
      <c r="C27" s="3">
        <v>1</v>
      </c>
      <c r="D27" s="3">
        <f t="shared" si="3"/>
        <v>195</v>
      </c>
      <c r="E27" s="3"/>
      <c r="F27" s="310"/>
      <c r="M27" s="12">
        <f t="shared" si="0"/>
        <v>119</v>
      </c>
      <c r="N27" s="12">
        <f t="shared" si="1"/>
        <v>112</v>
      </c>
      <c r="O27" s="12">
        <v>8</v>
      </c>
    </row>
    <row r="28" spans="2:15" x14ac:dyDescent="0.3">
      <c r="B28" s="310"/>
      <c r="C28" s="3">
        <v>1</v>
      </c>
      <c r="D28" s="3">
        <f t="shared" si="3"/>
        <v>196</v>
      </c>
      <c r="E28" s="3"/>
      <c r="F28" s="310"/>
      <c r="M28" s="12">
        <f t="shared" si="0"/>
        <v>127</v>
      </c>
      <c r="N28" s="12">
        <f t="shared" si="1"/>
        <v>120</v>
      </c>
      <c r="O28" s="12">
        <v>8</v>
      </c>
    </row>
    <row r="29" spans="2:15" x14ac:dyDescent="0.3">
      <c r="B29" s="310"/>
      <c r="C29" s="3">
        <v>1</v>
      </c>
      <c r="D29" s="3"/>
      <c r="E29" s="3"/>
      <c r="F29" s="310"/>
      <c r="M29" s="12">
        <f t="shared" si="0"/>
        <v>135</v>
      </c>
      <c r="N29" s="12">
        <f t="shared" si="1"/>
        <v>128</v>
      </c>
      <c r="O29" s="12">
        <v>8</v>
      </c>
    </row>
    <row r="30" spans="2:15" x14ac:dyDescent="0.3">
      <c r="B30" s="310"/>
      <c r="C30" s="3">
        <v>1</v>
      </c>
      <c r="D30" s="3">
        <f>D23+64</f>
        <v>255</v>
      </c>
      <c r="E30" s="3"/>
      <c r="F30" s="310"/>
      <c r="H30" s="12">
        <f>256*8</f>
        <v>2048</v>
      </c>
      <c r="J30" s="12">
        <f>512/64</f>
        <v>8</v>
      </c>
      <c r="M30" s="12">
        <f t="shared" si="0"/>
        <v>139</v>
      </c>
      <c r="N30" s="12">
        <f t="shared" si="1"/>
        <v>136</v>
      </c>
      <c r="O30" s="12">
        <v>4</v>
      </c>
    </row>
    <row r="31" spans="2:15" x14ac:dyDescent="0.3">
      <c r="B31" s="310"/>
      <c r="C31" s="3"/>
      <c r="D31" s="3"/>
      <c r="E31" s="3"/>
      <c r="F31" s="310"/>
      <c r="M31" s="12">
        <f t="shared" si="0"/>
        <v>143</v>
      </c>
      <c r="N31" s="12">
        <f t="shared" si="1"/>
        <v>140</v>
      </c>
      <c r="O31" s="12">
        <v>4</v>
      </c>
    </row>
    <row r="32" spans="2:15" x14ac:dyDescent="0.3">
      <c r="B32" s="310"/>
      <c r="C32" s="3"/>
      <c r="D32" s="3"/>
      <c r="E32" s="3"/>
      <c r="F32" s="310"/>
      <c r="M32" s="12">
        <f t="shared" si="0"/>
        <v>151</v>
      </c>
      <c r="N32" s="12">
        <f t="shared" si="1"/>
        <v>144</v>
      </c>
      <c r="O32" s="12">
        <v>8</v>
      </c>
    </row>
    <row r="33" spans="2:15" x14ac:dyDescent="0.3">
      <c r="B33" s="310"/>
      <c r="C33" s="3"/>
      <c r="D33" s="3"/>
      <c r="E33" s="3"/>
      <c r="F33" s="310"/>
      <c r="M33" s="12">
        <f t="shared" si="0"/>
        <v>155</v>
      </c>
      <c r="N33" s="12">
        <f t="shared" si="1"/>
        <v>152</v>
      </c>
      <c r="O33" s="12">
        <v>4</v>
      </c>
    </row>
    <row r="34" spans="2:15" x14ac:dyDescent="0.3">
      <c r="B34" s="310"/>
      <c r="C34" s="3"/>
      <c r="D34" s="3"/>
      <c r="E34" s="3"/>
      <c r="F34" s="310" t="s">
        <v>341</v>
      </c>
      <c r="M34" s="12">
        <f t="shared" si="0"/>
        <v>159</v>
      </c>
      <c r="N34" s="12">
        <f t="shared" si="1"/>
        <v>156</v>
      </c>
      <c r="O34" s="12">
        <v>4</v>
      </c>
    </row>
    <row r="35" spans="2:15" x14ac:dyDescent="0.3">
      <c r="B35" s="310"/>
      <c r="C35" s="3"/>
      <c r="D35" s="3"/>
      <c r="E35" s="3"/>
      <c r="F35" s="310"/>
      <c r="M35" s="12">
        <f t="shared" si="0"/>
        <v>163</v>
      </c>
      <c r="N35" s="12">
        <f t="shared" si="1"/>
        <v>160</v>
      </c>
      <c r="O35" s="12">
        <v>4</v>
      </c>
    </row>
    <row r="36" spans="2:15" x14ac:dyDescent="0.3">
      <c r="B36" s="310"/>
      <c r="C36" s="3"/>
      <c r="D36" s="3"/>
      <c r="E36" s="3"/>
      <c r="F36" s="310"/>
      <c r="M36" s="12">
        <f t="shared" si="0"/>
        <v>187</v>
      </c>
      <c r="N36" s="12">
        <f t="shared" si="1"/>
        <v>164</v>
      </c>
      <c r="O36" s="12">
        <v>24</v>
      </c>
    </row>
    <row r="37" spans="2:15" x14ac:dyDescent="0.3">
      <c r="B37" s="310"/>
      <c r="C37" s="3"/>
      <c r="D37" s="3"/>
      <c r="E37" s="3"/>
      <c r="F37" s="310"/>
      <c r="M37" s="12">
        <f t="shared" si="0"/>
        <v>191</v>
      </c>
      <c r="N37" s="12">
        <f t="shared" si="1"/>
        <v>188</v>
      </c>
      <c r="O37" s="12">
        <v>4</v>
      </c>
    </row>
    <row r="38" spans="2:15" x14ac:dyDescent="0.3">
      <c r="B38" s="310"/>
      <c r="C38" s="3"/>
      <c r="D38" s="3"/>
      <c r="E38" s="3"/>
      <c r="F38" s="310"/>
      <c r="M38" s="12">
        <f t="shared" si="0"/>
        <v>195</v>
      </c>
      <c r="N38" s="12">
        <f t="shared" si="1"/>
        <v>192</v>
      </c>
      <c r="O38" s="12">
        <v>4</v>
      </c>
    </row>
    <row r="39" spans="2:15" x14ac:dyDescent="0.3">
      <c r="B39" s="310"/>
      <c r="C39" s="3"/>
      <c r="D39" s="3"/>
      <c r="E39" s="3"/>
      <c r="F39" s="310"/>
      <c r="M39" s="12">
        <f t="shared" si="0"/>
        <v>219</v>
      </c>
      <c r="N39" s="12">
        <f t="shared" si="1"/>
        <v>196</v>
      </c>
      <c r="O39" s="12">
        <v>24</v>
      </c>
    </row>
    <row r="40" spans="2:15" x14ac:dyDescent="0.3">
      <c r="B40" s="310"/>
      <c r="C40" s="3"/>
      <c r="D40" s="3"/>
      <c r="E40" s="3"/>
      <c r="F40" s="310"/>
      <c r="M40" s="12">
        <f t="shared" si="0"/>
        <v>223</v>
      </c>
      <c r="N40" s="12">
        <f t="shared" si="1"/>
        <v>220</v>
      </c>
      <c r="O40" s="12">
        <v>4</v>
      </c>
    </row>
    <row r="41" spans="2:15" x14ac:dyDescent="0.3">
      <c r="M41" s="12">
        <f t="shared" si="0"/>
        <v>227</v>
      </c>
      <c r="N41" s="12">
        <f t="shared" si="1"/>
        <v>224</v>
      </c>
      <c r="O41" s="12">
        <v>4</v>
      </c>
    </row>
    <row r="42" spans="2:15" x14ac:dyDescent="0.3">
      <c r="M42" s="12">
        <f t="shared" si="0"/>
        <v>231</v>
      </c>
      <c r="N42" s="12">
        <f t="shared" si="1"/>
        <v>228</v>
      </c>
      <c r="O42" s="12">
        <v>4</v>
      </c>
    </row>
    <row r="43" spans="2:15" x14ac:dyDescent="0.3">
      <c r="M43" s="12">
        <f t="shared" si="0"/>
        <v>235</v>
      </c>
      <c r="N43" s="12">
        <f t="shared" si="1"/>
        <v>232</v>
      </c>
      <c r="O43" s="12">
        <v>4</v>
      </c>
    </row>
    <row r="44" spans="2:15" x14ac:dyDescent="0.3">
      <c r="M44" s="12">
        <f t="shared" si="0"/>
        <v>239</v>
      </c>
      <c r="N44" s="12">
        <f t="shared" si="1"/>
        <v>236</v>
      </c>
      <c r="O44" s="12">
        <v>4</v>
      </c>
    </row>
    <row r="45" spans="2:15" x14ac:dyDescent="0.3">
      <c r="M45" s="12">
        <f t="shared" si="0"/>
        <v>255</v>
      </c>
      <c r="N45" s="12">
        <f t="shared" si="1"/>
        <v>240</v>
      </c>
      <c r="O45" s="12">
        <v>16</v>
      </c>
    </row>
    <row r="46" spans="2:15" x14ac:dyDescent="0.3">
      <c r="M46" s="12">
        <f t="shared" si="0"/>
        <v>271</v>
      </c>
      <c r="N46" s="12">
        <f t="shared" si="1"/>
        <v>256</v>
      </c>
      <c r="O46" s="12">
        <v>16</v>
      </c>
    </row>
    <row r="47" spans="2:15" x14ac:dyDescent="0.3">
      <c r="M47" s="12">
        <f t="shared" si="0"/>
        <v>279</v>
      </c>
      <c r="N47" s="12">
        <f t="shared" si="1"/>
        <v>272</v>
      </c>
      <c r="O47" s="12">
        <v>8</v>
      </c>
    </row>
    <row r="48" spans="2:15" x14ac:dyDescent="0.3">
      <c r="M48" s="12">
        <f t="shared" si="0"/>
        <v>295</v>
      </c>
      <c r="N48" s="12">
        <f t="shared" si="1"/>
        <v>280</v>
      </c>
      <c r="O48" s="12">
        <v>16</v>
      </c>
    </row>
    <row r="49" spans="13:15" x14ac:dyDescent="0.3">
      <c r="M49" s="12">
        <f t="shared" si="0"/>
        <v>311</v>
      </c>
      <c r="N49" s="12">
        <f t="shared" si="1"/>
        <v>296</v>
      </c>
      <c r="O49" s="12">
        <v>16</v>
      </c>
    </row>
    <row r="50" spans="13:15" x14ac:dyDescent="0.3">
      <c r="M50" s="12">
        <f t="shared" si="0"/>
        <v>315</v>
      </c>
      <c r="N50" s="12">
        <f t="shared" si="1"/>
        <v>312</v>
      </c>
      <c r="O50" s="12">
        <v>4</v>
      </c>
    </row>
    <row r="51" spans="13:15" x14ac:dyDescent="0.3">
      <c r="M51" s="12">
        <f t="shared" si="0"/>
        <v>319</v>
      </c>
      <c r="N51" s="12">
        <f t="shared" si="1"/>
        <v>316</v>
      </c>
      <c r="O51" s="12">
        <v>4</v>
      </c>
    </row>
    <row r="52" spans="13:15" x14ac:dyDescent="0.3">
      <c r="M52" s="12">
        <f t="shared" si="0"/>
        <v>323</v>
      </c>
      <c r="N52" s="12">
        <f t="shared" si="1"/>
        <v>320</v>
      </c>
      <c r="O52" s="12">
        <v>4</v>
      </c>
    </row>
  </sheetData>
  <mergeCells count="8">
    <mergeCell ref="B1:D1"/>
    <mergeCell ref="B3:B40"/>
    <mergeCell ref="F3:F9"/>
    <mergeCell ref="F10:F16"/>
    <mergeCell ref="F17:F23"/>
    <mergeCell ref="F24:F30"/>
    <mergeCell ref="F31:F33"/>
    <mergeCell ref="F34:F40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U113"/>
  <sheetViews>
    <sheetView topLeftCell="B55" zoomScale="85" zoomScaleNormal="85" workbookViewId="0">
      <selection activeCell="S88" sqref="S88:S105"/>
    </sheetView>
  </sheetViews>
  <sheetFormatPr defaultColWidth="8.875" defaultRowHeight="16.5" x14ac:dyDescent="0.3"/>
  <cols>
    <col min="1" max="1" width="13.375" style="25" hidden="1" customWidth="1"/>
    <col min="2" max="2" width="37.625" style="25" customWidth="1"/>
    <col min="3" max="3" width="10" style="25" customWidth="1"/>
    <col min="4" max="4" width="7.375" style="26" bestFit="1" customWidth="1"/>
    <col min="5" max="5" width="7.375" style="26" customWidth="1"/>
    <col min="6" max="7" width="6.375" style="26" bestFit="1" customWidth="1"/>
    <col min="8" max="8" width="26.625" style="25" customWidth="1"/>
    <col min="9" max="9" width="8.875" style="26"/>
    <col min="10" max="10" width="54.375" style="25" customWidth="1"/>
    <col min="11" max="11" width="9" style="25" customWidth="1"/>
    <col min="12" max="18" width="8.875" style="25"/>
    <col min="19" max="19" width="29.375" style="25" bestFit="1" customWidth="1"/>
    <col min="20" max="20" width="8.875" style="25"/>
    <col min="21" max="21" width="42.125" style="25" bestFit="1" customWidth="1"/>
    <col min="22" max="16384" width="8.875" style="25"/>
  </cols>
  <sheetData>
    <row r="6" spans="1:21" x14ac:dyDescent="0.3">
      <c r="C6" s="314" t="s">
        <v>275</v>
      </c>
      <c r="D6" s="314"/>
      <c r="E6" s="314"/>
      <c r="F6" s="314"/>
      <c r="G6" s="323" t="s">
        <v>276</v>
      </c>
      <c r="H6" s="323" t="s">
        <v>277</v>
      </c>
      <c r="I6" s="323" t="s">
        <v>382</v>
      </c>
      <c r="J6" s="27"/>
      <c r="N6" s="27"/>
      <c r="O6" s="314" t="s">
        <v>275</v>
      </c>
      <c r="P6" s="314"/>
      <c r="Q6" s="314"/>
      <c r="R6" s="323" t="s">
        <v>276</v>
      </c>
      <c r="S6" s="323" t="s">
        <v>277</v>
      </c>
      <c r="T6" s="323" t="s">
        <v>356</v>
      </c>
      <c r="U6" s="27"/>
    </row>
    <row r="7" spans="1:21" x14ac:dyDescent="0.3">
      <c r="C7" s="26" t="s">
        <v>278</v>
      </c>
      <c r="D7" s="35" t="s">
        <v>482</v>
      </c>
      <c r="E7" s="35" t="s">
        <v>481</v>
      </c>
      <c r="F7" s="35" t="s">
        <v>480</v>
      </c>
      <c r="G7" s="324"/>
      <c r="H7" s="324"/>
      <c r="I7" s="324"/>
      <c r="J7" s="27"/>
      <c r="N7" s="28" t="s">
        <v>278</v>
      </c>
      <c r="O7" s="28" t="s">
        <v>482</v>
      </c>
      <c r="P7" s="28" t="s">
        <v>481</v>
      </c>
      <c r="Q7" s="28" t="s">
        <v>480</v>
      </c>
      <c r="R7" s="324"/>
      <c r="S7" s="324"/>
      <c r="T7" s="324"/>
      <c r="U7" s="27"/>
    </row>
    <row r="8" spans="1:21" ht="16.5" customHeight="1" x14ac:dyDescent="0.3">
      <c r="A8" s="25">
        <f t="shared" ref="A8:A25" si="0">F8-1024</f>
        <v>-1024</v>
      </c>
      <c r="C8" s="315">
        <v>0</v>
      </c>
      <c r="D8" s="321">
        <v>0</v>
      </c>
      <c r="E8" s="320">
        <v>1</v>
      </c>
      <c r="F8" s="28">
        <v>0</v>
      </c>
      <c r="G8" s="28">
        <v>8</v>
      </c>
      <c r="H8" s="27"/>
      <c r="I8" s="28" t="s">
        <v>382</v>
      </c>
      <c r="J8" s="27"/>
      <c r="K8" s="25" t="str">
        <f t="shared" ref="K8:K39" si="1">DEC2HEX(F8)</f>
        <v>0</v>
      </c>
      <c r="M8" s="25" t="str">
        <f t="shared" ref="M8:M39" si="2">DEC2HEX(Q8)</f>
        <v>100</v>
      </c>
      <c r="N8" s="316">
        <v>0</v>
      </c>
      <c r="O8" s="316">
        <v>0</v>
      </c>
      <c r="P8" s="325">
        <v>1</v>
      </c>
      <c r="Q8" s="35">
        <v>256</v>
      </c>
      <c r="R8" s="28">
        <v>8</v>
      </c>
      <c r="S8" s="27" t="s">
        <v>479</v>
      </c>
      <c r="T8" s="28" t="s">
        <v>356</v>
      </c>
      <c r="U8" s="27"/>
    </row>
    <row r="9" spans="1:21" ht="16.5" customHeight="1" x14ac:dyDescent="0.3">
      <c r="A9" s="25">
        <f t="shared" si="0"/>
        <v>-1023</v>
      </c>
      <c r="C9" s="315"/>
      <c r="D9" s="322"/>
      <c r="E9" s="315"/>
      <c r="F9" s="28">
        <f t="shared" ref="F9:F40" si="3">F8+G8/8</f>
        <v>1</v>
      </c>
      <c r="G9" s="28">
        <v>8</v>
      </c>
      <c r="H9" s="27" t="s">
        <v>478</v>
      </c>
      <c r="I9" s="28" t="s">
        <v>382</v>
      </c>
      <c r="J9" s="27" t="s">
        <v>477</v>
      </c>
      <c r="K9" s="25" t="str">
        <f t="shared" si="1"/>
        <v>1</v>
      </c>
      <c r="M9" s="25" t="str">
        <f t="shared" si="2"/>
        <v>101</v>
      </c>
      <c r="N9" s="316"/>
      <c r="O9" s="316"/>
      <c r="P9" s="326"/>
      <c r="Q9" s="28">
        <f t="shared" ref="Q9:Q40" si="4">Q8+R8/8</f>
        <v>257</v>
      </c>
      <c r="R9" s="28">
        <v>8</v>
      </c>
      <c r="S9" s="27" t="s">
        <v>476</v>
      </c>
      <c r="T9" s="28" t="s">
        <v>356</v>
      </c>
      <c r="U9" s="27"/>
    </row>
    <row r="10" spans="1:21" ht="16.5" customHeight="1" x14ac:dyDescent="0.3">
      <c r="A10" s="25">
        <f t="shared" si="0"/>
        <v>-1022</v>
      </c>
      <c r="C10" s="315"/>
      <c r="D10" s="322"/>
      <c r="E10" s="315"/>
      <c r="F10" s="28">
        <f t="shared" si="3"/>
        <v>2</v>
      </c>
      <c r="G10" s="28">
        <v>8</v>
      </c>
      <c r="H10" s="27" t="s">
        <v>475</v>
      </c>
      <c r="I10" s="28" t="s">
        <v>382</v>
      </c>
      <c r="J10" s="27" t="s">
        <v>474</v>
      </c>
      <c r="K10" s="25" t="str">
        <f t="shared" si="1"/>
        <v>2</v>
      </c>
      <c r="M10" s="25" t="str">
        <f t="shared" si="2"/>
        <v>102</v>
      </c>
      <c r="N10" s="316"/>
      <c r="O10" s="316"/>
      <c r="P10" s="326"/>
      <c r="Q10" s="28">
        <f t="shared" si="4"/>
        <v>258</v>
      </c>
      <c r="R10" s="28">
        <v>8</v>
      </c>
      <c r="S10" s="27" t="s">
        <v>473</v>
      </c>
      <c r="T10" s="28" t="s">
        <v>356</v>
      </c>
      <c r="U10" s="27"/>
    </row>
    <row r="11" spans="1:21" ht="16.5" customHeight="1" x14ac:dyDescent="0.3">
      <c r="A11" s="25">
        <f t="shared" si="0"/>
        <v>-1021</v>
      </c>
      <c r="C11" s="315"/>
      <c r="D11" s="322"/>
      <c r="E11" s="315"/>
      <c r="F11" s="28">
        <f t="shared" si="3"/>
        <v>3</v>
      </c>
      <c r="G11" s="28">
        <v>8</v>
      </c>
      <c r="H11" s="27" t="s">
        <v>472</v>
      </c>
      <c r="I11" s="28" t="s">
        <v>382</v>
      </c>
      <c r="J11" s="179" t="s">
        <v>1526</v>
      </c>
      <c r="K11" s="25" t="str">
        <f t="shared" si="1"/>
        <v>3</v>
      </c>
      <c r="M11" s="25" t="str">
        <f t="shared" si="2"/>
        <v>103</v>
      </c>
      <c r="N11" s="316"/>
      <c r="O11" s="316"/>
      <c r="P11" s="326"/>
      <c r="Q11" s="28">
        <f t="shared" si="4"/>
        <v>259</v>
      </c>
      <c r="R11" s="28">
        <v>8</v>
      </c>
      <c r="S11" s="27" t="s">
        <v>471</v>
      </c>
      <c r="T11" s="28" t="s">
        <v>356</v>
      </c>
      <c r="U11" s="27"/>
    </row>
    <row r="12" spans="1:21" ht="16.5" customHeight="1" x14ac:dyDescent="0.3">
      <c r="A12" s="25">
        <f t="shared" si="0"/>
        <v>-1020</v>
      </c>
      <c r="C12" s="315"/>
      <c r="D12" s="322"/>
      <c r="E12" s="315"/>
      <c r="F12" s="28">
        <f t="shared" si="3"/>
        <v>4</v>
      </c>
      <c r="G12" s="28">
        <v>8</v>
      </c>
      <c r="H12" s="27"/>
      <c r="I12" s="28" t="s">
        <v>382</v>
      </c>
      <c r="J12" s="27"/>
      <c r="K12" s="25" t="str">
        <f t="shared" si="1"/>
        <v>4</v>
      </c>
      <c r="M12" s="25" t="str">
        <f t="shared" si="2"/>
        <v>104</v>
      </c>
      <c r="N12" s="316"/>
      <c r="O12" s="316"/>
      <c r="P12" s="326"/>
      <c r="Q12" s="28">
        <f t="shared" si="4"/>
        <v>260</v>
      </c>
      <c r="R12" s="28">
        <v>8</v>
      </c>
      <c r="S12" s="27"/>
      <c r="T12" s="28" t="s">
        <v>356</v>
      </c>
      <c r="U12" s="27"/>
    </row>
    <row r="13" spans="1:21" ht="16.5" customHeight="1" x14ac:dyDescent="0.3">
      <c r="A13" s="25">
        <f t="shared" si="0"/>
        <v>-1019</v>
      </c>
      <c r="C13" s="315"/>
      <c r="D13" s="322"/>
      <c r="E13" s="315"/>
      <c r="F13" s="28">
        <f t="shared" si="3"/>
        <v>5</v>
      </c>
      <c r="G13" s="28">
        <v>8</v>
      </c>
      <c r="H13" s="27" t="s">
        <v>470</v>
      </c>
      <c r="I13" s="28" t="s">
        <v>382</v>
      </c>
      <c r="J13" s="27" t="s">
        <v>469</v>
      </c>
      <c r="K13" s="25" t="str">
        <f t="shared" si="1"/>
        <v>5</v>
      </c>
      <c r="M13" s="25" t="str">
        <f t="shared" si="2"/>
        <v>105</v>
      </c>
      <c r="N13" s="316"/>
      <c r="O13" s="316"/>
      <c r="P13" s="326"/>
      <c r="Q13" s="28">
        <f t="shared" si="4"/>
        <v>261</v>
      </c>
      <c r="R13" s="28">
        <v>8</v>
      </c>
      <c r="S13" s="27"/>
      <c r="T13" s="28" t="s">
        <v>356</v>
      </c>
      <c r="U13" s="27"/>
    </row>
    <row r="14" spans="1:21" ht="16.5" customHeight="1" x14ac:dyDescent="0.3">
      <c r="A14" s="25">
        <f t="shared" si="0"/>
        <v>-1018</v>
      </c>
      <c r="C14" s="315"/>
      <c r="D14" s="322"/>
      <c r="E14" s="315"/>
      <c r="F14" s="28">
        <f t="shared" si="3"/>
        <v>6</v>
      </c>
      <c r="G14" s="28">
        <v>8</v>
      </c>
      <c r="H14" s="27" t="s">
        <v>468</v>
      </c>
      <c r="I14" s="28" t="s">
        <v>382</v>
      </c>
      <c r="J14" s="27" t="s">
        <v>467</v>
      </c>
      <c r="K14" s="25" t="str">
        <f t="shared" si="1"/>
        <v>6</v>
      </c>
      <c r="M14" s="25" t="str">
        <f t="shared" si="2"/>
        <v>106</v>
      </c>
      <c r="N14" s="316"/>
      <c r="O14" s="316"/>
      <c r="P14" s="326"/>
      <c r="Q14" s="28">
        <f t="shared" si="4"/>
        <v>262</v>
      </c>
      <c r="R14" s="28">
        <v>8</v>
      </c>
      <c r="S14" s="27" t="s">
        <v>466</v>
      </c>
      <c r="T14" s="28" t="s">
        <v>356</v>
      </c>
      <c r="U14" s="27"/>
    </row>
    <row r="15" spans="1:21" ht="16.5" customHeight="1" x14ac:dyDescent="0.3">
      <c r="A15" s="25">
        <f t="shared" si="0"/>
        <v>-1017</v>
      </c>
      <c r="C15" s="315"/>
      <c r="D15" s="322"/>
      <c r="E15" s="315"/>
      <c r="F15" s="28">
        <f t="shared" si="3"/>
        <v>7</v>
      </c>
      <c r="G15" s="28">
        <v>8</v>
      </c>
      <c r="H15" s="27" t="s">
        <v>465</v>
      </c>
      <c r="I15" s="28" t="s">
        <v>382</v>
      </c>
      <c r="J15" s="27" t="s">
        <v>464</v>
      </c>
      <c r="K15" s="25" t="str">
        <f t="shared" si="1"/>
        <v>7</v>
      </c>
      <c r="M15" s="25" t="str">
        <f t="shared" si="2"/>
        <v>107</v>
      </c>
      <c r="N15" s="316"/>
      <c r="O15" s="316"/>
      <c r="P15" s="326"/>
      <c r="Q15" s="28">
        <f t="shared" si="4"/>
        <v>263</v>
      </c>
      <c r="R15" s="28">
        <v>8</v>
      </c>
      <c r="S15" s="27" t="s">
        <v>463</v>
      </c>
      <c r="T15" s="28" t="s">
        <v>356</v>
      </c>
      <c r="U15" s="27"/>
    </row>
    <row r="16" spans="1:21" ht="16.5" customHeight="1" x14ac:dyDescent="0.3">
      <c r="A16" s="25">
        <f t="shared" si="0"/>
        <v>-1016</v>
      </c>
      <c r="C16" s="315"/>
      <c r="D16" s="322"/>
      <c r="E16" s="315"/>
      <c r="F16" s="28">
        <f t="shared" si="3"/>
        <v>8</v>
      </c>
      <c r="G16" s="28">
        <v>8</v>
      </c>
      <c r="H16" s="27" t="s">
        <v>462</v>
      </c>
      <c r="I16" s="28" t="s">
        <v>382</v>
      </c>
      <c r="J16" s="33" t="s">
        <v>461</v>
      </c>
      <c r="K16" s="25" t="str">
        <f t="shared" si="1"/>
        <v>8</v>
      </c>
      <c r="M16" s="25" t="str">
        <f t="shared" si="2"/>
        <v>108</v>
      </c>
      <c r="N16" s="316"/>
      <c r="O16" s="316"/>
      <c r="P16" s="326"/>
      <c r="Q16" s="28">
        <f t="shared" si="4"/>
        <v>264</v>
      </c>
      <c r="R16" s="28">
        <v>8</v>
      </c>
      <c r="S16" s="27" t="s">
        <v>460</v>
      </c>
      <c r="T16" s="28" t="s">
        <v>356</v>
      </c>
      <c r="U16" s="27"/>
    </row>
    <row r="17" spans="1:21" ht="16.5" customHeight="1" x14ac:dyDescent="0.3">
      <c r="A17" s="25">
        <f t="shared" si="0"/>
        <v>-1015</v>
      </c>
      <c r="C17" s="315"/>
      <c r="D17" s="322"/>
      <c r="E17" s="315"/>
      <c r="F17" s="28">
        <f t="shared" si="3"/>
        <v>9</v>
      </c>
      <c r="G17" s="28">
        <v>8</v>
      </c>
      <c r="H17" s="27" t="s">
        <v>459</v>
      </c>
      <c r="I17" s="28" t="s">
        <v>382</v>
      </c>
      <c r="J17" s="27"/>
      <c r="K17" s="25" t="str">
        <f t="shared" si="1"/>
        <v>9</v>
      </c>
      <c r="M17" s="25" t="str">
        <f t="shared" si="2"/>
        <v>109</v>
      </c>
      <c r="N17" s="316"/>
      <c r="O17" s="316"/>
      <c r="P17" s="326"/>
      <c r="Q17" s="28">
        <f t="shared" si="4"/>
        <v>265</v>
      </c>
      <c r="R17" s="28">
        <v>8</v>
      </c>
      <c r="S17" s="27" t="s">
        <v>458</v>
      </c>
      <c r="T17" s="28" t="s">
        <v>356</v>
      </c>
      <c r="U17" s="27"/>
    </row>
    <row r="18" spans="1:21" ht="16.5" customHeight="1" x14ac:dyDescent="0.3">
      <c r="A18" s="25">
        <f t="shared" si="0"/>
        <v>-1014</v>
      </c>
      <c r="C18" s="315"/>
      <c r="D18" s="322"/>
      <c r="E18" s="315"/>
      <c r="F18" s="28">
        <f t="shared" si="3"/>
        <v>10</v>
      </c>
      <c r="G18" s="28">
        <v>8</v>
      </c>
      <c r="H18" s="27" t="s">
        <v>457</v>
      </c>
      <c r="I18" s="28" t="s">
        <v>382</v>
      </c>
      <c r="J18" s="34" t="s">
        <v>456</v>
      </c>
      <c r="K18" s="25" t="str">
        <f t="shared" si="1"/>
        <v>A</v>
      </c>
      <c r="M18" s="25" t="str">
        <f t="shared" si="2"/>
        <v>10A</v>
      </c>
      <c r="N18" s="316"/>
      <c r="O18" s="316"/>
      <c r="P18" s="326"/>
      <c r="Q18" s="28">
        <f t="shared" si="4"/>
        <v>266</v>
      </c>
      <c r="R18" s="28">
        <v>8</v>
      </c>
      <c r="S18" s="27" t="s">
        <v>455</v>
      </c>
      <c r="T18" s="28" t="s">
        <v>356</v>
      </c>
      <c r="U18" s="27"/>
    </row>
    <row r="19" spans="1:21" ht="16.5" customHeight="1" x14ac:dyDescent="0.3">
      <c r="A19" s="25">
        <f t="shared" si="0"/>
        <v>-1013</v>
      </c>
      <c r="C19" s="315"/>
      <c r="D19" s="322"/>
      <c r="E19" s="315"/>
      <c r="F19" s="28">
        <f t="shared" si="3"/>
        <v>11</v>
      </c>
      <c r="G19" s="28">
        <v>8</v>
      </c>
      <c r="H19" s="27" t="s">
        <v>365</v>
      </c>
      <c r="I19" s="28" t="s">
        <v>382</v>
      </c>
      <c r="J19" s="29" t="s">
        <v>454</v>
      </c>
      <c r="K19" s="25" t="str">
        <f t="shared" si="1"/>
        <v>B</v>
      </c>
      <c r="M19" s="25" t="str">
        <f t="shared" si="2"/>
        <v>10B</v>
      </c>
      <c r="N19" s="316"/>
      <c r="O19" s="316"/>
      <c r="P19" s="326"/>
      <c r="Q19" s="28">
        <f t="shared" si="4"/>
        <v>267</v>
      </c>
      <c r="R19" s="28">
        <v>8</v>
      </c>
      <c r="S19" s="27" t="s">
        <v>453</v>
      </c>
      <c r="T19" s="28" t="s">
        <v>356</v>
      </c>
      <c r="U19" s="27"/>
    </row>
    <row r="20" spans="1:21" ht="16.5" customHeight="1" x14ac:dyDescent="0.3">
      <c r="A20" s="25">
        <f t="shared" si="0"/>
        <v>-1012</v>
      </c>
      <c r="C20" s="315"/>
      <c r="D20" s="322"/>
      <c r="E20" s="315"/>
      <c r="F20" s="28">
        <f t="shared" si="3"/>
        <v>12</v>
      </c>
      <c r="G20" s="28">
        <v>8</v>
      </c>
      <c r="H20" s="27" t="s">
        <v>452</v>
      </c>
      <c r="I20" s="28" t="s">
        <v>382</v>
      </c>
      <c r="J20" s="29" t="s">
        <v>451</v>
      </c>
      <c r="K20" s="25" t="str">
        <f t="shared" si="1"/>
        <v>C</v>
      </c>
      <c r="M20" s="25" t="str">
        <f t="shared" si="2"/>
        <v>10C</v>
      </c>
      <c r="N20" s="316"/>
      <c r="O20" s="316"/>
      <c r="P20" s="326"/>
      <c r="Q20" s="28">
        <f t="shared" si="4"/>
        <v>268</v>
      </c>
      <c r="R20" s="28">
        <v>8</v>
      </c>
      <c r="S20" s="27" t="s">
        <v>450</v>
      </c>
      <c r="T20" s="28" t="s">
        <v>356</v>
      </c>
      <c r="U20" s="27"/>
    </row>
    <row r="21" spans="1:21" ht="16.5" customHeight="1" x14ac:dyDescent="0.3">
      <c r="A21" s="25">
        <f t="shared" si="0"/>
        <v>-1011</v>
      </c>
      <c r="C21" s="315"/>
      <c r="D21" s="322"/>
      <c r="E21" s="315"/>
      <c r="F21" s="28">
        <f t="shared" si="3"/>
        <v>13</v>
      </c>
      <c r="G21" s="28">
        <v>8</v>
      </c>
      <c r="H21" s="33" t="s">
        <v>449</v>
      </c>
      <c r="I21" s="28" t="s">
        <v>382</v>
      </c>
      <c r="J21" s="27"/>
      <c r="K21" s="25" t="str">
        <f t="shared" si="1"/>
        <v>D</v>
      </c>
      <c r="M21" s="25" t="str">
        <f t="shared" si="2"/>
        <v>10D</v>
      </c>
      <c r="N21" s="316"/>
      <c r="O21" s="316"/>
      <c r="P21" s="326"/>
      <c r="Q21" s="28">
        <f t="shared" si="4"/>
        <v>269</v>
      </c>
      <c r="R21" s="28">
        <v>8</v>
      </c>
      <c r="S21" s="27" t="s">
        <v>448</v>
      </c>
      <c r="T21" s="28" t="s">
        <v>356</v>
      </c>
      <c r="U21" s="27"/>
    </row>
    <row r="22" spans="1:21" ht="16.5" customHeight="1" x14ac:dyDescent="0.3">
      <c r="A22" s="25">
        <f t="shared" si="0"/>
        <v>-1010</v>
      </c>
      <c r="C22" s="315"/>
      <c r="D22" s="322"/>
      <c r="E22" s="315"/>
      <c r="F22" s="153">
        <f t="shared" si="3"/>
        <v>14</v>
      </c>
      <c r="G22" s="153">
        <v>8</v>
      </c>
      <c r="H22" s="152" t="s">
        <v>1468</v>
      </c>
      <c r="I22" s="28" t="s">
        <v>382</v>
      </c>
      <c r="J22" s="27"/>
      <c r="K22" s="25" t="str">
        <f t="shared" si="1"/>
        <v>E</v>
      </c>
      <c r="M22" s="25" t="str">
        <f t="shared" si="2"/>
        <v>10E</v>
      </c>
      <c r="N22" s="316"/>
      <c r="O22" s="316"/>
      <c r="P22" s="326"/>
      <c r="Q22" s="28">
        <f t="shared" si="4"/>
        <v>270</v>
      </c>
      <c r="R22" s="28">
        <v>8</v>
      </c>
      <c r="S22" s="27"/>
      <c r="T22" s="28"/>
      <c r="U22" s="27"/>
    </row>
    <row r="23" spans="1:21" ht="16.5" customHeight="1" x14ac:dyDescent="0.3">
      <c r="A23" s="25">
        <f t="shared" si="0"/>
        <v>-1009</v>
      </c>
      <c r="B23" s="25" t="s">
        <v>447</v>
      </c>
      <c r="C23" s="315"/>
      <c r="D23" s="322"/>
      <c r="E23" s="315"/>
      <c r="F23" s="28">
        <f t="shared" si="3"/>
        <v>15</v>
      </c>
      <c r="G23" s="28">
        <v>8</v>
      </c>
      <c r="H23" s="27" t="s">
        <v>446</v>
      </c>
      <c r="I23" s="28" t="s">
        <v>382</v>
      </c>
      <c r="J23" s="27" t="s">
        <v>445</v>
      </c>
      <c r="K23" s="25" t="str">
        <f t="shared" si="1"/>
        <v>F</v>
      </c>
      <c r="M23" s="25" t="str">
        <f t="shared" si="2"/>
        <v>10F</v>
      </c>
      <c r="N23" s="316"/>
      <c r="O23" s="316"/>
      <c r="P23" s="326"/>
      <c r="Q23" s="28">
        <f t="shared" si="4"/>
        <v>271</v>
      </c>
      <c r="R23" s="28">
        <v>8</v>
      </c>
      <c r="S23" s="27"/>
      <c r="T23" s="28"/>
      <c r="U23" s="27"/>
    </row>
    <row r="24" spans="1:21" ht="16.5" customHeight="1" x14ac:dyDescent="0.3">
      <c r="A24" s="25">
        <f t="shared" si="0"/>
        <v>-1008</v>
      </c>
      <c r="B24" s="25" t="s">
        <v>295</v>
      </c>
      <c r="C24" s="315"/>
      <c r="D24" s="322"/>
      <c r="E24" s="315"/>
      <c r="F24" s="151">
        <f t="shared" si="3"/>
        <v>16</v>
      </c>
      <c r="G24" s="151">
        <v>8</v>
      </c>
      <c r="H24" s="152" t="s">
        <v>1467</v>
      </c>
      <c r="I24" s="28" t="s">
        <v>382</v>
      </c>
      <c r="J24" s="27"/>
      <c r="K24" s="25" t="str">
        <f t="shared" si="1"/>
        <v>10</v>
      </c>
      <c r="M24" s="25" t="str">
        <f t="shared" si="2"/>
        <v>110</v>
      </c>
      <c r="N24" s="316"/>
      <c r="O24" s="316"/>
      <c r="P24" s="326"/>
      <c r="Q24" s="28">
        <f t="shared" si="4"/>
        <v>272</v>
      </c>
      <c r="R24" s="28">
        <v>8</v>
      </c>
      <c r="S24" s="27"/>
      <c r="T24" s="28"/>
      <c r="U24" s="27"/>
    </row>
    <row r="25" spans="1:21" ht="16.5" customHeight="1" x14ac:dyDescent="0.3">
      <c r="A25" s="25">
        <f t="shared" si="0"/>
        <v>-1007</v>
      </c>
      <c r="C25" s="315"/>
      <c r="D25" s="322"/>
      <c r="E25" s="315"/>
      <c r="F25" s="151">
        <f t="shared" si="3"/>
        <v>17</v>
      </c>
      <c r="G25" s="151">
        <v>8</v>
      </c>
      <c r="H25" s="137" t="s">
        <v>1466</v>
      </c>
      <c r="I25" s="28" t="s">
        <v>382</v>
      </c>
      <c r="J25" s="27"/>
      <c r="K25" s="25" t="str">
        <f t="shared" si="1"/>
        <v>11</v>
      </c>
      <c r="M25" s="25" t="str">
        <f t="shared" si="2"/>
        <v>111</v>
      </c>
      <c r="N25" s="316"/>
      <c r="O25" s="316"/>
      <c r="P25" s="326"/>
      <c r="Q25" s="28">
        <f t="shared" si="4"/>
        <v>273</v>
      </c>
      <c r="R25" s="28">
        <v>8</v>
      </c>
      <c r="S25" s="27"/>
      <c r="T25" s="28"/>
      <c r="U25" s="27"/>
    </row>
    <row r="26" spans="1:21" ht="82.5" x14ac:dyDescent="0.3">
      <c r="A26" s="25" t="e">
        <f>#REF!-1024</f>
        <v>#REF!</v>
      </c>
      <c r="B26" s="25" t="s">
        <v>444</v>
      </c>
      <c r="C26" s="315"/>
      <c r="D26" s="322"/>
      <c r="E26" s="315"/>
      <c r="F26" s="28">
        <f t="shared" si="3"/>
        <v>18</v>
      </c>
      <c r="G26" s="28">
        <v>8</v>
      </c>
      <c r="H26" s="27" t="s">
        <v>443</v>
      </c>
      <c r="I26" s="28" t="s">
        <v>382</v>
      </c>
      <c r="J26" s="40" t="s">
        <v>442</v>
      </c>
      <c r="K26" s="25" t="str">
        <f t="shared" si="1"/>
        <v>12</v>
      </c>
      <c r="M26" s="25" t="str">
        <f t="shared" si="2"/>
        <v>112</v>
      </c>
      <c r="N26" s="316"/>
      <c r="O26" s="316"/>
      <c r="P26" s="326"/>
      <c r="Q26" s="28">
        <f t="shared" si="4"/>
        <v>274</v>
      </c>
      <c r="R26" s="28">
        <v>8</v>
      </c>
      <c r="S26" s="27"/>
      <c r="T26" s="28"/>
      <c r="U26" s="27"/>
    </row>
    <row r="27" spans="1:21" ht="16.5" customHeight="1" x14ac:dyDescent="0.3">
      <c r="A27" s="25" t="e">
        <f>#REF!-1024</f>
        <v>#REF!</v>
      </c>
      <c r="B27" s="25" t="s">
        <v>441</v>
      </c>
      <c r="C27" s="315"/>
      <c r="D27" s="322"/>
      <c r="E27" s="315"/>
      <c r="F27" s="28">
        <f t="shared" si="3"/>
        <v>19</v>
      </c>
      <c r="G27" s="28">
        <v>8</v>
      </c>
      <c r="H27" s="27" t="s">
        <v>440</v>
      </c>
      <c r="I27" s="28" t="s">
        <v>382</v>
      </c>
      <c r="J27" s="39" t="s">
        <v>439</v>
      </c>
      <c r="K27" s="25" t="str">
        <f t="shared" si="1"/>
        <v>13</v>
      </c>
      <c r="M27" s="25" t="str">
        <f t="shared" si="2"/>
        <v>113</v>
      </c>
      <c r="N27" s="316"/>
      <c r="O27" s="316"/>
      <c r="P27" s="326"/>
      <c r="Q27" s="28">
        <f t="shared" si="4"/>
        <v>275</v>
      </c>
      <c r="R27" s="28">
        <v>8</v>
      </c>
      <c r="S27" s="27"/>
      <c r="T27" s="28"/>
      <c r="U27" s="27"/>
    </row>
    <row r="28" spans="1:21" ht="16.5" customHeight="1" x14ac:dyDescent="0.3">
      <c r="A28" s="25" t="e">
        <f>#REF!-1024</f>
        <v>#REF!</v>
      </c>
      <c r="B28" s="25" t="s">
        <v>438</v>
      </c>
      <c r="C28" s="315"/>
      <c r="D28" s="322"/>
      <c r="E28" s="315"/>
      <c r="F28" s="28">
        <f t="shared" si="3"/>
        <v>20</v>
      </c>
      <c r="G28" s="28">
        <v>8</v>
      </c>
      <c r="H28" s="27" t="s">
        <v>437</v>
      </c>
      <c r="I28" s="28" t="s">
        <v>382</v>
      </c>
      <c r="J28" s="27" t="s">
        <v>436</v>
      </c>
      <c r="K28" s="25" t="str">
        <f t="shared" si="1"/>
        <v>14</v>
      </c>
      <c r="M28" s="25" t="str">
        <f t="shared" si="2"/>
        <v>114</v>
      </c>
      <c r="N28" s="316"/>
      <c r="O28" s="316"/>
      <c r="P28" s="326"/>
      <c r="Q28" s="28">
        <f t="shared" si="4"/>
        <v>276</v>
      </c>
      <c r="R28" s="28">
        <v>8</v>
      </c>
      <c r="S28" s="27"/>
      <c r="T28" s="28"/>
      <c r="U28" s="27"/>
    </row>
    <row r="29" spans="1:21" ht="16.5" customHeight="1" x14ac:dyDescent="0.3">
      <c r="A29" s="25" t="e">
        <f>#REF!-1024</f>
        <v>#REF!</v>
      </c>
      <c r="C29" s="315"/>
      <c r="D29" s="322"/>
      <c r="E29" s="315"/>
      <c r="F29" s="28">
        <f t="shared" si="3"/>
        <v>21</v>
      </c>
      <c r="G29" s="28">
        <v>8</v>
      </c>
      <c r="H29" s="27" t="s">
        <v>435</v>
      </c>
      <c r="I29" s="28" t="s">
        <v>382</v>
      </c>
      <c r="J29" s="27" t="s">
        <v>434</v>
      </c>
      <c r="K29" s="25" t="str">
        <f t="shared" si="1"/>
        <v>15</v>
      </c>
      <c r="M29" s="25" t="str">
        <f t="shared" si="2"/>
        <v>115</v>
      </c>
      <c r="N29" s="316"/>
      <c r="O29" s="316"/>
      <c r="P29" s="326"/>
      <c r="Q29" s="28">
        <f t="shared" si="4"/>
        <v>277</v>
      </c>
      <c r="R29" s="28">
        <v>8</v>
      </c>
      <c r="S29" s="27"/>
      <c r="T29" s="28"/>
      <c r="U29" s="27"/>
    </row>
    <row r="30" spans="1:21" ht="16.5" customHeight="1" x14ac:dyDescent="0.3">
      <c r="A30" s="25" t="e">
        <f>#REF!-1024</f>
        <v>#REF!</v>
      </c>
      <c r="C30" s="315"/>
      <c r="D30" s="322"/>
      <c r="E30" s="315"/>
      <c r="F30" s="28">
        <f t="shared" si="3"/>
        <v>22</v>
      </c>
      <c r="G30" s="28">
        <v>8</v>
      </c>
      <c r="H30" s="27" t="s">
        <v>433</v>
      </c>
      <c r="I30" s="28" t="s">
        <v>382</v>
      </c>
      <c r="J30" s="33" t="s">
        <v>432</v>
      </c>
      <c r="K30" s="25" t="str">
        <f t="shared" si="1"/>
        <v>16</v>
      </c>
      <c r="M30" s="25" t="str">
        <f t="shared" si="2"/>
        <v>116</v>
      </c>
      <c r="N30" s="316"/>
      <c r="O30" s="316"/>
      <c r="P30" s="326"/>
      <c r="Q30" s="28">
        <f t="shared" si="4"/>
        <v>278</v>
      </c>
      <c r="R30" s="28">
        <v>8</v>
      </c>
      <c r="S30" s="27"/>
      <c r="T30" s="28"/>
      <c r="U30" s="27"/>
    </row>
    <row r="31" spans="1:21" ht="16.5" customHeight="1" x14ac:dyDescent="0.3">
      <c r="A31" s="25" t="e">
        <f>#REF!-1024</f>
        <v>#REF!</v>
      </c>
      <c r="B31" s="25" t="s">
        <v>295</v>
      </c>
      <c r="C31" s="315"/>
      <c r="D31" s="322"/>
      <c r="E31" s="315"/>
      <c r="F31" s="28">
        <f t="shared" si="3"/>
        <v>23</v>
      </c>
      <c r="G31" s="28">
        <v>8</v>
      </c>
      <c r="H31" s="27" t="s">
        <v>431</v>
      </c>
      <c r="I31" s="28" t="s">
        <v>382</v>
      </c>
      <c r="J31" s="27" t="s">
        <v>430</v>
      </c>
      <c r="K31" s="25" t="str">
        <f t="shared" si="1"/>
        <v>17</v>
      </c>
      <c r="M31" s="25" t="str">
        <f t="shared" si="2"/>
        <v>117</v>
      </c>
      <c r="N31" s="316"/>
      <c r="O31" s="316"/>
      <c r="P31" s="326"/>
      <c r="Q31" s="28">
        <f t="shared" si="4"/>
        <v>279</v>
      </c>
      <c r="R31" s="28">
        <v>8</v>
      </c>
      <c r="S31" s="27"/>
      <c r="T31" s="28"/>
      <c r="U31" s="27"/>
    </row>
    <row r="32" spans="1:21" ht="16.5" customHeight="1" x14ac:dyDescent="0.3">
      <c r="A32" s="25" t="e">
        <f>#REF!-1024</f>
        <v>#REF!</v>
      </c>
      <c r="B32" s="25" t="s">
        <v>295</v>
      </c>
      <c r="C32" s="315"/>
      <c r="D32" s="322"/>
      <c r="E32" s="315"/>
      <c r="F32" s="28">
        <f t="shared" si="3"/>
        <v>24</v>
      </c>
      <c r="G32" s="28">
        <v>8</v>
      </c>
      <c r="H32" s="27" t="s">
        <v>429</v>
      </c>
      <c r="I32" s="28" t="s">
        <v>382</v>
      </c>
      <c r="J32" s="27" t="s">
        <v>428</v>
      </c>
      <c r="K32" s="25" t="str">
        <f t="shared" si="1"/>
        <v>18</v>
      </c>
      <c r="M32" s="25" t="str">
        <f t="shared" si="2"/>
        <v>118</v>
      </c>
      <c r="N32" s="316"/>
      <c r="O32" s="316"/>
      <c r="P32" s="326"/>
      <c r="Q32" s="28">
        <f t="shared" si="4"/>
        <v>280</v>
      </c>
      <c r="R32" s="28">
        <v>8</v>
      </c>
      <c r="S32" s="27"/>
      <c r="T32" s="28"/>
      <c r="U32" s="27"/>
    </row>
    <row r="33" spans="1:21" ht="16.5" customHeight="1" x14ac:dyDescent="0.3">
      <c r="A33" s="25" t="e">
        <f>#REF!-1024</f>
        <v>#REF!</v>
      </c>
      <c r="B33" s="25" t="s">
        <v>295</v>
      </c>
      <c r="C33" s="315"/>
      <c r="D33" s="322"/>
      <c r="E33" s="315"/>
      <c r="F33" s="28">
        <f t="shared" si="3"/>
        <v>25</v>
      </c>
      <c r="G33" s="28">
        <v>8</v>
      </c>
      <c r="H33" s="27" t="s">
        <v>427</v>
      </c>
      <c r="I33" s="28" t="s">
        <v>382</v>
      </c>
      <c r="J33" s="33" t="s">
        <v>426</v>
      </c>
      <c r="K33" s="25" t="str">
        <f t="shared" si="1"/>
        <v>19</v>
      </c>
      <c r="M33" s="25" t="str">
        <f t="shared" si="2"/>
        <v>119</v>
      </c>
      <c r="N33" s="316"/>
      <c r="O33" s="316"/>
      <c r="P33" s="326"/>
      <c r="Q33" s="28">
        <f t="shared" si="4"/>
        <v>281</v>
      </c>
      <c r="R33" s="28">
        <v>8</v>
      </c>
      <c r="S33" s="27"/>
      <c r="T33" s="28"/>
      <c r="U33" s="27"/>
    </row>
    <row r="34" spans="1:21" ht="16.5" customHeight="1" x14ac:dyDescent="0.3">
      <c r="A34" s="25" t="e">
        <f>#REF!-1024</f>
        <v>#REF!</v>
      </c>
      <c r="C34" s="315"/>
      <c r="D34" s="322"/>
      <c r="E34" s="315"/>
      <c r="F34" s="38">
        <f t="shared" si="3"/>
        <v>26</v>
      </c>
      <c r="G34" s="38">
        <v>8</v>
      </c>
      <c r="H34" s="37" t="s">
        <v>425</v>
      </c>
      <c r="I34" s="38"/>
      <c r="J34" s="37" t="s">
        <v>424</v>
      </c>
      <c r="K34" s="25" t="str">
        <f t="shared" si="1"/>
        <v>1A</v>
      </c>
      <c r="M34" s="25" t="str">
        <f t="shared" si="2"/>
        <v>11A</v>
      </c>
      <c r="N34" s="316"/>
      <c r="O34" s="316"/>
      <c r="P34" s="326"/>
      <c r="Q34" s="28">
        <f t="shared" si="4"/>
        <v>282</v>
      </c>
      <c r="R34" s="28">
        <v>8</v>
      </c>
      <c r="S34" s="27"/>
      <c r="T34" s="28"/>
      <c r="U34" s="27"/>
    </row>
    <row r="35" spans="1:21" ht="16.5" customHeight="1" x14ac:dyDescent="0.3">
      <c r="A35" s="25" t="e">
        <f>#REF!-1024</f>
        <v>#REF!</v>
      </c>
      <c r="C35" s="315"/>
      <c r="D35" s="322"/>
      <c r="E35" s="315"/>
      <c r="F35" s="28">
        <f t="shared" si="3"/>
        <v>27</v>
      </c>
      <c r="G35" s="28">
        <v>8</v>
      </c>
      <c r="H35" s="27" t="s">
        <v>423</v>
      </c>
      <c r="I35" s="28" t="s">
        <v>382</v>
      </c>
      <c r="J35" s="27" t="s">
        <v>422</v>
      </c>
      <c r="K35" s="25" t="str">
        <f t="shared" si="1"/>
        <v>1B</v>
      </c>
      <c r="M35" s="25" t="str">
        <f t="shared" si="2"/>
        <v>11B</v>
      </c>
      <c r="N35" s="316"/>
      <c r="O35" s="316"/>
      <c r="P35" s="326"/>
      <c r="Q35" s="28">
        <f t="shared" si="4"/>
        <v>283</v>
      </c>
      <c r="R35" s="28">
        <v>8</v>
      </c>
      <c r="S35" s="27"/>
      <c r="T35" s="28"/>
      <c r="U35" s="27"/>
    </row>
    <row r="36" spans="1:21" ht="16.5" customHeight="1" x14ac:dyDescent="0.3">
      <c r="A36" s="25" t="e">
        <f>#REF!-1024</f>
        <v>#REF!</v>
      </c>
      <c r="C36" s="315"/>
      <c r="D36" s="322"/>
      <c r="E36" s="315"/>
      <c r="F36" s="28">
        <f t="shared" si="3"/>
        <v>28</v>
      </c>
      <c r="G36" s="28">
        <v>8</v>
      </c>
      <c r="H36" s="137" t="s">
        <v>1427</v>
      </c>
      <c r="I36" s="28" t="s">
        <v>1429</v>
      </c>
      <c r="J36" s="27" t="s">
        <v>1428</v>
      </c>
      <c r="K36" s="25" t="str">
        <f t="shared" si="1"/>
        <v>1C</v>
      </c>
      <c r="M36" s="25" t="str">
        <f t="shared" si="2"/>
        <v>11C</v>
      </c>
      <c r="N36" s="316"/>
      <c r="O36" s="316"/>
      <c r="P36" s="326"/>
      <c r="Q36" s="28">
        <f t="shared" si="4"/>
        <v>284</v>
      </c>
      <c r="R36" s="28">
        <v>8</v>
      </c>
      <c r="S36" s="27"/>
      <c r="T36" s="28"/>
      <c r="U36" s="27"/>
    </row>
    <row r="37" spans="1:21" ht="16.5" customHeight="1" x14ac:dyDescent="0.3">
      <c r="C37" s="315"/>
      <c r="D37" s="322"/>
      <c r="E37" s="315"/>
      <c r="F37" s="28">
        <f t="shared" si="3"/>
        <v>29</v>
      </c>
      <c r="G37" s="28">
        <v>8</v>
      </c>
      <c r="H37" s="27" t="s">
        <v>421</v>
      </c>
      <c r="I37" s="28" t="s">
        <v>382</v>
      </c>
      <c r="J37" s="27" t="s">
        <v>420</v>
      </c>
      <c r="K37" s="25" t="str">
        <f t="shared" si="1"/>
        <v>1D</v>
      </c>
      <c r="M37" s="25" t="str">
        <f t="shared" si="2"/>
        <v>11D</v>
      </c>
      <c r="N37" s="316"/>
      <c r="O37" s="316"/>
      <c r="P37" s="326"/>
      <c r="Q37" s="28">
        <f t="shared" si="4"/>
        <v>285</v>
      </c>
      <c r="R37" s="28">
        <v>8</v>
      </c>
      <c r="S37" s="27"/>
      <c r="T37" s="28"/>
      <c r="U37" s="27"/>
    </row>
    <row r="38" spans="1:21" ht="16.5" customHeight="1" x14ac:dyDescent="0.3">
      <c r="C38" s="315"/>
      <c r="D38" s="322"/>
      <c r="E38" s="315"/>
      <c r="F38" s="28">
        <f t="shared" si="3"/>
        <v>30</v>
      </c>
      <c r="G38" s="28">
        <v>8</v>
      </c>
      <c r="H38" s="27" t="s">
        <v>419</v>
      </c>
      <c r="I38" s="28" t="s">
        <v>382</v>
      </c>
      <c r="J38" s="27" t="s">
        <v>418</v>
      </c>
      <c r="K38" s="25" t="str">
        <f t="shared" si="1"/>
        <v>1E</v>
      </c>
      <c r="M38" s="25" t="str">
        <f t="shared" si="2"/>
        <v>11E</v>
      </c>
      <c r="N38" s="316"/>
      <c r="O38" s="316"/>
      <c r="P38" s="326"/>
      <c r="Q38" s="28">
        <f t="shared" si="4"/>
        <v>286</v>
      </c>
      <c r="R38" s="28">
        <v>8</v>
      </c>
      <c r="S38" s="27" t="s">
        <v>417</v>
      </c>
      <c r="T38" s="28" t="s">
        <v>356</v>
      </c>
      <c r="U38" s="27"/>
    </row>
    <row r="39" spans="1:21" ht="16.5" customHeight="1" x14ac:dyDescent="0.3">
      <c r="C39" s="315"/>
      <c r="D39" s="322"/>
      <c r="E39" s="315"/>
      <c r="F39" s="28">
        <f t="shared" si="3"/>
        <v>31</v>
      </c>
      <c r="G39" s="28">
        <v>8</v>
      </c>
      <c r="H39" s="27" t="s">
        <v>416</v>
      </c>
      <c r="I39" s="28" t="s">
        <v>382</v>
      </c>
      <c r="J39" s="27" t="s">
        <v>415</v>
      </c>
      <c r="K39" s="25" t="str">
        <f t="shared" si="1"/>
        <v>1F</v>
      </c>
      <c r="M39" s="25" t="str">
        <f t="shared" si="2"/>
        <v>11F</v>
      </c>
      <c r="N39" s="316"/>
      <c r="O39" s="316"/>
      <c r="P39" s="326"/>
      <c r="Q39" s="28">
        <f t="shared" si="4"/>
        <v>287</v>
      </c>
      <c r="R39" s="28">
        <v>8</v>
      </c>
      <c r="S39" s="27" t="s">
        <v>414</v>
      </c>
      <c r="T39" s="28" t="s">
        <v>356</v>
      </c>
      <c r="U39" s="27"/>
    </row>
    <row r="40" spans="1:21" ht="16.5" customHeight="1" x14ac:dyDescent="0.3">
      <c r="C40" s="315"/>
      <c r="D40" s="322"/>
      <c r="E40" s="315"/>
      <c r="F40" s="28">
        <f t="shared" si="3"/>
        <v>32</v>
      </c>
      <c r="G40" s="28">
        <v>8</v>
      </c>
      <c r="H40" s="27" t="s">
        <v>413</v>
      </c>
      <c r="I40" s="28" t="s">
        <v>382</v>
      </c>
      <c r="J40" s="27" t="s">
        <v>412</v>
      </c>
      <c r="K40" s="25" t="str">
        <f t="shared" ref="K40:K62" si="5">DEC2HEX(F40)</f>
        <v>20</v>
      </c>
      <c r="M40" s="25" t="str">
        <f t="shared" ref="M40:M71" si="6">DEC2HEX(Q40)</f>
        <v>120</v>
      </c>
      <c r="N40" s="316"/>
      <c r="O40" s="316"/>
      <c r="P40" s="326"/>
      <c r="Q40" s="28">
        <f t="shared" si="4"/>
        <v>288</v>
      </c>
      <c r="R40" s="28">
        <v>8</v>
      </c>
      <c r="S40" s="27" t="s">
        <v>411</v>
      </c>
      <c r="T40" s="28" t="s">
        <v>356</v>
      </c>
      <c r="U40" s="27"/>
    </row>
    <row r="41" spans="1:21" ht="16.5" customHeight="1" x14ac:dyDescent="0.3">
      <c r="C41" s="315"/>
      <c r="D41" s="322"/>
      <c r="E41" s="315"/>
      <c r="F41" s="28">
        <f t="shared" ref="F41:F72" si="7">F40+G40/8</f>
        <v>33</v>
      </c>
      <c r="G41" s="28">
        <v>8</v>
      </c>
      <c r="H41" s="27" t="s">
        <v>410</v>
      </c>
      <c r="I41" s="28" t="s">
        <v>382</v>
      </c>
      <c r="J41" s="27" t="s">
        <v>409</v>
      </c>
      <c r="K41" s="25" t="str">
        <f t="shared" si="5"/>
        <v>21</v>
      </c>
      <c r="M41" s="25" t="str">
        <f t="shared" si="6"/>
        <v>121</v>
      </c>
      <c r="N41" s="316"/>
      <c r="O41" s="316"/>
      <c r="P41" s="326"/>
      <c r="Q41" s="28">
        <f t="shared" ref="Q41:Q72" si="8">Q40+R40/8</f>
        <v>289</v>
      </c>
      <c r="R41" s="28">
        <v>8</v>
      </c>
      <c r="S41" s="27" t="s">
        <v>408</v>
      </c>
      <c r="T41" s="28" t="s">
        <v>356</v>
      </c>
      <c r="U41" s="27"/>
    </row>
    <row r="42" spans="1:21" ht="16.5" customHeight="1" x14ac:dyDescent="0.3">
      <c r="C42" s="315"/>
      <c r="D42" s="322"/>
      <c r="E42" s="315"/>
      <c r="F42" s="28">
        <f t="shared" si="7"/>
        <v>34</v>
      </c>
      <c r="G42" s="28">
        <v>8</v>
      </c>
      <c r="H42" s="27" t="s">
        <v>407</v>
      </c>
      <c r="I42" s="28" t="s">
        <v>382</v>
      </c>
      <c r="J42" s="30" t="s">
        <v>406</v>
      </c>
      <c r="K42" s="25" t="str">
        <f t="shared" si="5"/>
        <v>22</v>
      </c>
      <c r="M42" s="25" t="str">
        <f t="shared" si="6"/>
        <v>122</v>
      </c>
      <c r="N42" s="316"/>
      <c r="O42" s="316"/>
      <c r="P42" s="326"/>
      <c r="Q42" s="28">
        <f t="shared" si="8"/>
        <v>290</v>
      </c>
      <c r="R42" s="28">
        <v>8</v>
      </c>
      <c r="S42" s="27" t="s">
        <v>405</v>
      </c>
      <c r="T42" s="28" t="s">
        <v>356</v>
      </c>
      <c r="U42" s="27"/>
    </row>
    <row r="43" spans="1:21" ht="16.5" customHeight="1" x14ac:dyDescent="0.3">
      <c r="C43" s="315"/>
      <c r="D43" s="322"/>
      <c r="E43" s="315"/>
      <c r="F43" s="28">
        <f t="shared" si="7"/>
        <v>35</v>
      </c>
      <c r="G43" s="28">
        <v>8</v>
      </c>
      <c r="H43" s="317" t="s">
        <v>404</v>
      </c>
      <c r="I43" s="36" t="s">
        <v>382</v>
      </c>
      <c r="J43" s="29" t="s">
        <v>400</v>
      </c>
      <c r="K43" s="25" t="str">
        <f t="shared" si="5"/>
        <v>23</v>
      </c>
      <c r="M43" s="25" t="str">
        <f t="shared" si="6"/>
        <v>123</v>
      </c>
      <c r="N43" s="316"/>
      <c r="O43" s="316"/>
      <c r="P43" s="326"/>
      <c r="Q43" s="28">
        <f t="shared" si="8"/>
        <v>291</v>
      </c>
      <c r="R43" s="28">
        <v>8</v>
      </c>
      <c r="S43" s="27" t="s">
        <v>403</v>
      </c>
      <c r="T43" s="28" t="s">
        <v>356</v>
      </c>
      <c r="U43" s="27"/>
    </row>
    <row r="44" spans="1:21" ht="16.5" customHeight="1" x14ac:dyDescent="0.3">
      <c r="C44" s="315"/>
      <c r="D44" s="322"/>
      <c r="E44" s="315"/>
      <c r="F44" s="28">
        <f t="shared" si="7"/>
        <v>36</v>
      </c>
      <c r="G44" s="28">
        <v>8</v>
      </c>
      <c r="H44" s="318"/>
      <c r="I44" s="36" t="s">
        <v>382</v>
      </c>
      <c r="J44" s="29" t="s">
        <v>398</v>
      </c>
      <c r="K44" s="25" t="str">
        <f t="shared" si="5"/>
        <v>24</v>
      </c>
      <c r="M44" s="25" t="str">
        <f t="shared" si="6"/>
        <v>124</v>
      </c>
      <c r="N44" s="316"/>
      <c r="O44" s="316"/>
      <c r="P44" s="326"/>
      <c r="Q44" s="28">
        <f t="shared" si="8"/>
        <v>292</v>
      </c>
      <c r="R44" s="28">
        <v>8</v>
      </c>
      <c r="S44" s="27" t="s">
        <v>402</v>
      </c>
      <c r="T44" s="28" t="s">
        <v>356</v>
      </c>
      <c r="U44" s="27"/>
    </row>
    <row r="45" spans="1:21" ht="16.5" customHeight="1" x14ac:dyDescent="0.3">
      <c r="C45" s="315"/>
      <c r="D45" s="322"/>
      <c r="E45" s="315"/>
      <c r="F45" s="28">
        <f t="shared" si="7"/>
        <v>37</v>
      </c>
      <c r="G45" s="28">
        <v>8</v>
      </c>
      <c r="H45" s="319" t="s">
        <v>401</v>
      </c>
      <c r="I45" s="36" t="s">
        <v>382</v>
      </c>
      <c r="J45" s="29" t="s">
        <v>400</v>
      </c>
      <c r="K45" s="25" t="str">
        <f t="shared" si="5"/>
        <v>25</v>
      </c>
      <c r="M45" s="25" t="str">
        <f t="shared" si="6"/>
        <v>125</v>
      </c>
      <c r="N45" s="316"/>
      <c r="O45" s="316"/>
      <c r="P45" s="326"/>
      <c r="Q45" s="28">
        <f t="shared" si="8"/>
        <v>293</v>
      </c>
      <c r="R45" s="28">
        <v>8</v>
      </c>
      <c r="S45" s="27" t="s">
        <v>399</v>
      </c>
      <c r="T45" s="28" t="s">
        <v>356</v>
      </c>
      <c r="U45" s="27"/>
    </row>
    <row r="46" spans="1:21" ht="16.5" customHeight="1" x14ac:dyDescent="0.3">
      <c r="C46" s="315"/>
      <c r="D46" s="322"/>
      <c r="E46" s="315"/>
      <c r="F46" s="28">
        <f t="shared" si="7"/>
        <v>38</v>
      </c>
      <c r="G46" s="28">
        <v>8</v>
      </c>
      <c r="H46" s="318"/>
      <c r="I46" s="36" t="s">
        <v>382</v>
      </c>
      <c r="J46" s="29" t="s">
        <v>398</v>
      </c>
      <c r="K46" s="25" t="str">
        <f t="shared" si="5"/>
        <v>26</v>
      </c>
      <c r="M46" s="25" t="str">
        <f t="shared" si="6"/>
        <v>126</v>
      </c>
      <c r="N46" s="316"/>
      <c r="O46" s="316"/>
      <c r="P46" s="326"/>
      <c r="Q46" s="28">
        <f t="shared" si="8"/>
        <v>294</v>
      </c>
      <c r="R46" s="28">
        <v>8</v>
      </c>
      <c r="S46" s="27"/>
      <c r="T46" s="28"/>
      <c r="U46" s="27"/>
    </row>
    <row r="47" spans="1:21" ht="16.5" customHeight="1" x14ac:dyDescent="0.3">
      <c r="C47" s="315"/>
      <c r="D47" s="322"/>
      <c r="E47" s="315"/>
      <c r="F47" s="28">
        <f t="shared" si="7"/>
        <v>39</v>
      </c>
      <c r="G47" s="28">
        <v>8</v>
      </c>
      <c r="H47" s="27"/>
      <c r="I47" s="28" t="s">
        <v>382</v>
      </c>
      <c r="J47" s="27"/>
      <c r="K47" s="25" t="str">
        <f t="shared" si="5"/>
        <v>27</v>
      </c>
      <c r="M47" s="25" t="str">
        <f t="shared" si="6"/>
        <v>127</v>
      </c>
      <c r="N47" s="316"/>
      <c r="O47" s="316"/>
      <c r="P47" s="326"/>
      <c r="Q47" s="28">
        <f t="shared" si="8"/>
        <v>295</v>
      </c>
      <c r="R47" s="28">
        <v>8</v>
      </c>
      <c r="S47" s="27"/>
      <c r="T47" s="28"/>
      <c r="U47" s="27"/>
    </row>
    <row r="48" spans="1:21" ht="16.5" customHeight="1" x14ac:dyDescent="0.3">
      <c r="C48" s="315"/>
      <c r="D48" s="322"/>
      <c r="E48" s="315"/>
      <c r="F48" s="28">
        <f t="shared" si="7"/>
        <v>40</v>
      </c>
      <c r="G48" s="28">
        <v>8</v>
      </c>
      <c r="H48" s="27" t="s">
        <v>397</v>
      </c>
      <c r="I48" s="28" t="s">
        <v>382</v>
      </c>
      <c r="J48" s="27"/>
      <c r="K48" s="25" t="str">
        <f t="shared" si="5"/>
        <v>28</v>
      </c>
      <c r="M48" s="25" t="str">
        <f t="shared" si="6"/>
        <v>128</v>
      </c>
      <c r="N48" s="316"/>
      <c r="O48" s="316"/>
      <c r="P48" s="326"/>
      <c r="Q48" s="28">
        <f t="shared" si="8"/>
        <v>296</v>
      </c>
      <c r="R48" s="28">
        <v>8</v>
      </c>
      <c r="S48" s="27"/>
      <c r="T48" s="28"/>
      <c r="U48" s="27"/>
    </row>
    <row r="49" spans="3:21" ht="16.5" customHeight="1" x14ac:dyDescent="0.3">
      <c r="C49" s="315"/>
      <c r="D49" s="322"/>
      <c r="E49" s="315"/>
      <c r="F49" s="28">
        <f t="shared" si="7"/>
        <v>41</v>
      </c>
      <c r="G49" s="28">
        <v>8</v>
      </c>
      <c r="H49" s="27" t="s">
        <v>396</v>
      </c>
      <c r="I49" s="28" t="s">
        <v>382</v>
      </c>
      <c r="J49" s="27"/>
      <c r="K49" s="25" t="str">
        <f t="shared" si="5"/>
        <v>29</v>
      </c>
      <c r="M49" s="25" t="str">
        <f t="shared" si="6"/>
        <v>129</v>
      </c>
      <c r="N49" s="316"/>
      <c r="O49" s="316"/>
      <c r="P49" s="326"/>
      <c r="Q49" s="28">
        <f t="shared" si="8"/>
        <v>297</v>
      </c>
      <c r="R49" s="28">
        <v>8</v>
      </c>
      <c r="S49" s="27"/>
      <c r="T49" s="28"/>
      <c r="U49" s="27"/>
    </row>
    <row r="50" spans="3:21" ht="16.5" customHeight="1" x14ac:dyDescent="0.3">
      <c r="C50" s="315"/>
      <c r="D50" s="322"/>
      <c r="E50" s="315"/>
      <c r="F50" s="28">
        <f t="shared" si="7"/>
        <v>42</v>
      </c>
      <c r="G50" s="28">
        <v>8</v>
      </c>
      <c r="H50" s="27" t="s">
        <v>395</v>
      </c>
      <c r="I50" s="28" t="s">
        <v>382</v>
      </c>
      <c r="J50" s="27"/>
      <c r="K50" s="25" t="str">
        <f t="shared" si="5"/>
        <v>2A</v>
      </c>
      <c r="M50" s="25" t="str">
        <f t="shared" si="6"/>
        <v>12A</v>
      </c>
      <c r="N50" s="316"/>
      <c r="O50" s="316"/>
      <c r="P50" s="326"/>
      <c r="Q50" s="28">
        <f t="shared" si="8"/>
        <v>298</v>
      </c>
      <c r="R50" s="28">
        <v>8</v>
      </c>
      <c r="S50" s="27"/>
      <c r="T50" s="28"/>
      <c r="U50" s="27"/>
    </row>
    <row r="51" spans="3:21" ht="16.5" customHeight="1" x14ac:dyDescent="0.3">
      <c r="C51" s="315"/>
      <c r="D51" s="322"/>
      <c r="E51" s="315"/>
      <c r="F51" s="28">
        <f t="shared" si="7"/>
        <v>43</v>
      </c>
      <c r="G51" s="28">
        <v>8</v>
      </c>
      <c r="H51" s="27" t="s">
        <v>394</v>
      </c>
      <c r="I51" s="28" t="s">
        <v>382</v>
      </c>
      <c r="J51" s="27"/>
      <c r="K51" s="25" t="str">
        <f t="shared" si="5"/>
        <v>2B</v>
      </c>
      <c r="M51" s="25" t="str">
        <f t="shared" si="6"/>
        <v>12B</v>
      </c>
      <c r="N51" s="316"/>
      <c r="O51" s="316"/>
      <c r="P51" s="326"/>
      <c r="Q51" s="28">
        <f t="shared" si="8"/>
        <v>299</v>
      </c>
      <c r="R51" s="28">
        <v>8</v>
      </c>
      <c r="S51" s="27"/>
      <c r="T51" s="28"/>
      <c r="U51" s="27"/>
    </row>
    <row r="52" spans="3:21" ht="16.5" customHeight="1" x14ac:dyDescent="0.3">
      <c r="C52" s="315"/>
      <c r="D52" s="322"/>
      <c r="E52" s="315"/>
      <c r="F52" s="28">
        <f t="shared" si="7"/>
        <v>44</v>
      </c>
      <c r="G52" s="28">
        <v>8</v>
      </c>
      <c r="H52" s="27" t="s">
        <v>393</v>
      </c>
      <c r="I52" s="28" t="s">
        <v>382</v>
      </c>
      <c r="J52" s="27"/>
      <c r="K52" s="25" t="str">
        <f t="shared" si="5"/>
        <v>2C</v>
      </c>
      <c r="M52" s="25" t="str">
        <f t="shared" si="6"/>
        <v>12C</v>
      </c>
      <c r="N52" s="316"/>
      <c r="O52" s="316"/>
      <c r="P52" s="326"/>
      <c r="Q52" s="28">
        <f t="shared" si="8"/>
        <v>300</v>
      </c>
      <c r="R52" s="28">
        <v>8</v>
      </c>
      <c r="S52" s="27"/>
      <c r="T52" s="28"/>
      <c r="U52" s="27"/>
    </row>
    <row r="53" spans="3:21" ht="16.5" customHeight="1" x14ac:dyDescent="0.3">
      <c r="C53" s="315"/>
      <c r="D53" s="322"/>
      <c r="E53" s="315"/>
      <c r="F53" s="28">
        <f t="shared" si="7"/>
        <v>45</v>
      </c>
      <c r="G53" s="28">
        <v>8</v>
      </c>
      <c r="H53" s="27" t="s">
        <v>392</v>
      </c>
      <c r="I53" s="28" t="s">
        <v>382</v>
      </c>
      <c r="J53" s="27"/>
      <c r="K53" s="25" t="str">
        <f t="shared" si="5"/>
        <v>2D</v>
      </c>
      <c r="M53" s="25" t="str">
        <f t="shared" si="6"/>
        <v>12D</v>
      </c>
      <c r="N53" s="316"/>
      <c r="O53" s="316"/>
      <c r="P53" s="326"/>
      <c r="Q53" s="28">
        <f t="shared" si="8"/>
        <v>301</v>
      </c>
      <c r="R53" s="28">
        <v>8</v>
      </c>
      <c r="S53" s="27"/>
      <c r="T53" s="28"/>
      <c r="U53" s="27"/>
    </row>
    <row r="54" spans="3:21" ht="16.5" customHeight="1" x14ac:dyDescent="0.3">
      <c r="C54" s="315"/>
      <c r="D54" s="322"/>
      <c r="E54" s="315"/>
      <c r="F54" s="28">
        <f t="shared" si="7"/>
        <v>46</v>
      </c>
      <c r="G54" s="28">
        <v>8</v>
      </c>
      <c r="H54" s="27" t="s">
        <v>391</v>
      </c>
      <c r="I54" s="28" t="s">
        <v>382</v>
      </c>
      <c r="J54" s="27"/>
      <c r="K54" s="25" t="str">
        <f t="shared" si="5"/>
        <v>2E</v>
      </c>
      <c r="M54" s="25" t="str">
        <f t="shared" si="6"/>
        <v>12E</v>
      </c>
      <c r="N54" s="316"/>
      <c r="O54" s="316"/>
      <c r="P54" s="326"/>
      <c r="Q54" s="28">
        <f t="shared" si="8"/>
        <v>302</v>
      </c>
      <c r="R54" s="28">
        <v>8</v>
      </c>
      <c r="S54" s="27"/>
      <c r="T54" s="28"/>
      <c r="U54" s="27"/>
    </row>
    <row r="55" spans="3:21" ht="16.5" customHeight="1" x14ac:dyDescent="0.3">
      <c r="C55" s="315"/>
      <c r="D55" s="322"/>
      <c r="E55" s="315"/>
      <c r="F55" s="28">
        <f t="shared" si="7"/>
        <v>47</v>
      </c>
      <c r="G55" s="28">
        <v>8</v>
      </c>
      <c r="H55" s="27" t="s">
        <v>390</v>
      </c>
      <c r="I55" s="28" t="s">
        <v>382</v>
      </c>
      <c r="J55" s="27"/>
      <c r="K55" s="25" t="str">
        <f t="shared" si="5"/>
        <v>2F</v>
      </c>
      <c r="M55" s="25" t="str">
        <f t="shared" si="6"/>
        <v>12F</v>
      </c>
      <c r="N55" s="316"/>
      <c r="O55" s="316"/>
      <c r="P55" s="326"/>
      <c r="Q55" s="28">
        <f t="shared" si="8"/>
        <v>303</v>
      </c>
      <c r="R55" s="28">
        <v>8</v>
      </c>
      <c r="S55" s="27"/>
      <c r="T55" s="28"/>
      <c r="U55" s="27"/>
    </row>
    <row r="56" spans="3:21" ht="16.5" customHeight="1" x14ac:dyDescent="0.3">
      <c r="C56" s="315"/>
      <c r="D56" s="322"/>
      <c r="E56" s="315"/>
      <c r="F56" s="28">
        <f t="shared" si="7"/>
        <v>48</v>
      </c>
      <c r="G56" s="28">
        <v>8</v>
      </c>
      <c r="H56" s="27"/>
      <c r="I56" s="28"/>
      <c r="J56" s="27"/>
      <c r="K56" s="25" t="str">
        <f t="shared" si="5"/>
        <v>30</v>
      </c>
      <c r="M56" s="25" t="str">
        <f t="shared" si="6"/>
        <v>130</v>
      </c>
      <c r="N56" s="316"/>
      <c r="O56" s="316"/>
      <c r="P56" s="326"/>
      <c r="Q56" s="28">
        <f t="shared" si="8"/>
        <v>304</v>
      </c>
      <c r="R56" s="28">
        <v>8</v>
      </c>
      <c r="S56" s="27"/>
      <c r="T56" s="28"/>
      <c r="U56" s="27"/>
    </row>
    <row r="57" spans="3:21" ht="16.5" customHeight="1" x14ac:dyDescent="0.3">
      <c r="C57" s="315"/>
      <c r="D57" s="322"/>
      <c r="E57" s="315"/>
      <c r="F57" s="28">
        <f t="shared" si="7"/>
        <v>49</v>
      </c>
      <c r="G57" s="28">
        <v>8</v>
      </c>
      <c r="H57" s="27"/>
      <c r="I57" s="28"/>
      <c r="J57" s="27"/>
      <c r="K57" s="25" t="str">
        <f t="shared" si="5"/>
        <v>31</v>
      </c>
      <c r="M57" s="25" t="str">
        <f t="shared" si="6"/>
        <v>131</v>
      </c>
      <c r="N57" s="316"/>
      <c r="O57" s="316"/>
      <c r="P57" s="326"/>
      <c r="Q57" s="28">
        <f t="shared" si="8"/>
        <v>305</v>
      </c>
      <c r="R57" s="28">
        <v>8</v>
      </c>
      <c r="S57" s="27"/>
      <c r="T57" s="28"/>
      <c r="U57" s="27"/>
    </row>
    <row r="58" spans="3:21" ht="16.5" customHeight="1" x14ac:dyDescent="0.3">
      <c r="C58" s="315"/>
      <c r="D58" s="322"/>
      <c r="E58" s="315"/>
      <c r="F58" s="28">
        <f t="shared" si="7"/>
        <v>50</v>
      </c>
      <c r="G58" s="28">
        <v>8</v>
      </c>
      <c r="H58" s="27"/>
      <c r="I58" s="28"/>
      <c r="J58" s="27"/>
      <c r="K58" s="25" t="str">
        <f t="shared" si="5"/>
        <v>32</v>
      </c>
      <c r="M58" s="25" t="str">
        <f t="shared" si="6"/>
        <v>132</v>
      </c>
      <c r="N58" s="316"/>
      <c r="O58" s="316"/>
      <c r="P58" s="326"/>
      <c r="Q58" s="28">
        <f t="shared" si="8"/>
        <v>306</v>
      </c>
      <c r="R58" s="28">
        <v>8</v>
      </c>
      <c r="S58" s="27"/>
      <c r="T58" s="28"/>
      <c r="U58" s="27"/>
    </row>
    <row r="59" spans="3:21" ht="16.5" customHeight="1" x14ac:dyDescent="0.3">
      <c r="C59" s="315"/>
      <c r="D59" s="322"/>
      <c r="E59" s="315"/>
      <c r="F59" s="28">
        <f t="shared" si="7"/>
        <v>51</v>
      </c>
      <c r="G59" s="28">
        <v>8</v>
      </c>
      <c r="H59" s="27"/>
      <c r="I59" s="28"/>
      <c r="J59" s="27"/>
      <c r="K59" s="25" t="str">
        <f t="shared" si="5"/>
        <v>33</v>
      </c>
      <c r="M59" s="25" t="str">
        <f t="shared" si="6"/>
        <v>133</v>
      </c>
      <c r="N59" s="316"/>
      <c r="O59" s="316"/>
      <c r="P59" s="326"/>
      <c r="Q59" s="28">
        <f t="shared" si="8"/>
        <v>307</v>
      </c>
      <c r="R59" s="28">
        <v>8</v>
      </c>
      <c r="S59" s="27"/>
      <c r="T59" s="28"/>
      <c r="U59" s="27"/>
    </row>
    <row r="60" spans="3:21" ht="16.5" customHeight="1" x14ac:dyDescent="0.3">
      <c r="C60" s="315"/>
      <c r="D60" s="322"/>
      <c r="E60" s="315"/>
      <c r="F60" s="28">
        <f t="shared" si="7"/>
        <v>52</v>
      </c>
      <c r="G60" s="28">
        <v>8</v>
      </c>
      <c r="H60" s="27"/>
      <c r="I60" s="28"/>
      <c r="J60" s="27"/>
      <c r="K60" s="25" t="str">
        <f t="shared" si="5"/>
        <v>34</v>
      </c>
      <c r="M60" s="25" t="str">
        <f t="shared" si="6"/>
        <v>134</v>
      </c>
      <c r="N60" s="316"/>
      <c r="O60" s="316"/>
      <c r="P60" s="326"/>
      <c r="Q60" s="28">
        <f t="shared" si="8"/>
        <v>308</v>
      </c>
      <c r="R60" s="28">
        <v>8</v>
      </c>
      <c r="S60" s="27"/>
      <c r="T60" s="28"/>
      <c r="U60" s="27"/>
    </row>
    <row r="61" spans="3:21" ht="16.5" customHeight="1" x14ac:dyDescent="0.3">
      <c r="C61" s="315"/>
      <c r="D61" s="322"/>
      <c r="E61" s="315"/>
      <c r="F61" s="28">
        <f t="shared" si="7"/>
        <v>53</v>
      </c>
      <c r="G61" s="28">
        <v>8</v>
      </c>
      <c r="H61" s="27"/>
      <c r="I61" s="28"/>
      <c r="J61" s="27"/>
      <c r="K61" s="25" t="str">
        <f t="shared" si="5"/>
        <v>35</v>
      </c>
      <c r="M61" s="25" t="str">
        <f t="shared" si="6"/>
        <v>135</v>
      </c>
      <c r="N61" s="316"/>
      <c r="O61" s="316"/>
      <c r="P61" s="326"/>
      <c r="Q61" s="28">
        <f t="shared" si="8"/>
        <v>309</v>
      </c>
      <c r="R61" s="28">
        <v>8</v>
      </c>
      <c r="S61" s="27"/>
      <c r="T61" s="28"/>
      <c r="U61" s="27"/>
    </row>
    <row r="62" spans="3:21" ht="16.5" customHeight="1" x14ac:dyDescent="0.3">
      <c r="C62" s="315"/>
      <c r="D62" s="322"/>
      <c r="E62" s="315"/>
      <c r="F62" s="28">
        <f t="shared" si="7"/>
        <v>54</v>
      </c>
      <c r="G62" s="28">
        <v>8</v>
      </c>
      <c r="H62" s="27"/>
      <c r="I62" s="28"/>
      <c r="J62" s="27"/>
      <c r="K62" s="25" t="str">
        <f t="shared" si="5"/>
        <v>36</v>
      </c>
      <c r="M62" s="25" t="str">
        <f t="shared" si="6"/>
        <v>136</v>
      </c>
      <c r="N62" s="316"/>
      <c r="O62" s="316"/>
      <c r="P62" s="326"/>
      <c r="Q62" s="28">
        <f t="shared" si="8"/>
        <v>310</v>
      </c>
      <c r="R62" s="28">
        <v>8</v>
      </c>
      <c r="T62" s="28" t="s">
        <v>356</v>
      </c>
      <c r="U62" s="27"/>
    </row>
    <row r="63" spans="3:21" ht="16.5" customHeight="1" x14ac:dyDescent="0.3">
      <c r="C63" s="315"/>
      <c r="D63" s="322"/>
      <c r="E63" s="315"/>
      <c r="F63" s="28">
        <f t="shared" si="7"/>
        <v>55</v>
      </c>
      <c r="G63" s="28">
        <v>8</v>
      </c>
      <c r="H63" s="27"/>
      <c r="I63" s="28"/>
      <c r="J63" s="27"/>
      <c r="M63" s="25" t="str">
        <f t="shared" si="6"/>
        <v>137</v>
      </c>
      <c r="N63" s="316"/>
      <c r="O63" s="316"/>
      <c r="P63" s="326"/>
      <c r="Q63" s="28">
        <f t="shared" si="8"/>
        <v>311</v>
      </c>
      <c r="R63" s="28">
        <v>8</v>
      </c>
      <c r="S63" s="27" t="s">
        <v>389</v>
      </c>
      <c r="T63" s="28" t="s">
        <v>356</v>
      </c>
      <c r="U63" s="27"/>
    </row>
    <row r="64" spans="3:21" ht="16.5" customHeight="1" x14ac:dyDescent="0.3">
      <c r="C64" s="315"/>
      <c r="D64" s="322"/>
      <c r="E64" s="315"/>
      <c r="F64" s="28">
        <f t="shared" si="7"/>
        <v>56</v>
      </c>
      <c r="G64" s="28">
        <v>8</v>
      </c>
      <c r="H64" s="27"/>
      <c r="I64" s="28"/>
      <c r="J64" s="27"/>
      <c r="M64" s="25" t="str">
        <f t="shared" si="6"/>
        <v>138</v>
      </c>
      <c r="N64" s="316"/>
      <c r="O64" s="316"/>
      <c r="P64" s="326"/>
      <c r="Q64" s="28">
        <f t="shared" si="8"/>
        <v>312</v>
      </c>
      <c r="R64" s="28">
        <v>8</v>
      </c>
      <c r="S64" s="27" t="s">
        <v>388</v>
      </c>
      <c r="T64" s="28" t="s">
        <v>356</v>
      </c>
      <c r="U64" s="27"/>
    </row>
    <row r="65" spans="3:21" ht="16.5" customHeight="1" x14ac:dyDescent="0.3">
      <c r="C65" s="315"/>
      <c r="D65" s="322"/>
      <c r="E65" s="315"/>
      <c r="F65" s="28">
        <f t="shared" si="7"/>
        <v>57</v>
      </c>
      <c r="G65" s="28">
        <v>8</v>
      </c>
      <c r="H65" s="27"/>
      <c r="I65" s="28"/>
      <c r="J65" s="27"/>
      <c r="M65" s="25" t="str">
        <f t="shared" si="6"/>
        <v>139</v>
      </c>
      <c r="N65" s="316"/>
      <c r="O65" s="316"/>
      <c r="P65" s="326"/>
      <c r="Q65" s="28">
        <f t="shared" si="8"/>
        <v>313</v>
      </c>
      <c r="R65" s="28">
        <v>8</v>
      </c>
      <c r="S65" s="27"/>
      <c r="T65" s="28" t="s">
        <v>356</v>
      </c>
      <c r="U65" s="27"/>
    </row>
    <row r="66" spans="3:21" ht="16.5" customHeight="1" x14ac:dyDescent="0.3">
      <c r="C66" s="315"/>
      <c r="D66" s="322"/>
      <c r="E66" s="315"/>
      <c r="F66" s="28">
        <f t="shared" si="7"/>
        <v>58</v>
      </c>
      <c r="G66" s="28">
        <v>8</v>
      </c>
      <c r="H66" s="27"/>
      <c r="I66" s="28"/>
      <c r="J66" s="27"/>
      <c r="M66" s="25" t="str">
        <f t="shared" si="6"/>
        <v>13A</v>
      </c>
      <c r="N66" s="316"/>
      <c r="O66" s="316"/>
      <c r="P66" s="326"/>
      <c r="Q66" s="28">
        <f t="shared" si="8"/>
        <v>314</v>
      </c>
      <c r="R66" s="28">
        <v>8</v>
      </c>
      <c r="S66" s="27" t="s">
        <v>387</v>
      </c>
      <c r="T66" s="28" t="s">
        <v>356</v>
      </c>
      <c r="U66" s="27"/>
    </row>
    <row r="67" spans="3:21" ht="16.5" customHeight="1" x14ac:dyDescent="0.3">
      <c r="C67" s="315"/>
      <c r="D67" s="322"/>
      <c r="E67" s="315"/>
      <c r="F67" s="28">
        <f t="shared" si="7"/>
        <v>59</v>
      </c>
      <c r="G67" s="28">
        <v>8</v>
      </c>
      <c r="H67" s="27"/>
      <c r="I67" s="28"/>
      <c r="J67" s="27"/>
      <c r="M67" s="25" t="str">
        <f t="shared" si="6"/>
        <v>13B</v>
      </c>
      <c r="N67" s="316"/>
      <c r="O67" s="316"/>
      <c r="P67" s="326"/>
      <c r="Q67" s="28">
        <f t="shared" si="8"/>
        <v>315</v>
      </c>
      <c r="R67" s="28">
        <v>8</v>
      </c>
      <c r="S67" s="27" t="s">
        <v>386</v>
      </c>
      <c r="T67" s="28" t="s">
        <v>356</v>
      </c>
      <c r="U67" s="27"/>
    </row>
    <row r="68" spans="3:21" ht="16.5" customHeight="1" x14ac:dyDescent="0.3">
      <c r="C68" s="315"/>
      <c r="D68" s="322"/>
      <c r="E68" s="315"/>
      <c r="F68" s="28">
        <f t="shared" si="7"/>
        <v>60</v>
      </c>
      <c r="G68" s="28">
        <v>8</v>
      </c>
      <c r="H68" s="27"/>
      <c r="I68" s="28"/>
      <c r="J68" s="27"/>
      <c r="M68" s="25" t="str">
        <f t="shared" si="6"/>
        <v>13C</v>
      </c>
      <c r="N68" s="316"/>
      <c r="O68" s="316"/>
      <c r="P68" s="326"/>
      <c r="Q68" s="28">
        <f t="shared" si="8"/>
        <v>316</v>
      </c>
      <c r="R68" s="28">
        <v>8</v>
      </c>
      <c r="S68" s="33" t="s">
        <v>385</v>
      </c>
      <c r="T68" s="28" t="s">
        <v>356</v>
      </c>
      <c r="U68" s="27"/>
    </row>
    <row r="69" spans="3:21" ht="16.5" customHeight="1" x14ac:dyDescent="0.3">
      <c r="C69" s="315"/>
      <c r="D69" s="322"/>
      <c r="E69" s="315"/>
      <c r="F69" s="28">
        <f t="shared" si="7"/>
        <v>61</v>
      </c>
      <c r="G69" s="28">
        <v>8</v>
      </c>
      <c r="H69" s="27"/>
      <c r="I69" s="28"/>
      <c r="J69" s="27"/>
      <c r="M69" s="25" t="str">
        <f t="shared" si="6"/>
        <v>13D</v>
      </c>
      <c r="N69" s="316"/>
      <c r="O69" s="316"/>
      <c r="P69" s="326"/>
      <c r="Q69" s="28">
        <f t="shared" si="8"/>
        <v>317</v>
      </c>
      <c r="R69" s="28">
        <v>8</v>
      </c>
      <c r="S69" s="27" t="s">
        <v>384</v>
      </c>
      <c r="T69" s="28" t="s">
        <v>356</v>
      </c>
      <c r="U69" s="27"/>
    </row>
    <row r="70" spans="3:21" ht="16.5" customHeight="1" x14ac:dyDescent="0.3">
      <c r="C70" s="315"/>
      <c r="D70" s="322"/>
      <c r="E70" s="315"/>
      <c r="F70" s="28">
        <f t="shared" si="7"/>
        <v>62</v>
      </c>
      <c r="G70" s="28">
        <v>8</v>
      </c>
      <c r="H70" s="27"/>
      <c r="I70" s="28"/>
      <c r="J70" s="27"/>
      <c r="M70" s="25" t="str">
        <f t="shared" si="6"/>
        <v>13E</v>
      </c>
      <c r="N70" s="316"/>
      <c r="O70" s="316"/>
      <c r="P70" s="326"/>
      <c r="Q70" s="28">
        <f t="shared" si="8"/>
        <v>318</v>
      </c>
      <c r="R70" s="28">
        <v>8</v>
      </c>
      <c r="S70" s="33" t="s">
        <v>383</v>
      </c>
      <c r="T70" s="28" t="s">
        <v>356</v>
      </c>
      <c r="U70" s="27"/>
    </row>
    <row r="71" spans="3:21" ht="16.5" customHeight="1" x14ac:dyDescent="0.3">
      <c r="C71" s="315"/>
      <c r="D71" s="322"/>
      <c r="E71" s="315"/>
      <c r="F71" s="28">
        <f t="shared" si="7"/>
        <v>63</v>
      </c>
      <c r="G71" s="28">
        <v>8</v>
      </c>
      <c r="H71" s="27"/>
      <c r="I71" s="28"/>
      <c r="J71" s="27"/>
      <c r="M71" s="25" t="str">
        <f t="shared" si="6"/>
        <v>13F</v>
      </c>
      <c r="N71" s="316"/>
      <c r="O71" s="316"/>
      <c r="P71" s="326"/>
      <c r="Q71" s="28">
        <f t="shared" si="8"/>
        <v>319</v>
      </c>
      <c r="R71" s="28">
        <v>8</v>
      </c>
      <c r="S71" s="27" t="s">
        <v>381</v>
      </c>
      <c r="T71" s="28" t="s">
        <v>356</v>
      </c>
      <c r="U71" s="27"/>
    </row>
    <row r="72" spans="3:21" ht="16.5" customHeight="1" x14ac:dyDescent="0.3">
      <c r="C72" s="315"/>
      <c r="D72" s="322"/>
      <c r="E72" s="315"/>
      <c r="F72" s="28">
        <f t="shared" si="7"/>
        <v>64</v>
      </c>
      <c r="G72" s="28">
        <v>8</v>
      </c>
      <c r="H72" s="33" t="s">
        <v>380</v>
      </c>
      <c r="I72" s="31"/>
      <c r="J72" s="30" t="s">
        <v>379</v>
      </c>
      <c r="M72" s="25" t="str">
        <f t="shared" ref="M72:M103" si="9">DEC2HEX(Q72)</f>
        <v>140</v>
      </c>
      <c r="N72" s="316"/>
      <c r="O72" s="316"/>
      <c r="P72" s="326"/>
      <c r="Q72" s="28">
        <f t="shared" si="8"/>
        <v>320</v>
      </c>
      <c r="R72" s="28">
        <v>8</v>
      </c>
      <c r="S72" s="27" t="s">
        <v>378</v>
      </c>
      <c r="T72" s="28" t="s">
        <v>356</v>
      </c>
      <c r="U72" s="27"/>
    </row>
    <row r="73" spans="3:21" ht="49.5" x14ac:dyDescent="0.3">
      <c r="C73" s="315"/>
      <c r="D73" s="322"/>
      <c r="E73" s="315"/>
      <c r="F73" s="28">
        <f t="shared" ref="F73:F85" si="10">F72+G72/8</f>
        <v>65</v>
      </c>
      <c r="G73" s="28">
        <v>8</v>
      </c>
      <c r="H73" s="30" t="s">
        <v>377</v>
      </c>
      <c r="I73" s="31"/>
      <c r="J73" s="32" t="s">
        <v>376</v>
      </c>
      <c r="M73" s="25" t="str">
        <f t="shared" si="9"/>
        <v>141</v>
      </c>
      <c r="N73" s="316"/>
      <c r="O73" s="316"/>
      <c r="P73" s="326"/>
      <c r="Q73" s="28">
        <f t="shared" ref="Q73:Q104" si="11">Q72+R72/8</f>
        <v>321</v>
      </c>
      <c r="R73" s="28">
        <v>8</v>
      </c>
      <c r="S73" s="27" t="s">
        <v>375</v>
      </c>
      <c r="T73" s="28" t="s">
        <v>356</v>
      </c>
      <c r="U73" s="27"/>
    </row>
    <row r="74" spans="3:21" ht="16.5" customHeight="1" x14ac:dyDescent="0.3">
      <c r="C74" s="315"/>
      <c r="D74" s="322"/>
      <c r="E74" s="315"/>
      <c r="F74" s="28">
        <f t="shared" si="10"/>
        <v>66</v>
      </c>
      <c r="G74" s="28">
        <v>8</v>
      </c>
      <c r="H74" s="30" t="s">
        <v>374</v>
      </c>
      <c r="I74" s="31"/>
      <c r="J74" s="30" t="s">
        <v>373</v>
      </c>
      <c r="M74" s="25" t="str">
        <f t="shared" si="9"/>
        <v>142</v>
      </c>
      <c r="N74" s="316"/>
      <c r="O74" s="316"/>
      <c r="P74" s="326"/>
      <c r="Q74" s="28">
        <f t="shared" si="11"/>
        <v>322</v>
      </c>
      <c r="R74" s="28">
        <v>8</v>
      </c>
      <c r="S74" s="27" t="s">
        <v>372</v>
      </c>
      <c r="T74" s="28" t="s">
        <v>356</v>
      </c>
      <c r="U74" s="27"/>
    </row>
    <row r="75" spans="3:21" ht="16.5" customHeight="1" x14ac:dyDescent="0.3">
      <c r="C75" s="315"/>
      <c r="D75" s="322"/>
      <c r="E75" s="315"/>
      <c r="F75" s="28">
        <f t="shared" si="10"/>
        <v>67</v>
      </c>
      <c r="G75" s="28">
        <v>8</v>
      </c>
      <c r="H75" s="33" t="s">
        <v>364</v>
      </c>
      <c r="I75" s="31"/>
      <c r="J75" s="27" t="s">
        <v>371</v>
      </c>
      <c r="M75" s="25" t="str">
        <f t="shared" si="9"/>
        <v>143</v>
      </c>
      <c r="N75" s="316"/>
      <c r="O75" s="316"/>
      <c r="P75" s="326"/>
      <c r="Q75" s="28">
        <f t="shared" si="11"/>
        <v>323</v>
      </c>
      <c r="R75" s="28">
        <v>8</v>
      </c>
      <c r="S75" s="33" t="s">
        <v>370</v>
      </c>
      <c r="T75" s="28" t="s">
        <v>356</v>
      </c>
      <c r="U75" s="27"/>
    </row>
    <row r="76" spans="3:21" ht="16.5" customHeight="1" x14ac:dyDescent="0.3">
      <c r="C76" s="315"/>
      <c r="D76" s="322"/>
      <c r="E76" s="315"/>
      <c r="F76" s="28">
        <f t="shared" si="10"/>
        <v>68</v>
      </c>
      <c r="G76" s="35">
        <v>8</v>
      </c>
      <c r="H76" s="33" t="s">
        <v>364</v>
      </c>
      <c r="I76" s="28"/>
      <c r="J76" s="27"/>
      <c r="M76" s="25" t="str">
        <f t="shared" si="9"/>
        <v>144</v>
      </c>
      <c r="N76" s="316"/>
      <c r="O76" s="316"/>
      <c r="P76" s="326"/>
      <c r="Q76" s="28">
        <f t="shared" si="11"/>
        <v>324</v>
      </c>
      <c r="R76" s="28">
        <v>8</v>
      </c>
      <c r="S76" s="30" t="s">
        <v>369</v>
      </c>
      <c r="T76" s="28" t="s">
        <v>356</v>
      </c>
      <c r="U76" s="27"/>
    </row>
    <row r="77" spans="3:21" ht="16.5" customHeight="1" x14ac:dyDescent="0.3">
      <c r="C77" s="315"/>
      <c r="D77" s="322"/>
      <c r="E77" s="315"/>
      <c r="F77" s="28">
        <f t="shared" si="10"/>
        <v>69</v>
      </c>
      <c r="G77" s="28">
        <v>8</v>
      </c>
      <c r="H77" s="33" t="s">
        <v>364</v>
      </c>
      <c r="I77" s="28"/>
      <c r="J77" s="27"/>
      <c r="M77" s="25" t="str">
        <f t="shared" si="9"/>
        <v>145</v>
      </c>
      <c r="N77" s="316"/>
      <c r="O77" s="316"/>
      <c r="P77" s="326"/>
      <c r="Q77" s="28">
        <f t="shared" si="11"/>
        <v>325</v>
      </c>
      <c r="R77" s="28">
        <v>8</v>
      </c>
      <c r="S77" s="30" t="s">
        <v>368</v>
      </c>
      <c r="T77" s="28" t="s">
        <v>356</v>
      </c>
      <c r="U77" s="27"/>
    </row>
    <row r="78" spans="3:21" ht="16.5" customHeight="1" x14ac:dyDescent="0.3">
      <c r="C78" s="315"/>
      <c r="D78" s="322"/>
      <c r="E78" s="315"/>
      <c r="F78" s="28">
        <f t="shared" si="10"/>
        <v>70</v>
      </c>
      <c r="G78" s="28">
        <v>8</v>
      </c>
      <c r="H78" s="33" t="s">
        <v>364</v>
      </c>
      <c r="I78" s="28"/>
      <c r="J78" s="27"/>
      <c r="M78" s="25" t="str">
        <f t="shared" si="9"/>
        <v>146</v>
      </c>
      <c r="N78" s="316"/>
      <c r="O78" s="316"/>
      <c r="P78" s="326"/>
      <c r="Q78" s="28">
        <f t="shared" si="11"/>
        <v>326</v>
      </c>
      <c r="R78" s="28">
        <v>8</v>
      </c>
      <c r="S78" s="27" t="s">
        <v>367</v>
      </c>
      <c r="T78" s="28" t="s">
        <v>356</v>
      </c>
      <c r="U78" s="27"/>
    </row>
    <row r="79" spans="3:21" ht="16.5" customHeight="1" x14ac:dyDescent="0.3">
      <c r="C79" s="315"/>
      <c r="D79" s="322"/>
      <c r="E79" s="315"/>
      <c r="F79" s="28">
        <f t="shared" si="10"/>
        <v>71</v>
      </c>
      <c r="G79" s="28">
        <v>8</v>
      </c>
      <c r="H79" s="33" t="s">
        <v>364</v>
      </c>
      <c r="I79" s="28"/>
      <c r="J79" s="27"/>
      <c r="M79" s="25" t="str">
        <f t="shared" si="9"/>
        <v>147</v>
      </c>
      <c r="N79" s="316"/>
      <c r="O79" s="316"/>
      <c r="P79" s="326"/>
      <c r="Q79" s="28">
        <f t="shared" si="11"/>
        <v>327</v>
      </c>
      <c r="R79" s="28">
        <v>8</v>
      </c>
      <c r="S79" s="27" t="s">
        <v>366</v>
      </c>
      <c r="T79" s="28" t="s">
        <v>356</v>
      </c>
      <c r="U79" s="27"/>
    </row>
    <row r="80" spans="3:21" ht="16.5" customHeight="1" x14ac:dyDescent="0.3">
      <c r="C80" s="315"/>
      <c r="D80" s="322"/>
      <c r="E80" s="315"/>
      <c r="F80" s="28">
        <f t="shared" si="10"/>
        <v>72</v>
      </c>
      <c r="G80" s="28">
        <v>8</v>
      </c>
      <c r="H80" s="33" t="s">
        <v>364</v>
      </c>
      <c r="I80" s="28"/>
      <c r="J80" s="27"/>
      <c r="M80" s="25" t="str">
        <f t="shared" si="9"/>
        <v>148</v>
      </c>
      <c r="N80" s="316"/>
      <c r="O80" s="316"/>
      <c r="P80" s="326"/>
      <c r="Q80" s="28">
        <f t="shared" si="11"/>
        <v>328</v>
      </c>
      <c r="R80" s="28">
        <v>8</v>
      </c>
      <c r="S80" s="27" t="s">
        <v>365</v>
      </c>
      <c r="T80" s="28" t="s">
        <v>356</v>
      </c>
      <c r="U80" s="27"/>
    </row>
    <row r="81" spans="4:21" x14ac:dyDescent="0.3">
      <c r="D81" s="322"/>
      <c r="E81" s="315"/>
      <c r="F81" s="28">
        <f t="shared" si="10"/>
        <v>73</v>
      </c>
      <c r="G81" s="28">
        <v>8</v>
      </c>
      <c r="H81" s="33" t="s">
        <v>364</v>
      </c>
      <c r="I81" s="28"/>
      <c r="J81" s="27"/>
      <c r="M81" s="25" t="str">
        <f t="shared" si="9"/>
        <v>149</v>
      </c>
      <c r="N81" s="316"/>
      <c r="O81" s="316"/>
      <c r="P81" s="326"/>
      <c r="Q81" s="28">
        <f t="shared" si="11"/>
        <v>329</v>
      </c>
      <c r="R81" s="28">
        <v>8</v>
      </c>
      <c r="S81" s="34"/>
      <c r="T81" s="28" t="s">
        <v>356</v>
      </c>
      <c r="U81" s="27"/>
    </row>
    <row r="82" spans="4:21" x14ac:dyDescent="0.3">
      <c r="D82" s="322"/>
      <c r="E82" s="315"/>
      <c r="F82" s="28">
        <f t="shared" si="10"/>
        <v>74</v>
      </c>
      <c r="G82" s="28">
        <v>8</v>
      </c>
      <c r="H82" s="33" t="s">
        <v>364</v>
      </c>
      <c r="I82" s="28"/>
      <c r="J82" s="27" t="s">
        <v>363</v>
      </c>
      <c r="M82" s="25" t="str">
        <f t="shared" si="9"/>
        <v>14A</v>
      </c>
      <c r="N82" s="316"/>
      <c r="O82" s="316"/>
      <c r="P82" s="326"/>
      <c r="Q82" s="28">
        <f t="shared" si="11"/>
        <v>330</v>
      </c>
      <c r="R82" s="28">
        <v>8</v>
      </c>
      <c r="S82" s="29"/>
      <c r="T82" s="28" t="s">
        <v>356</v>
      </c>
      <c r="U82" s="27"/>
    </row>
    <row r="83" spans="4:21" x14ac:dyDescent="0.3">
      <c r="D83" s="322"/>
      <c r="E83" s="315"/>
      <c r="F83" s="28">
        <f t="shared" si="10"/>
        <v>75</v>
      </c>
      <c r="G83" s="28">
        <v>8</v>
      </c>
      <c r="H83" s="33" t="s">
        <v>362</v>
      </c>
      <c r="I83" s="31"/>
      <c r="J83" s="30" t="s">
        <v>361</v>
      </c>
      <c r="M83" s="25" t="str">
        <f t="shared" si="9"/>
        <v>14B</v>
      </c>
      <c r="N83" s="316"/>
      <c r="O83" s="316"/>
      <c r="P83" s="326"/>
      <c r="Q83" s="28">
        <f t="shared" si="11"/>
        <v>331</v>
      </c>
      <c r="R83" s="28">
        <v>8</v>
      </c>
      <c r="S83" s="29"/>
      <c r="T83" s="28" t="s">
        <v>356</v>
      </c>
      <c r="U83" s="27"/>
    </row>
    <row r="84" spans="4:21" ht="33" x14ac:dyDescent="0.3">
      <c r="F84" s="28">
        <f t="shared" si="10"/>
        <v>76</v>
      </c>
      <c r="G84" s="28">
        <v>8</v>
      </c>
      <c r="H84" s="30" t="s">
        <v>360</v>
      </c>
      <c r="I84" s="31"/>
      <c r="J84" s="32" t="s">
        <v>359</v>
      </c>
      <c r="M84" s="25" t="str">
        <f t="shared" si="9"/>
        <v>14C</v>
      </c>
      <c r="N84" s="316"/>
      <c r="O84" s="316"/>
      <c r="P84" s="326"/>
      <c r="Q84" s="28">
        <f t="shared" si="11"/>
        <v>332</v>
      </c>
      <c r="R84" s="28">
        <v>8</v>
      </c>
      <c r="S84" s="29"/>
      <c r="T84" s="28" t="s">
        <v>356</v>
      </c>
      <c r="U84" s="27"/>
    </row>
    <row r="85" spans="4:21" x14ac:dyDescent="0.3">
      <c r="F85" s="28">
        <f t="shared" si="10"/>
        <v>77</v>
      </c>
      <c r="G85" s="28">
        <v>8</v>
      </c>
      <c r="H85" s="30" t="s">
        <v>358</v>
      </c>
      <c r="I85" s="31"/>
      <c r="J85" s="30" t="s">
        <v>357</v>
      </c>
      <c r="M85" s="25" t="str">
        <f t="shared" si="9"/>
        <v>14D</v>
      </c>
      <c r="N85" s="316"/>
      <c r="O85" s="316"/>
      <c r="P85" s="326"/>
      <c r="Q85" s="28">
        <f t="shared" si="11"/>
        <v>333</v>
      </c>
      <c r="R85" s="28">
        <v>8</v>
      </c>
      <c r="S85" s="29"/>
      <c r="T85" s="28" t="s">
        <v>356</v>
      </c>
      <c r="U85" s="27"/>
    </row>
    <row r="86" spans="4:21" x14ac:dyDescent="0.3">
      <c r="M86" s="25" t="str">
        <f t="shared" si="9"/>
        <v>14E</v>
      </c>
      <c r="N86" s="316"/>
      <c r="O86" s="316"/>
      <c r="P86" s="326"/>
      <c r="Q86" s="28">
        <f t="shared" si="11"/>
        <v>334</v>
      </c>
      <c r="R86" s="28">
        <v>8</v>
      </c>
      <c r="S86" s="29"/>
      <c r="T86" s="28" t="s">
        <v>356</v>
      </c>
      <c r="U86" s="27"/>
    </row>
    <row r="87" spans="4:21" x14ac:dyDescent="0.3">
      <c r="M87" s="25" t="str">
        <f t="shared" si="9"/>
        <v>14F</v>
      </c>
      <c r="N87" s="316"/>
      <c r="O87" s="316"/>
      <c r="P87" s="326"/>
      <c r="Q87" s="28">
        <f t="shared" si="11"/>
        <v>335</v>
      </c>
      <c r="R87" s="28">
        <v>8</v>
      </c>
      <c r="S87" s="29"/>
      <c r="T87" s="28" t="s">
        <v>356</v>
      </c>
      <c r="U87" s="27"/>
    </row>
    <row r="88" spans="4:21" x14ac:dyDescent="0.3">
      <c r="M88" s="25" t="str">
        <f t="shared" si="9"/>
        <v>150</v>
      </c>
      <c r="N88" s="316"/>
      <c r="O88" s="316"/>
      <c r="P88" s="326"/>
      <c r="Q88" s="28">
        <f t="shared" si="11"/>
        <v>336</v>
      </c>
      <c r="R88" s="28">
        <v>8</v>
      </c>
      <c r="S88" s="29"/>
      <c r="T88" s="28" t="s">
        <v>356</v>
      </c>
      <c r="U88" s="27"/>
    </row>
    <row r="89" spans="4:21" x14ac:dyDescent="0.3">
      <c r="M89" s="25" t="str">
        <f t="shared" si="9"/>
        <v>151</v>
      </c>
      <c r="N89" s="316"/>
      <c r="O89" s="316"/>
      <c r="P89" s="326"/>
      <c r="Q89" s="28">
        <f t="shared" si="11"/>
        <v>337</v>
      </c>
      <c r="R89" s="28">
        <v>8</v>
      </c>
      <c r="S89" s="27"/>
      <c r="T89" s="28" t="s">
        <v>356</v>
      </c>
      <c r="U89" s="27"/>
    </row>
    <row r="90" spans="4:21" x14ac:dyDescent="0.3">
      <c r="M90" s="25" t="str">
        <f t="shared" si="9"/>
        <v>152</v>
      </c>
      <c r="N90" s="316"/>
      <c r="O90" s="316"/>
      <c r="P90" s="326"/>
      <c r="Q90" s="28">
        <f t="shared" si="11"/>
        <v>338</v>
      </c>
      <c r="R90" s="28">
        <v>8</v>
      </c>
      <c r="S90" s="27"/>
      <c r="T90" s="28" t="s">
        <v>356</v>
      </c>
      <c r="U90" s="27"/>
    </row>
    <row r="91" spans="4:21" x14ac:dyDescent="0.3">
      <c r="M91" s="25" t="str">
        <f t="shared" si="9"/>
        <v>153</v>
      </c>
      <c r="N91" s="316"/>
      <c r="O91" s="316"/>
      <c r="P91" s="326"/>
      <c r="Q91" s="28">
        <f t="shared" si="11"/>
        <v>339</v>
      </c>
      <c r="R91" s="28">
        <v>8</v>
      </c>
      <c r="S91" s="27"/>
      <c r="T91" s="28" t="s">
        <v>356</v>
      </c>
      <c r="U91" s="27"/>
    </row>
    <row r="92" spans="4:21" x14ac:dyDescent="0.3">
      <c r="M92" s="25" t="str">
        <f t="shared" si="9"/>
        <v>154</v>
      </c>
      <c r="N92" s="316"/>
      <c r="O92" s="316"/>
      <c r="P92" s="326"/>
      <c r="Q92" s="28">
        <f t="shared" si="11"/>
        <v>340</v>
      </c>
      <c r="R92" s="28">
        <v>8</v>
      </c>
      <c r="S92" s="27"/>
      <c r="T92" s="28" t="s">
        <v>356</v>
      </c>
      <c r="U92" s="27"/>
    </row>
    <row r="93" spans="4:21" x14ac:dyDescent="0.3">
      <c r="M93" s="25" t="str">
        <f t="shared" si="9"/>
        <v>155</v>
      </c>
      <c r="N93" s="316"/>
      <c r="O93" s="316"/>
      <c r="P93" s="326"/>
      <c r="Q93" s="28">
        <f t="shared" si="11"/>
        <v>341</v>
      </c>
      <c r="R93" s="28">
        <v>8</v>
      </c>
      <c r="S93" s="27"/>
      <c r="T93" s="28" t="s">
        <v>356</v>
      </c>
      <c r="U93" s="27"/>
    </row>
    <row r="94" spans="4:21" x14ac:dyDescent="0.3">
      <c r="M94" s="25" t="str">
        <f t="shared" si="9"/>
        <v>156</v>
      </c>
      <c r="N94" s="316"/>
      <c r="O94" s="316"/>
      <c r="P94" s="326"/>
      <c r="Q94" s="28">
        <f t="shared" si="11"/>
        <v>342</v>
      </c>
      <c r="R94" s="28">
        <v>8</v>
      </c>
      <c r="S94" s="27"/>
      <c r="T94" s="28" t="s">
        <v>356</v>
      </c>
      <c r="U94" s="27"/>
    </row>
    <row r="95" spans="4:21" x14ac:dyDescent="0.3">
      <c r="M95" s="25" t="str">
        <f t="shared" si="9"/>
        <v>157</v>
      </c>
      <c r="N95" s="316"/>
      <c r="O95" s="316"/>
      <c r="P95" s="326"/>
      <c r="Q95" s="28">
        <f t="shared" si="11"/>
        <v>343</v>
      </c>
      <c r="R95" s="28">
        <v>8</v>
      </c>
      <c r="S95" s="27"/>
      <c r="T95" s="28" t="s">
        <v>356</v>
      </c>
      <c r="U95" s="27"/>
    </row>
    <row r="96" spans="4:21" x14ac:dyDescent="0.3">
      <c r="M96" s="25" t="str">
        <f t="shared" si="9"/>
        <v>158</v>
      </c>
      <c r="N96" s="316"/>
      <c r="O96" s="316"/>
      <c r="P96" s="326"/>
      <c r="Q96" s="28">
        <f t="shared" si="11"/>
        <v>344</v>
      </c>
      <c r="R96" s="28">
        <v>8</v>
      </c>
      <c r="S96" s="27"/>
      <c r="T96" s="28" t="s">
        <v>356</v>
      </c>
      <c r="U96" s="27"/>
    </row>
    <row r="97" spans="13:21" x14ac:dyDescent="0.3">
      <c r="M97" s="25" t="str">
        <f t="shared" si="9"/>
        <v>159</v>
      </c>
      <c r="N97" s="316"/>
      <c r="O97" s="316"/>
      <c r="P97" s="326"/>
      <c r="Q97" s="28">
        <f t="shared" si="11"/>
        <v>345</v>
      </c>
      <c r="R97" s="28">
        <v>8</v>
      </c>
      <c r="S97" s="27"/>
      <c r="T97" s="28" t="s">
        <v>356</v>
      </c>
      <c r="U97" s="27"/>
    </row>
    <row r="98" spans="13:21" x14ac:dyDescent="0.3">
      <c r="M98" s="25" t="str">
        <f t="shared" si="9"/>
        <v>15A</v>
      </c>
      <c r="N98" s="316"/>
      <c r="O98" s="316"/>
      <c r="P98" s="326"/>
      <c r="Q98" s="28">
        <f t="shared" si="11"/>
        <v>346</v>
      </c>
      <c r="R98" s="28">
        <v>8</v>
      </c>
      <c r="S98" s="27"/>
      <c r="T98" s="28" t="s">
        <v>356</v>
      </c>
      <c r="U98" s="27"/>
    </row>
    <row r="99" spans="13:21" x14ac:dyDescent="0.3">
      <c r="M99" s="25" t="str">
        <f t="shared" si="9"/>
        <v>15B</v>
      </c>
      <c r="N99" s="316"/>
      <c r="O99" s="316"/>
      <c r="P99" s="326"/>
      <c r="Q99" s="28">
        <f t="shared" si="11"/>
        <v>347</v>
      </c>
      <c r="R99" s="28">
        <v>8</v>
      </c>
      <c r="S99" s="27"/>
      <c r="T99" s="28" t="s">
        <v>356</v>
      </c>
      <c r="U99" s="27"/>
    </row>
    <row r="100" spans="13:21" x14ac:dyDescent="0.3">
      <c r="M100" s="25" t="str">
        <f t="shared" si="9"/>
        <v>15C</v>
      </c>
      <c r="N100" s="316"/>
      <c r="O100" s="316"/>
      <c r="P100" s="326"/>
      <c r="Q100" s="28">
        <f t="shared" si="11"/>
        <v>348</v>
      </c>
      <c r="R100" s="28">
        <v>8</v>
      </c>
      <c r="S100" s="27"/>
      <c r="T100" s="28" t="s">
        <v>356</v>
      </c>
      <c r="U100" s="27"/>
    </row>
    <row r="101" spans="13:21" x14ac:dyDescent="0.3">
      <c r="M101" s="25" t="str">
        <f t="shared" si="9"/>
        <v>15D</v>
      </c>
      <c r="N101" s="316"/>
      <c r="O101" s="316"/>
      <c r="P101" s="326"/>
      <c r="Q101" s="28">
        <f t="shared" si="11"/>
        <v>349</v>
      </c>
      <c r="R101" s="28">
        <v>8</v>
      </c>
      <c r="S101" s="27"/>
      <c r="T101" s="28" t="s">
        <v>356</v>
      </c>
      <c r="U101" s="27"/>
    </row>
    <row r="102" spans="13:21" x14ac:dyDescent="0.3">
      <c r="M102" s="25" t="str">
        <f t="shared" si="9"/>
        <v>15E</v>
      </c>
      <c r="N102" s="316"/>
      <c r="O102" s="316"/>
      <c r="P102" s="326"/>
      <c r="Q102" s="28">
        <f t="shared" si="11"/>
        <v>350</v>
      </c>
      <c r="R102" s="28">
        <v>8</v>
      </c>
      <c r="S102" s="27"/>
      <c r="T102" s="28" t="s">
        <v>356</v>
      </c>
      <c r="U102" s="27"/>
    </row>
    <row r="103" spans="13:21" x14ac:dyDescent="0.3">
      <c r="M103" s="25" t="str">
        <f t="shared" si="9"/>
        <v>15F</v>
      </c>
      <c r="N103" s="316"/>
      <c r="O103" s="316"/>
      <c r="P103" s="326"/>
      <c r="Q103" s="28">
        <f t="shared" si="11"/>
        <v>351</v>
      </c>
      <c r="R103" s="28">
        <v>8</v>
      </c>
      <c r="S103" s="27"/>
      <c r="T103" s="28" t="s">
        <v>356</v>
      </c>
      <c r="U103" s="27"/>
    </row>
    <row r="104" spans="13:21" x14ac:dyDescent="0.3">
      <c r="M104" s="25" t="str">
        <f t="shared" ref="M104:M113" si="12">DEC2HEX(Q104)</f>
        <v>160</v>
      </c>
      <c r="N104" s="316"/>
      <c r="O104" s="316"/>
      <c r="P104" s="326"/>
      <c r="Q104" s="28">
        <f t="shared" si="11"/>
        <v>352</v>
      </c>
      <c r="R104" s="28">
        <v>8</v>
      </c>
      <c r="S104" s="27"/>
      <c r="T104" s="28" t="s">
        <v>356</v>
      </c>
      <c r="U104" s="27"/>
    </row>
    <row r="105" spans="13:21" x14ac:dyDescent="0.3">
      <c r="M105" s="25" t="str">
        <f t="shared" si="12"/>
        <v>161</v>
      </c>
      <c r="N105" s="316"/>
      <c r="O105" s="316"/>
      <c r="P105" s="326"/>
      <c r="Q105" s="28">
        <f t="shared" ref="Q105:Q113" si="13">Q104+R104/8</f>
        <v>353</v>
      </c>
      <c r="R105" s="28">
        <v>8</v>
      </c>
      <c r="S105" s="27"/>
      <c r="T105" s="28" t="s">
        <v>356</v>
      </c>
      <c r="U105" s="27"/>
    </row>
    <row r="106" spans="13:21" x14ac:dyDescent="0.3">
      <c r="M106" s="25" t="str">
        <f t="shared" si="12"/>
        <v>162</v>
      </c>
      <c r="N106" s="316"/>
      <c r="O106" s="316"/>
      <c r="P106" s="326"/>
      <c r="Q106" s="28">
        <f t="shared" si="13"/>
        <v>354</v>
      </c>
      <c r="R106" s="28">
        <v>8</v>
      </c>
      <c r="S106" s="27"/>
      <c r="T106" s="28" t="s">
        <v>356</v>
      </c>
      <c r="U106" s="27"/>
    </row>
    <row r="107" spans="13:21" x14ac:dyDescent="0.3">
      <c r="M107" s="25" t="str">
        <f t="shared" si="12"/>
        <v>163</v>
      </c>
      <c r="N107" s="316"/>
      <c r="O107" s="316"/>
      <c r="P107" s="326"/>
      <c r="Q107" s="28">
        <f t="shared" si="13"/>
        <v>355</v>
      </c>
      <c r="R107" s="28">
        <v>8</v>
      </c>
      <c r="S107" s="27"/>
      <c r="T107" s="28" t="s">
        <v>356</v>
      </c>
      <c r="U107" s="27"/>
    </row>
    <row r="108" spans="13:21" x14ac:dyDescent="0.3">
      <c r="M108" s="25" t="str">
        <f t="shared" si="12"/>
        <v>164</v>
      </c>
      <c r="N108" s="316"/>
      <c r="O108" s="316"/>
      <c r="P108" s="326"/>
      <c r="Q108" s="28">
        <f t="shared" si="13"/>
        <v>356</v>
      </c>
      <c r="R108" s="28">
        <v>8</v>
      </c>
      <c r="S108" s="27"/>
      <c r="T108" s="28" t="s">
        <v>356</v>
      </c>
      <c r="U108" s="27"/>
    </row>
    <row r="109" spans="13:21" x14ac:dyDescent="0.3">
      <c r="M109" s="25" t="str">
        <f t="shared" si="12"/>
        <v>165</v>
      </c>
      <c r="N109" s="316"/>
      <c r="O109" s="316"/>
      <c r="P109" s="326"/>
      <c r="Q109" s="28">
        <f t="shared" si="13"/>
        <v>357</v>
      </c>
      <c r="R109" s="28">
        <v>8</v>
      </c>
      <c r="S109" s="27"/>
      <c r="T109" s="28" t="s">
        <v>356</v>
      </c>
      <c r="U109" s="27"/>
    </row>
    <row r="110" spans="13:21" x14ac:dyDescent="0.3">
      <c r="M110" s="25" t="str">
        <f t="shared" si="12"/>
        <v>166</v>
      </c>
      <c r="N110" s="316"/>
      <c r="O110" s="316"/>
      <c r="P110" s="326"/>
      <c r="Q110" s="28">
        <f t="shared" si="13"/>
        <v>358</v>
      </c>
      <c r="R110" s="28">
        <v>8</v>
      </c>
      <c r="S110" s="27"/>
      <c r="T110" s="28" t="s">
        <v>356</v>
      </c>
      <c r="U110" s="27"/>
    </row>
    <row r="111" spans="13:21" x14ac:dyDescent="0.3">
      <c r="M111" s="25" t="str">
        <f t="shared" si="12"/>
        <v>167</v>
      </c>
      <c r="N111" s="316"/>
      <c r="O111" s="316"/>
      <c r="P111" s="326"/>
      <c r="Q111" s="28">
        <f t="shared" si="13"/>
        <v>359</v>
      </c>
      <c r="R111" s="28">
        <v>8</v>
      </c>
      <c r="S111" s="27"/>
      <c r="T111" s="28" t="s">
        <v>356</v>
      </c>
      <c r="U111" s="27"/>
    </row>
    <row r="112" spans="13:21" x14ac:dyDescent="0.3">
      <c r="M112" s="25" t="str">
        <f t="shared" si="12"/>
        <v>168</v>
      </c>
      <c r="N112" s="316"/>
      <c r="O112" s="316"/>
      <c r="P112" s="326"/>
      <c r="Q112" s="28">
        <f t="shared" si="13"/>
        <v>360</v>
      </c>
      <c r="R112" s="28">
        <v>8</v>
      </c>
      <c r="S112" s="27"/>
      <c r="T112" s="28" t="s">
        <v>356</v>
      </c>
      <c r="U112" s="27"/>
    </row>
    <row r="113" spans="13:21" x14ac:dyDescent="0.3">
      <c r="M113" s="25" t="str">
        <f t="shared" si="12"/>
        <v>169</v>
      </c>
      <c r="N113" s="316"/>
      <c r="O113" s="316"/>
      <c r="P113" s="327"/>
      <c r="Q113" s="28">
        <f t="shared" si="13"/>
        <v>361</v>
      </c>
      <c r="R113" s="28">
        <v>8</v>
      </c>
      <c r="S113" s="27"/>
      <c r="T113" s="28" t="s">
        <v>356</v>
      </c>
      <c r="U113" s="27"/>
    </row>
  </sheetData>
  <mergeCells count="16">
    <mergeCell ref="R6:R7"/>
    <mergeCell ref="S6:S7"/>
    <mergeCell ref="T6:T7"/>
    <mergeCell ref="P8:P113"/>
    <mergeCell ref="G6:G7"/>
    <mergeCell ref="H6:H7"/>
    <mergeCell ref="I6:I7"/>
    <mergeCell ref="O6:Q6"/>
    <mergeCell ref="O8:O113"/>
    <mergeCell ref="C6:F6"/>
    <mergeCell ref="C8:C80"/>
    <mergeCell ref="N8:N113"/>
    <mergeCell ref="H43:H44"/>
    <mergeCell ref="H45:H46"/>
    <mergeCell ref="E8:E83"/>
    <mergeCell ref="D8:D83"/>
  </mergeCells>
  <phoneticPr fontId="1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F234"/>
  <sheetViews>
    <sheetView tabSelected="1" topLeftCell="C76" zoomScale="85" zoomScaleNormal="85" workbookViewId="0">
      <selection activeCell="G223" sqref="G223"/>
    </sheetView>
  </sheetViews>
  <sheetFormatPr defaultColWidth="9" defaultRowHeight="16.5" x14ac:dyDescent="0.3"/>
  <cols>
    <col min="1" max="2" width="0" style="26" hidden="1" customWidth="1"/>
    <col min="3" max="4" width="10.875" style="26" customWidth="1"/>
    <col min="5" max="5" width="10.375" style="26" customWidth="1"/>
    <col min="6" max="6" width="7.625" style="26" customWidth="1"/>
    <col min="7" max="7" width="11.625" style="26" customWidth="1"/>
    <col min="8" max="8" width="9.625" style="26" customWidth="1"/>
    <col min="9" max="9" width="8.125" style="26" customWidth="1"/>
    <col min="10" max="11" width="11.625" style="26" customWidth="1"/>
    <col min="12" max="12" width="11.5" style="26" bestFit="1" customWidth="1"/>
    <col min="13" max="18" width="9" style="26"/>
    <col min="19" max="19" width="14.875" style="26" bestFit="1" customWidth="1"/>
    <col min="20" max="20" width="9" style="26"/>
    <col min="21" max="21" width="11.125" style="26" customWidth="1"/>
    <col min="22" max="31" width="9" style="26"/>
    <col min="32" max="32" width="37" style="26" customWidth="1"/>
    <col min="33" max="16384" width="9" style="26"/>
  </cols>
  <sheetData>
    <row r="3" spans="1:30" x14ac:dyDescent="0.3">
      <c r="H3" s="341" t="s">
        <v>858</v>
      </c>
      <c r="I3" s="341"/>
      <c r="J3" s="341"/>
      <c r="K3" s="341"/>
      <c r="L3" s="341"/>
      <c r="M3" s="341"/>
      <c r="N3" s="341"/>
      <c r="O3" s="341"/>
      <c r="P3" s="341"/>
      <c r="T3" s="341" t="s">
        <v>857</v>
      </c>
      <c r="U3" s="341"/>
      <c r="V3" s="341"/>
      <c r="W3" s="341"/>
      <c r="X3" s="341"/>
      <c r="Y3" s="341"/>
      <c r="Z3" s="341"/>
      <c r="AA3" s="341"/>
      <c r="AB3" s="341"/>
    </row>
    <row r="4" spans="1:30" x14ac:dyDescent="0.3">
      <c r="H4" s="28" t="s">
        <v>856</v>
      </c>
      <c r="I4" s="28">
        <v>7</v>
      </c>
      <c r="J4" s="28">
        <v>6</v>
      </c>
      <c r="K4" s="28">
        <v>5</v>
      </c>
      <c r="L4" s="28">
        <v>4</v>
      </c>
      <c r="M4" s="28">
        <v>3</v>
      </c>
      <c r="N4" s="28">
        <v>2</v>
      </c>
      <c r="O4" s="28">
        <v>1</v>
      </c>
      <c r="P4" s="28">
        <v>0</v>
      </c>
      <c r="T4" s="28" t="s">
        <v>856</v>
      </c>
      <c r="U4" s="28">
        <v>7</v>
      </c>
      <c r="V4" s="28">
        <v>6</v>
      </c>
      <c r="W4" s="28">
        <v>5</v>
      </c>
      <c r="X4" s="28">
        <v>4</v>
      </c>
      <c r="Y4" s="28">
        <v>3</v>
      </c>
      <c r="Z4" s="28">
        <v>2</v>
      </c>
      <c r="AA4" s="28">
        <v>1</v>
      </c>
      <c r="AB4" s="28">
        <v>0</v>
      </c>
    </row>
    <row r="5" spans="1:30" x14ac:dyDescent="0.3">
      <c r="H5" s="28" t="s">
        <v>837</v>
      </c>
      <c r="I5" s="328" t="s">
        <v>855</v>
      </c>
      <c r="J5" s="329"/>
      <c r="K5" s="329"/>
      <c r="L5" s="329"/>
      <c r="M5" s="329"/>
      <c r="N5" s="329"/>
      <c r="O5" s="329"/>
      <c r="P5" s="330"/>
      <c r="T5" s="28" t="s">
        <v>837</v>
      </c>
      <c r="U5" s="328" t="s">
        <v>855</v>
      </c>
      <c r="V5" s="329"/>
      <c r="W5" s="329"/>
      <c r="X5" s="329"/>
      <c r="Y5" s="329"/>
      <c r="Z5" s="329"/>
      <c r="AA5" s="329"/>
      <c r="AB5" s="330"/>
      <c r="AD5" s="28"/>
    </row>
    <row r="6" spans="1:30" x14ac:dyDescent="0.3">
      <c r="H6" s="28" t="s">
        <v>836</v>
      </c>
      <c r="I6" s="328" t="s">
        <v>855</v>
      </c>
      <c r="J6" s="329"/>
      <c r="K6" s="329"/>
      <c r="L6" s="329"/>
      <c r="M6" s="329"/>
      <c r="N6" s="329"/>
      <c r="O6" s="329"/>
      <c r="P6" s="330"/>
      <c r="T6" s="28" t="s">
        <v>836</v>
      </c>
      <c r="U6" s="328" t="s">
        <v>855</v>
      </c>
      <c r="V6" s="329"/>
      <c r="W6" s="329"/>
      <c r="X6" s="329"/>
      <c r="Y6" s="329"/>
      <c r="Z6" s="329"/>
      <c r="AA6" s="329"/>
      <c r="AB6" s="330"/>
      <c r="AD6" s="28"/>
    </row>
    <row r="8" spans="1:30" x14ac:dyDescent="0.3">
      <c r="C8" s="332"/>
      <c r="D8" s="332"/>
      <c r="E8" s="332"/>
      <c r="G8" s="25"/>
      <c r="H8" s="25"/>
      <c r="I8" s="25"/>
      <c r="J8" s="25"/>
      <c r="K8" s="25"/>
    </row>
    <row r="9" spans="1:30" x14ac:dyDescent="0.3">
      <c r="B9" s="26" t="s">
        <v>854</v>
      </c>
      <c r="D9" s="328" t="s">
        <v>275</v>
      </c>
      <c r="E9" s="329"/>
      <c r="F9" s="329"/>
      <c r="G9" s="330"/>
      <c r="H9" s="314" t="s">
        <v>1224</v>
      </c>
      <c r="I9" s="314"/>
      <c r="J9" s="314" t="s">
        <v>853</v>
      </c>
      <c r="K9" s="314"/>
      <c r="L9" s="331" t="s">
        <v>1223</v>
      </c>
    </row>
    <row r="10" spans="1:30" x14ac:dyDescent="0.3">
      <c r="D10" s="28" t="s">
        <v>278</v>
      </c>
      <c r="E10" s="28" t="s">
        <v>852</v>
      </c>
      <c r="F10" s="28" t="s">
        <v>398</v>
      </c>
      <c r="G10" s="28" t="s">
        <v>851</v>
      </c>
      <c r="H10" s="314"/>
      <c r="I10" s="314"/>
      <c r="J10" s="314"/>
      <c r="K10" s="314"/>
      <c r="L10" s="331"/>
    </row>
    <row r="11" spans="1:30" x14ac:dyDescent="0.3">
      <c r="B11" s="26" t="s">
        <v>850</v>
      </c>
      <c r="D11" s="316">
        <v>0</v>
      </c>
      <c r="E11" s="337">
        <v>12</v>
      </c>
      <c r="F11" s="320">
        <v>0</v>
      </c>
      <c r="G11" s="28">
        <v>0</v>
      </c>
      <c r="H11" s="28" t="s">
        <v>736</v>
      </c>
      <c r="I11" s="28">
        <f t="shared" ref="I11:I42" si="0">VLOOKUP(H11,$P$14:$Q$112,2,FALSE)</f>
        <v>33</v>
      </c>
      <c r="J11" s="323" t="s">
        <v>243</v>
      </c>
      <c r="K11" s="28" t="s">
        <v>849</v>
      </c>
      <c r="L11" s="331" t="s">
        <v>848</v>
      </c>
      <c r="M11" s="332">
        <v>0</v>
      </c>
    </row>
    <row r="12" spans="1:30" x14ac:dyDescent="0.3">
      <c r="B12" s="26" t="s">
        <v>847</v>
      </c>
      <c r="D12" s="316"/>
      <c r="E12" s="338"/>
      <c r="F12" s="315"/>
      <c r="G12" s="28">
        <v>1</v>
      </c>
      <c r="H12" s="28" t="s">
        <v>670</v>
      </c>
      <c r="I12" s="28">
        <f t="shared" si="0"/>
        <v>57</v>
      </c>
      <c r="J12" s="339"/>
      <c r="K12" s="28" t="s">
        <v>846</v>
      </c>
      <c r="L12" s="331"/>
      <c r="M12" s="332"/>
      <c r="P12" s="336" t="s">
        <v>845</v>
      </c>
      <c r="Q12" s="336"/>
      <c r="S12" s="314" t="s">
        <v>844</v>
      </c>
      <c r="T12" s="314"/>
      <c r="U12" s="25"/>
      <c r="V12" s="333" t="s">
        <v>843</v>
      </c>
      <c r="W12" s="335"/>
      <c r="Z12" s="333" t="s">
        <v>842</v>
      </c>
      <c r="AA12" s="334"/>
      <c r="AB12" s="335"/>
    </row>
    <row r="13" spans="1:30" x14ac:dyDescent="0.3">
      <c r="A13" s="26">
        <v>0</v>
      </c>
      <c r="B13" s="26" t="s">
        <v>841</v>
      </c>
      <c r="D13" s="316"/>
      <c r="E13" s="338"/>
      <c r="F13" s="315"/>
      <c r="G13" s="28">
        <v>2</v>
      </c>
      <c r="H13" s="28" t="s">
        <v>733</v>
      </c>
      <c r="I13" s="28">
        <f t="shared" si="0"/>
        <v>34</v>
      </c>
      <c r="J13" s="339"/>
      <c r="K13" s="28" t="s">
        <v>840</v>
      </c>
      <c r="L13" s="331" t="s">
        <v>839</v>
      </c>
      <c r="M13" s="332">
        <v>1</v>
      </c>
      <c r="P13" s="31" t="s">
        <v>277</v>
      </c>
      <c r="Q13" s="31" t="s">
        <v>838</v>
      </c>
      <c r="S13" s="28" t="s">
        <v>277</v>
      </c>
      <c r="T13" s="28" t="s">
        <v>838</v>
      </c>
      <c r="U13" s="25"/>
      <c r="V13" s="31" t="s">
        <v>277</v>
      </c>
      <c r="W13" s="31" t="s">
        <v>838</v>
      </c>
      <c r="Z13" s="31" t="s">
        <v>837</v>
      </c>
      <c r="AA13" s="31" t="s">
        <v>836</v>
      </c>
      <c r="AB13" s="31"/>
    </row>
    <row r="14" spans="1:30" x14ac:dyDescent="0.3">
      <c r="A14" s="26">
        <v>1</v>
      </c>
      <c r="B14" s="26" t="s">
        <v>835</v>
      </c>
      <c r="D14" s="316"/>
      <c r="E14" s="338"/>
      <c r="F14" s="315"/>
      <c r="G14" s="28">
        <v>3</v>
      </c>
      <c r="H14" s="28" t="s">
        <v>667</v>
      </c>
      <c r="I14" s="28">
        <f t="shared" si="0"/>
        <v>58</v>
      </c>
      <c r="J14" s="339"/>
      <c r="K14" s="28" t="s">
        <v>834</v>
      </c>
      <c r="L14" s="331"/>
      <c r="M14" s="332"/>
      <c r="P14" s="31" t="s">
        <v>833</v>
      </c>
      <c r="Q14" s="36">
        <v>0</v>
      </c>
      <c r="S14" s="133" t="s">
        <v>832</v>
      </c>
      <c r="T14" s="133">
        <v>0</v>
      </c>
      <c r="U14" s="25"/>
      <c r="V14" s="36" t="s">
        <v>831</v>
      </c>
      <c r="W14" s="36">
        <v>0</v>
      </c>
      <c r="Z14" s="31">
        <v>0</v>
      </c>
      <c r="AA14" s="31">
        <v>0</v>
      </c>
      <c r="AB14" s="31"/>
    </row>
    <row r="15" spans="1:30" x14ac:dyDescent="0.3">
      <c r="A15" s="26">
        <v>2</v>
      </c>
      <c r="B15" s="26" t="s">
        <v>830</v>
      </c>
      <c r="D15" s="316"/>
      <c r="E15" s="338"/>
      <c r="F15" s="315"/>
      <c r="G15" s="28">
        <v>4</v>
      </c>
      <c r="H15" s="28" t="s">
        <v>298</v>
      </c>
      <c r="I15" s="28">
        <f t="shared" si="0"/>
        <v>35</v>
      </c>
      <c r="J15" s="339"/>
      <c r="K15" s="28" t="s">
        <v>829</v>
      </c>
      <c r="L15" s="331" t="s">
        <v>828</v>
      </c>
      <c r="M15" s="332">
        <v>2</v>
      </c>
      <c r="P15" s="31" t="s">
        <v>190</v>
      </c>
      <c r="Q15" s="36">
        <v>1</v>
      </c>
      <c r="S15" s="133" t="s">
        <v>827</v>
      </c>
      <c r="T15" s="133">
        <v>1</v>
      </c>
      <c r="U15" s="25"/>
      <c r="V15" s="36" t="s">
        <v>190</v>
      </c>
      <c r="W15" s="36">
        <v>1</v>
      </c>
      <c r="Z15" s="31">
        <v>0</v>
      </c>
      <c r="AA15" s="31">
        <v>1</v>
      </c>
      <c r="AB15" s="31" t="s">
        <v>826</v>
      </c>
    </row>
    <row r="16" spans="1:30" x14ac:dyDescent="0.3">
      <c r="A16" s="26">
        <v>3</v>
      </c>
      <c r="B16" s="26" t="s">
        <v>825</v>
      </c>
      <c r="D16" s="316"/>
      <c r="E16" s="338"/>
      <c r="F16" s="315"/>
      <c r="G16" s="28">
        <v>5</v>
      </c>
      <c r="H16" s="28" t="s">
        <v>314</v>
      </c>
      <c r="I16" s="28">
        <f t="shared" si="0"/>
        <v>59</v>
      </c>
      <c r="J16" s="339"/>
      <c r="K16" s="28" t="s">
        <v>824</v>
      </c>
      <c r="L16" s="331"/>
      <c r="M16" s="332"/>
      <c r="P16" s="31" t="s">
        <v>193</v>
      </c>
      <c r="Q16" s="36">
        <v>2</v>
      </c>
      <c r="S16" s="133" t="s">
        <v>823</v>
      </c>
      <c r="T16" s="133">
        <v>2</v>
      </c>
      <c r="U16" s="25"/>
      <c r="V16" s="36" t="s">
        <v>193</v>
      </c>
      <c r="W16" s="36">
        <v>2</v>
      </c>
      <c r="Z16" s="31">
        <v>1</v>
      </c>
      <c r="AA16" s="31">
        <v>0</v>
      </c>
      <c r="AB16" s="31" t="s">
        <v>822</v>
      </c>
    </row>
    <row r="17" spans="1:32" x14ac:dyDescent="0.3">
      <c r="A17" s="26">
        <v>4</v>
      </c>
      <c r="B17" s="26" t="s">
        <v>821</v>
      </c>
      <c r="D17" s="316"/>
      <c r="E17" s="338"/>
      <c r="F17" s="315"/>
      <c r="G17" s="28">
        <v>6</v>
      </c>
      <c r="H17" s="28" t="s">
        <v>299</v>
      </c>
      <c r="I17" s="28">
        <f t="shared" si="0"/>
        <v>36</v>
      </c>
      <c r="J17" s="339"/>
      <c r="K17" s="28" t="s">
        <v>820</v>
      </c>
      <c r="L17" s="331" t="s">
        <v>819</v>
      </c>
      <c r="M17" s="332">
        <v>3</v>
      </c>
      <c r="P17" s="31" t="s">
        <v>196</v>
      </c>
      <c r="Q17" s="36">
        <v>3</v>
      </c>
      <c r="S17" s="133" t="s">
        <v>127</v>
      </c>
      <c r="T17" s="133">
        <v>3</v>
      </c>
      <c r="U17" s="25"/>
      <c r="V17" s="36" t="s">
        <v>196</v>
      </c>
      <c r="W17" s="36">
        <v>3</v>
      </c>
      <c r="Z17" s="31">
        <v>1</v>
      </c>
      <c r="AA17" s="31">
        <v>1</v>
      </c>
      <c r="AB17" s="31" t="s">
        <v>818</v>
      </c>
      <c r="AE17" s="289" t="s">
        <v>1554</v>
      </c>
      <c r="AF17" s="289" t="s">
        <v>1554</v>
      </c>
    </row>
    <row r="18" spans="1:32" x14ac:dyDescent="0.3">
      <c r="A18" s="26">
        <v>5</v>
      </c>
      <c r="B18" s="26" t="s">
        <v>817</v>
      </c>
      <c r="D18" s="316"/>
      <c r="E18" s="338"/>
      <c r="F18" s="315"/>
      <c r="G18" s="28">
        <v>7</v>
      </c>
      <c r="H18" s="28" t="s">
        <v>315</v>
      </c>
      <c r="I18" s="28">
        <f t="shared" si="0"/>
        <v>60</v>
      </c>
      <c r="J18" s="339"/>
      <c r="K18" s="28" t="s">
        <v>816</v>
      </c>
      <c r="L18" s="331"/>
      <c r="M18" s="332"/>
      <c r="P18" s="31" t="s">
        <v>199</v>
      </c>
      <c r="Q18" s="36">
        <v>4</v>
      </c>
      <c r="S18" s="133" t="s">
        <v>128</v>
      </c>
      <c r="T18" s="133">
        <v>4</v>
      </c>
      <c r="U18" s="25"/>
      <c r="V18" s="36" t="s">
        <v>199</v>
      </c>
      <c r="W18" s="36">
        <v>4</v>
      </c>
      <c r="AE18" s="289" t="s">
        <v>1555</v>
      </c>
      <c r="AF18" s="289" t="s">
        <v>1555</v>
      </c>
    </row>
    <row r="19" spans="1:32" x14ac:dyDescent="0.3">
      <c r="A19" s="26">
        <v>6</v>
      </c>
      <c r="B19" s="26" t="s">
        <v>815</v>
      </c>
      <c r="D19" s="316"/>
      <c r="E19" s="338"/>
      <c r="F19" s="315"/>
      <c r="G19" s="28">
        <v>8</v>
      </c>
      <c r="H19" s="28" t="s">
        <v>300</v>
      </c>
      <c r="I19" s="28">
        <f t="shared" si="0"/>
        <v>37</v>
      </c>
      <c r="J19" s="339"/>
      <c r="K19" s="28" t="s">
        <v>814</v>
      </c>
      <c r="L19" s="331" t="s">
        <v>813</v>
      </c>
      <c r="M19" s="332">
        <v>4</v>
      </c>
      <c r="P19" s="31" t="s">
        <v>202</v>
      </c>
      <c r="Q19" s="36">
        <v>5</v>
      </c>
      <c r="S19" s="133" t="s">
        <v>97</v>
      </c>
      <c r="T19" s="133">
        <v>5</v>
      </c>
      <c r="U19" s="25"/>
      <c r="V19" s="36" t="s">
        <v>202</v>
      </c>
      <c r="W19" s="36">
        <v>5</v>
      </c>
      <c r="AE19" s="289" t="s">
        <v>1556</v>
      </c>
    </row>
    <row r="20" spans="1:32" x14ac:dyDescent="0.3">
      <c r="A20" s="26">
        <v>7</v>
      </c>
      <c r="B20" s="26" t="s">
        <v>812</v>
      </c>
      <c r="D20" s="316"/>
      <c r="E20" s="338"/>
      <c r="F20" s="315"/>
      <c r="G20" s="28">
        <v>9</v>
      </c>
      <c r="H20" s="28" t="s">
        <v>316</v>
      </c>
      <c r="I20" s="28">
        <f t="shared" si="0"/>
        <v>61</v>
      </c>
      <c r="J20" s="339"/>
      <c r="K20" s="28" t="s">
        <v>811</v>
      </c>
      <c r="L20" s="331"/>
      <c r="M20" s="332"/>
      <c r="P20" s="31" t="s">
        <v>205</v>
      </c>
      <c r="Q20" s="36">
        <v>6</v>
      </c>
      <c r="S20" s="133" t="s">
        <v>98</v>
      </c>
      <c r="T20" s="133">
        <v>6</v>
      </c>
      <c r="U20" s="25"/>
      <c r="V20" s="36" t="s">
        <v>205</v>
      </c>
      <c r="W20" s="36">
        <v>6</v>
      </c>
      <c r="AE20" s="289" t="s">
        <v>1557</v>
      </c>
    </row>
    <row r="21" spans="1:32" x14ac:dyDescent="0.3">
      <c r="A21" s="26">
        <v>8</v>
      </c>
      <c r="B21" s="26" t="s">
        <v>810</v>
      </c>
      <c r="D21" s="316"/>
      <c r="E21" s="338"/>
      <c r="F21" s="315"/>
      <c r="G21" s="28">
        <v>10</v>
      </c>
      <c r="H21" s="28" t="s">
        <v>301</v>
      </c>
      <c r="I21" s="28">
        <f t="shared" si="0"/>
        <v>38</v>
      </c>
      <c r="J21" s="339"/>
      <c r="K21" s="28" t="s">
        <v>809</v>
      </c>
      <c r="L21" s="331" t="s">
        <v>808</v>
      </c>
      <c r="M21" s="332">
        <v>5</v>
      </c>
      <c r="P21" s="31" t="s">
        <v>208</v>
      </c>
      <c r="Q21" s="36">
        <v>7</v>
      </c>
      <c r="S21" s="133" t="s">
        <v>165</v>
      </c>
      <c r="T21" s="133">
        <v>7</v>
      </c>
      <c r="U21" s="25"/>
      <c r="V21" s="36" t="s">
        <v>208</v>
      </c>
      <c r="W21" s="36">
        <v>7</v>
      </c>
      <c r="Z21" s="44" t="s">
        <v>807</v>
      </c>
    </row>
    <row r="22" spans="1:32" x14ac:dyDescent="0.3">
      <c r="A22" s="26">
        <v>9</v>
      </c>
      <c r="B22" s="26" t="s">
        <v>806</v>
      </c>
      <c r="D22" s="316"/>
      <c r="E22" s="338"/>
      <c r="F22" s="315"/>
      <c r="G22" s="28">
        <v>11</v>
      </c>
      <c r="H22" s="28" t="s">
        <v>317</v>
      </c>
      <c r="I22" s="28">
        <f t="shared" si="0"/>
        <v>62</v>
      </c>
      <c r="J22" s="339"/>
      <c r="K22" s="28" t="s">
        <v>805</v>
      </c>
      <c r="L22" s="331"/>
      <c r="M22" s="332"/>
      <c r="P22" s="31" t="s">
        <v>211</v>
      </c>
      <c r="Q22" s="36">
        <v>8</v>
      </c>
      <c r="S22" s="133" t="s">
        <v>175</v>
      </c>
      <c r="T22" s="133">
        <v>8</v>
      </c>
      <c r="U22" s="25"/>
      <c r="V22" s="36" t="s">
        <v>211</v>
      </c>
      <c r="W22" s="36">
        <v>8</v>
      </c>
      <c r="Z22" s="44"/>
      <c r="AA22" s="43"/>
      <c r="AB22" s="43"/>
    </row>
    <row r="23" spans="1:32" x14ac:dyDescent="0.3">
      <c r="A23" s="26">
        <v>10</v>
      </c>
      <c r="B23" s="26" t="s">
        <v>804</v>
      </c>
      <c r="D23" s="316"/>
      <c r="E23" s="338"/>
      <c r="F23" s="315"/>
      <c r="G23" s="28">
        <v>12</v>
      </c>
      <c r="H23" s="28" t="s">
        <v>302</v>
      </c>
      <c r="I23" s="28">
        <f t="shared" si="0"/>
        <v>39</v>
      </c>
      <c r="J23" s="339"/>
      <c r="K23" s="28" t="s">
        <v>803</v>
      </c>
      <c r="L23" s="331" t="s">
        <v>802</v>
      </c>
      <c r="M23" s="332">
        <v>6</v>
      </c>
      <c r="P23" s="31" t="s">
        <v>214</v>
      </c>
      <c r="Q23" s="36">
        <v>9</v>
      </c>
      <c r="S23" s="133" t="s">
        <v>801</v>
      </c>
      <c r="T23" s="133">
        <v>9</v>
      </c>
      <c r="U23" s="25"/>
      <c r="V23" s="36" t="s">
        <v>214</v>
      </c>
      <c r="W23" s="36">
        <v>9</v>
      </c>
    </row>
    <row r="24" spans="1:32" x14ac:dyDescent="0.3">
      <c r="A24" s="26">
        <v>11</v>
      </c>
      <c r="B24" s="26" t="s">
        <v>800</v>
      </c>
      <c r="D24" s="316"/>
      <c r="E24" s="338"/>
      <c r="F24" s="315"/>
      <c r="G24" s="28">
        <v>13</v>
      </c>
      <c r="H24" s="28" t="s">
        <v>318</v>
      </c>
      <c r="I24" s="28">
        <f t="shared" si="0"/>
        <v>63</v>
      </c>
      <c r="J24" s="339"/>
      <c r="K24" s="28" t="s">
        <v>799</v>
      </c>
      <c r="L24" s="331"/>
      <c r="M24" s="332"/>
      <c r="P24" s="31" t="s">
        <v>216</v>
      </c>
      <c r="Q24" s="36">
        <v>10</v>
      </c>
      <c r="S24" s="133" t="s">
        <v>798</v>
      </c>
      <c r="T24" s="133">
        <v>10</v>
      </c>
      <c r="U24" s="25"/>
      <c r="V24" s="36" t="s">
        <v>216</v>
      </c>
      <c r="W24" s="36">
        <v>10</v>
      </c>
    </row>
    <row r="25" spans="1:32" x14ac:dyDescent="0.3">
      <c r="A25" s="26">
        <v>12</v>
      </c>
      <c r="B25" s="26" t="s">
        <v>797</v>
      </c>
      <c r="D25" s="316"/>
      <c r="E25" s="338"/>
      <c r="F25" s="315"/>
      <c r="G25" s="28">
        <v>14</v>
      </c>
      <c r="H25" s="28" t="s">
        <v>303</v>
      </c>
      <c r="I25" s="28">
        <f t="shared" si="0"/>
        <v>40</v>
      </c>
      <c r="J25" s="339"/>
      <c r="K25" s="28" t="s">
        <v>796</v>
      </c>
      <c r="L25" s="331" t="s">
        <v>795</v>
      </c>
      <c r="M25" s="332">
        <v>7</v>
      </c>
      <c r="P25" s="31" t="s">
        <v>218</v>
      </c>
      <c r="Q25" s="36">
        <v>11</v>
      </c>
      <c r="S25" s="133" t="s">
        <v>794</v>
      </c>
      <c r="T25" s="133">
        <v>11</v>
      </c>
      <c r="U25" s="25"/>
      <c r="V25" s="36" t="s">
        <v>218</v>
      </c>
      <c r="W25" s="36">
        <v>11</v>
      </c>
      <c r="AD25" s="289" t="s">
        <v>1558</v>
      </c>
    </row>
    <row r="26" spans="1:32" x14ac:dyDescent="0.3">
      <c r="A26" s="26">
        <v>13</v>
      </c>
      <c r="B26" s="26" t="s">
        <v>793</v>
      </c>
      <c r="D26" s="316"/>
      <c r="E26" s="338"/>
      <c r="F26" s="315"/>
      <c r="G26" s="28">
        <v>15</v>
      </c>
      <c r="H26" s="28" t="s">
        <v>319</v>
      </c>
      <c r="I26" s="28">
        <f t="shared" si="0"/>
        <v>64</v>
      </c>
      <c r="J26" s="339"/>
      <c r="K26" s="28" t="s">
        <v>792</v>
      </c>
      <c r="L26" s="331"/>
      <c r="M26" s="332"/>
      <c r="P26" s="31" t="s">
        <v>220</v>
      </c>
      <c r="Q26" s="36">
        <v>12</v>
      </c>
      <c r="S26" s="133" t="s">
        <v>791</v>
      </c>
      <c r="T26" s="133">
        <v>12</v>
      </c>
      <c r="U26" s="25"/>
      <c r="V26" s="36" t="s">
        <v>220</v>
      </c>
      <c r="W26" s="36">
        <v>12</v>
      </c>
    </row>
    <row r="27" spans="1:32" x14ac:dyDescent="0.3">
      <c r="A27" s="26">
        <v>14</v>
      </c>
      <c r="B27" s="26" t="s">
        <v>790</v>
      </c>
      <c r="D27" s="316"/>
      <c r="E27" s="338"/>
      <c r="F27" s="315"/>
      <c r="G27" s="28">
        <v>16</v>
      </c>
      <c r="H27" s="28" t="s">
        <v>304</v>
      </c>
      <c r="I27" s="28">
        <f t="shared" si="0"/>
        <v>41</v>
      </c>
      <c r="J27" s="339"/>
      <c r="K27" s="28" t="s">
        <v>789</v>
      </c>
      <c r="L27" s="331" t="s">
        <v>788</v>
      </c>
      <c r="M27" s="332">
        <v>8</v>
      </c>
      <c r="P27" s="31" t="s">
        <v>222</v>
      </c>
      <c r="Q27" s="36">
        <v>13</v>
      </c>
      <c r="S27" s="133" t="s">
        <v>787</v>
      </c>
      <c r="T27" s="133">
        <v>13</v>
      </c>
      <c r="U27" s="25"/>
      <c r="V27" s="36" t="s">
        <v>222</v>
      </c>
      <c r="W27" s="36">
        <v>13</v>
      </c>
    </row>
    <row r="28" spans="1:32" x14ac:dyDescent="0.3">
      <c r="A28" s="26">
        <v>15</v>
      </c>
      <c r="B28" s="26" t="s">
        <v>786</v>
      </c>
      <c r="D28" s="316"/>
      <c r="E28" s="338"/>
      <c r="F28" s="315"/>
      <c r="G28" s="28">
        <v>17</v>
      </c>
      <c r="H28" s="28" t="s">
        <v>320</v>
      </c>
      <c r="I28" s="28">
        <f t="shared" si="0"/>
        <v>65</v>
      </c>
      <c r="J28" s="339"/>
      <c r="K28" s="28" t="s">
        <v>785</v>
      </c>
      <c r="L28" s="331"/>
      <c r="M28" s="332"/>
      <c r="P28" s="31" t="s">
        <v>224</v>
      </c>
      <c r="Q28" s="36">
        <v>14</v>
      </c>
      <c r="S28" s="133" t="s">
        <v>784</v>
      </c>
      <c r="T28" s="133">
        <v>14</v>
      </c>
      <c r="U28" s="25"/>
      <c r="V28" s="36" t="s">
        <v>224</v>
      </c>
      <c r="W28" s="36">
        <v>14</v>
      </c>
    </row>
    <row r="29" spans="1:32" x14ac:dyDescent="0.3">
      <c r="A29" s="26">
        <v>16</v>
      </c>
      <c r="B29" s="26" t="s">
        <v>783</v>
      </c>
      <c r="D29" s="316"/>
      <c r="E29" s="338"/>
      <c r="F29" s="315"/>
      <c r="G29" s="28">
        <v>18</v>
      </c>
      <c r="H29" s="28" t="s">
        <v>305</v>
      </c>
      <c r="I29" s="28">
        <f t="shared" si="0"/>
        <v>42</v>
      </c>
      <c r="J29" s="339"/>
      <c r="K29" s="28" t="s">
        <v>782</v>
      </c>
      <c r="L29" s="331" t="s">
        <v>781</v>
      </c>
      <c r="M29" s="332">
        <v>9</v>
      </c>
      <c r="P29" s="31" t="s">
        <v>226</v>
      </c>
      <c r="Q29" s="36">
        <v>15</v>
      </c>
      <c r="S29" s="133" t="s">
        <v>780</v>
      </c>
      <c r="T29" s="133">
        <v>15</v>
      </c>
      <c r="U29" s="25"/>
      <c r="V29" s="36" t="s">
        <v>226</v>
      </c>
      <c r="W29" s="36">
        <v>15</v>
      </c>
    </row>
    <row r="30" spans="1:32" x14ac:dyDescent="0.3">
      <c r="A30" s="26">
        <v>17</v>
      </c>
      <c r="B30" s="26" t="s">
        <v>779</v>
      </c>
      <c r="D30" s="316"/>
      <c r="E30" s="338"/>
      <c r="F30" s="315"/>
      <c r="G30" s="28">
        <v>19</v>
      </c>
      <c r="H30" s="28" t="s">
        <v>321</v>
      </c>
      <c r="I30" s="28">
        <f t="shared" si="0"/>
        <v>66</v>
      </c>
      <c r="J30" s="339"/>
      <c r="K30" s="28" t="s">
        <v>778</v>
      </c>
      <c r="L30" s="331"/>
      <c r="M30" s="332"/>
      <c r="P30" s="31" t="s">
        <v>228</v>
      </c>
      <c r="Q30" s="36">
        <v>16</v>
      </c>
      <c r="S30" s="133" t="s">
        <v>1422</v>
      </c>
      <c r="T30" s="133">
        <v>16</v>
      </c>
      <c r="U30" s="25"/>
      <c r="V30" s="36" t="s">
        <v>228</v>
      </c>
      <c r="W30" s="36">
        <v>16</v>
      </c>
    </row>
    <row r="31" spans="1:32" x14ac:dyDescent="0.3">
      <c r="A31" s="26">
        <v>18</v>
      </c>
      <c r="B31" s="26" t="s">
        <v>777</v>
      </c>
      <c r="D31" s="316"/>
      <c r="E31" s="338"/>
      <c r="F31" s="315"/>
      <c r="G31" s="28">
        <v>20</v>
      </c>
      <c r="H31" s="28" t="s">
        <v>306</v>
      </c>
      <c r="I31" s="28">
        <f t="shared" si="0"/>
        <v>43</v>
      </c>
      <c r="J31" s="339"/>
      <c r="K31" s="28" t="s">
        <v>776</v>
      </c>
      <c r="L31" s="331" t="s">
        <v>775</v>
      </c>
      <c r="M31" s="332">
        <v>10</v>
      </c>
      <c r="P31" s="31" t="s">
        <v>633</v>
      </c>
      <c r="Q31" s="36">
        <v>17</v>
      </c>
      <c r="S31" s="133" t="s">
        <v>1423</v>
      </c>
      <c r="T31" s="133">
        <v>17</v>
      </c>
      <c r="U31" s="25"/>
      <c r="V31" s="36" t="s">
        <v>633</v>
      </c>
      <c r="W31" s="36">
        <v>17</v>
      </c>
    </row>
    <row r="32" spans="1:32" x14ac:dyDescent="0.3">
      <c r="A32" s="26">
        <v>19</v>
      </c>
      <c r="B32" s="26" t="s">
        <v>774</v>
      </c>
      <c r="D32" s="316"/>
      <c r="E32" s="338"/>
      <c r="F32" s="315"/>
      <c r="G32" s="28">
        <v>21</v>
      </c>
      <c r="H32" s="28" t="s">
        <v>322</v>
      </c>
      <c r="I32" s="28">
        <f t="shared" si="0"/>
        <v>67</v>
      </c>
      <c r="J32" s="339"/>
      <c r="K32" s="28" t="s">
        <v>773</v>
      </c>
      <c r="L32" s="331"/>
      <c r="M32" s="332"/>
      <c r="P32" s="31" t="s">
        <v>194</v>
      </c>
      <c r="Q32" s="36">
        <v>18</v>
      </c>
      <c r="S32" s="133" t="s">
        <v>736</v>
      </c>
      <c r="T32" s="133">
        <v>18</v>
      </c>
      <c r="U32" s="25"/>
      <c r="V32" s="36" t="s">
        <v>194</v>
      </c>
      <c r="W32" s="36">
        <v>18</v>
      </c>
    </row>
    <row r="33" spans="1:29" x14ac:dyDescent="0.3">
      <c r="A33" s="26">
        <v>20</v>
      </c>
      <c r="B33" s="26" t="s">
        <v>772</v>
      </c>
      <c r="D33" s="316"/>
      <c r="E33" s="338"/>
      <c r="F33" s="315"/>
      <c r="G33" s="28">
        <v>22</v>
      </c>
      <c r="H33" s="28" t="s">
        <v>307</v>
      </c>
      <c r="I33" s="28">
        <f t="shared" si="0"/>
        <v>44</v>
      </c>
      <c r="J33" s="339"/>
      <c r="K33" s="28" t="s">
        <v>771</v>
      </c>
      <c r="L33" s="331" t="s">
        <v>770</v>
      </c>
      <c r="M33" s="332">
        <v>11</v>
      </c>
      <c r="P33" s="31" t="s">
        <v>197</v>
      </c>
      <c r="Q33" s="36">
        <v>19</v>
      </c>
      <c r="S33" s="133" t="s">
        <v>733</v>
      </c>
      <c r="T33" s="133">
        <v>19</v>
      </c>
      <c r="U33" s="25"/>
      <c r="V33" s="36" t="s">
        <v>197</v>
      </c>
      <c r="W33" s="36">
        <v>19</v>
      </c>
    </row>
    <row r="34" spans="1:29" x14ac:dyDescent="0.3">
      <c r="A34" s="26">
        <v>21</v>
      </c>
      <c r="B34" s="26" t="s">
        <v>769</v>
      </c>
      <c r="D34" s="316"/>
      <c r="E34" s="338"/>
      <c r="F34" s="315"/>
      <c r="G34" s="28">
        <v>23</v>
      </c>
      <c r="H34" s="28" t="s">
        <v>323</v>
      </c>
      <c r="I34" s="28">
        <f t="shared" si="0"/>
        <v>68</v>
      </c>
      <c r="J34" s="339"/>
      <c r="K34" s="28" t="s">
        <v>768</v>
      </c>
      <c r="L34" s="331"/>
      <c r="M34" s="332"/>
      <c r="P34" s="31" t="s">
        <v>200</v>
      </c>
      <c r="Q34" s="36">
        <v>20</v>
      </c>
      <c r="S34" s="133" t="s">
        <v>298</v>
      </c>
      <c r="T34" s="133">
        <v>20</v>
      </c>
      <c r="U34" s="25"/>
      <c r="V34" s="36" t="s">
        <v>200</v>
      </c>
      <c r="W34" s="36">
        <v>20</v>
      </c>
    </row>
    <row r="35" spans="1:29" x14ac:dyDescent="0.3">
      <c r="A35" s="26">
        <v>22</v>
      </c>
      <c r="B35" s="26" t="s">
        <v>767</v>
      </c>
      <c r="D35" s="316"/>
      <c r="E35" s="338"/>
      <c r="F35" s="315"/>
      <c r="G35" s="28">
        <v>24</v>
      </c>
      <c r="H35" s="28" t="s">
        <v>308</v>
      </c>
      <c r="I35" s="28">
        <f t="shared" si="0"/>
        <v>45</v>
      </c>
      <c r="J35" s="339"/>
      <c r="K35" s="28" t="s">
        <v>766</v>
      </c>
      <c r="L35" s="331" t="s">
        <v>765</v>
      </c>
      <c r="M35" s="332">
        <v>12</v>
      </c>
      <c r="P35" s="31" t="s">
        <v>203</v>
      </c>
      <c r="Q35" s="36">
        <v>21</v>
      </c>
      <c r="S35" s="133" t="s">
        <v>299</v>
      </c>
      <c r="T35" s="133">
        <v>21</v>
      </c>
      <c r="U35" s="25"/>
      <c r="V35" s="36" t="s">
        <v>203</v>
      </c>
      <c r="W35" s="36">
        <v>21</v>
      </c>
    </row>
    <row r="36" spans="1:29" x14ac:dyDescent="0.3">
      <c r="A36" s="26">
        <v>23</v>
      </c>
      <c r="B36" s="26" t="s">
        <v>764</v>
      </c>
      <c r="D36" s="316"/>
      <c r="E36" s="338"/>
      <c r="F36" s="315"/>
      <c r="G36" s="28">
        <v>25</v>
      </c>
      <c r="H36" s="28" t="s">
        <v>324</v>
      </c>
      <c r="I36" s="28">
        <f t="shared" si="0"/>
        <v>69</v>
      </c>
      <c r="J36" s="339"/>
      <c r="K36" s="28" t="s">
        <v>763</v>
      </c>
      <c r="L36" s="331"/>
      <c r="M36" s="332"/>
      <c r="P36" s="31" t="s">
        <v>206</v>
      </c>
      <c r="Q36" s="36">
        <v>22</v>
      </c>
      <c r="S36" s="133" t="s">
        <v>300</v>
      </c>
      <c r="T36" s="133">
        <v>22</v>
      </c>
      <c r="U36" s="25"/>
      <c r="V36" s="36" t="s">
        <v>206</v>
      </c>
      <c r="W36" s="36">
        <v>22</v>
      </c>
    </row>
    <row r="37" spans="1:29" x14ac:dyDescent="0.3">
      <c r="A37" s="26">
        <v>24</v>
      </c>
      <c r="B37" s="26" t="s">
        <v>762</v>
      </c>
      <c r="D37" s="316"/>
      <c r="E37" s="338"/>
      <c r="F37" s="315"/>
      <c r="G37" s="28">
        <v>26</v>
      </c>
      <c r="H37" s="28" t="s">
        <v>309</v>
      </c>
      <c r="I37" s="28">
        <f t="shared" si="0"/>
        <v>46</v>
      </c>
      <c r="J37" s="339"/>
      <c r="K37" s="28" t="s">
        <v>761</v>
      </c>
      <c r="L37" s="331" t="s">
        <v>760</v>
      </c>
      <c r="M37" s="332">
        <v>13</v>
      </c>
      <c r="P37" s="31" t="s">
        <v>209</v>
      </c>
      <c r="Q37" s="36">
        <v>23</v>
      </c>
      <c r="S37" s="133" t="s">
        <v>301</v>
      </c>
      <c r="T37" s="133">
        <v>23</v>
      </c>
      <c r="U37" s="25"/>
      <c r="V37" s="36" t="s">
        <v>209</v>
      </c>
      <c r="W37" s="36">
        <v>23</v>
      </c>
    </row>
    <row r="38" spans="1:29" x14ac:dyDescent="0.3">
      <c r="A38" s="26">
        <v>25</v>
      </c>
      <c r="B38" s="26" t="s">
        <v>759</v>
      </c>
      <c r="D38" s="316"/>
      <c r="E38" s="338"/>
      <c r="F38" s="315"/>
      <c r="G38" s="28">
        <v>27</v>
      </c>
      <c r="H38" s="28" t="s">
        <v>325</v>
      </c>
      <c r="I38" s="28">
        <f t="shared" si="0"/>
        <v>70</v>
      </c>
      <c r="J38" s="339"/>
      <c r="K38" s="28" t="s">
        <v>758</v>
      </c>
      <c r="L38" s="331"/>
      <c r="M38" s="332"/>
      <c r="P38" s="31" t="s">
        <v>212</v>
      </c>
      <c r="Q38" s="36">
        <v>24</v>
      </c>
      <c r="S38" s="133" t="s">
        <v>302</v>
      </c>
      <c r="T38" s="133">
        <v>24</v>
      </c>
      <c r="U38" s="25"/>
      <c r="V38" s="36" t="s">
        <v>212</v>
      </c>
      <c r="W38" s="36">
        <v>24</v>
      </c>
    </row>
    <row r="39" spans="1:29" x14ac:dyDescent="0.3">
      <c r="A39" s="26">
        <v>26</v>
      </c>
      <c r="B39" s="26" t="s">
        <v>757</v>
      </c>
      <c r="D39" s="316"/>
      <c r="E39" s="338"/>
      <c r="F39" s="315"/>
      <c r="G39" s="28">
        <v>28</v>
      </c>
      <c r="H39" s="28" t="s">
        <v>310</v>
      </c>
      <c r="I39" s="28">
        <f t="shared" si="0"/>
        <v>47</v>
      </c>
      <c r="J39" s="339"/>
      <c r="K39" s="28" t="s">
        <v>756</v>
      </c>
      <c r="L39" s="331" t="s">
        <v>755</v>
      </c>
      <c r="M39" s="332">
        <v>14</v>
      </c>
      <c r="P39" s="31" t="s">
        <v>215</v>
      </c>
      <c r="Q39" s="36">
        <v>25</v>
      </c>
      <c r="S39" s="133" t="s">
        <v>303</v>
      </c>
      <c r="T39" s="133">
        <v>25</v>
      </c>
      <c r="U39" s="25"/>
      <c r="V39" s="36" t="s">
        <v>215</v>
      </c>
      <c r="W39" s="36">
        <v>25</v>
      </c>
    </row>
    <row r="40" spans="1:29" x14ac:dyDescent="0.3">
      <c r="A40" s="26">
        <v>27</v>
      </c>
      <c r="D40" s="316"/>
      <c r="E40" s="338"/>
      <c r="F40" s="315"/>
      <c r="G40" s="28">
        <v>29</v>
      </c>
      <c r="H40" s="28" t="s">
        <v>326</v>
      </c>
      <c r="I40" s="28">
        <f t="shared" si="0"/>
        <v>71</v>
      </c>
      <c r="J40" s="339"/>
      <c r="K40" s="28" t="s">
        <v>754</v>
      </c>
      <c r="L40" s="331"/>
      <c r="M40" s="332"/>
      <c r="P40" s="31" t="s">
        <v>217</v>
      </c>
      <c r="Q40" s="36">
        <v>26</v>
      </c>
      <c r="S40" s="133" t="s">
        <v>304</v>
      </c>
      <c r="T40" s="133">
        <v>26</v>
      </c>
      <c r="U40" s="25"/>
      <c r="V40" s="36" t="s">
        <v>217</v>
      </c>
      <c r="W40" s="36">
        <v>26</v>
      </c>
    </row>
    <row r="41" spans="1:29" x14ac:dyDescent="0.3">
      <c r="A41" s="26">
        <v>28</v>
      </c>
      <c r="D41" s="316"/>
      <c r="E41" s="338"/>
      <c r="F41" s="315"/>
      <c r="G41" s="28">
        <v>30</v>
      </c>
      <c r="H41" s="28" t="s">
        <v>311</v>
      </c>
      <c r="I41" s="28">
        <f t="shared" si="0"/>
        <v>48</v>
      </c>
      <c r="J41" s="339"/>
      <c r="K41" s="28" t="s">
        <v>753</v>
      </c>
      <c r="L41" s="331" t="s">
        <v>752</v>
      </c>
      <c r="M41" s="332">
        <v>15</v>
      </c>
      <c r="P41" s="31" t="s">
        <v>219</v>
      </c>
      <c r="Q41" s="36">
        <v>27</v>
      </c>
      <c r="S41" s="133" t="s">
        <v>305</v>
      </c>
      <c r="T41" s="133">
        <v>27</v>
      </c>
      <c r="U41" s="25"/>
      <c r="V41" s="36" t="s">
        <v>219</v>
      </c>
      <c r="W41" s="36">
        <v>27</v>
      </c>
    </row>
    <row r="42" spans="1:29" x14ac:dyDescent="0.3">
      <c r="A42" s="26">
        <v>29</v>
      </c>
      <c r="B42" s="26" t="s">
        <v>751</v>
      </c>
      <c r="D42" s="316"/>
      <c r="E42" s="338"/>
      <c r="F42" s="315"/>
      <c r="G42" s="28">
        <v>31</v>
      </c>
      <c r="H42" s="28" t="s">
        <v>327</v>
      </c>
      <c r="I42" s="28">
        <f t="shared" si="0"/>
        <v>72</v>
      </c>
      <c r="J42" s="339"/>
      <c r="K42" s="28" t="s">
        <v>750</v>
      </c>
      <c r="L42" s="331"/>
      <c r="M42" s="332"/>
      <c r="P42" s="31" t="s">
        <v>221</v>
      </c>
      <c r="Q42" s="36">
        <v>28</v>
      </c>
      <c r="S42" s="133" t="s">
        <v>306</v>
      </c>
      <c r="T42" s="133">
        <v>28</v>
      </c>
      <c r="U42" s="25"/>
      <c r="V42" s="36" t="s">
        <v>221</v>
      </c>
      <c r="W42" s="36">
        <v>28</v>
      </c>
    </row>
    <row r="43" spans="1:29" x14ac:dyDescent="0.3">
      <c r="A43" s="26">
        <v>30</v>
      </c>
      <c r="B43" s="26" t="s">
        <v>749</v>
      </c>
      <c r="D43" s="316"/>
      <c r="E43" s="338"/>
      <c r="F43" s="315"/>
      <c r="G43" s="28">
        <v>32</v>
      </c>
      <c r="H43" s="28" t="s">
        <v>312</v>
      </c>
      <c r="I43" s="28">
        <f t="shared" ref="I43:I74" si="1">VLOOKUP(H43,$P$14:$Q$112,2,FALSE)</f>
        <v>49</v>
      </c>
      <c r="J43" s="339"/>
      <c r="K43" s="28" t="s">
        <v>748</v>
      </c>
      <c r="L43" s="331" t="s">
        <v>747</v>
      </c>
      <c r="M43" s="332">
        <v>16</v>
      </c>
      <c r="P43" s="31" t="s">
        <v>223</v>
      </c>
      <c r="Q43" s="36">
        <v>29</v>
      </c>
      <c r="S43" s="133" t="s">
        <v>307</v>
      </c>
      <c r="T43" s="133">
        <v>29</v>
      </c>
      <c r="U43" s="25"/>
      <c r="V43" s="36" t="s">
        <v>223</v>
      </c>
      <c r="W43" s="36">
        <v>29</v>
      </c>
      <c r="AB43" s="26">
        <v>33</v>
      </c>
      <c r="AC43" s="26">
        <v>57</v>
      </c>
    </row>
    <row r="44" spans="1:29" x14ac:dyDescent="0.3">
      <c r="A44" s="26">
        <v>31</v>
      </c>
      <c r="B44" s="26" t="s">
        <v>746</v>
      </c>
      <c r="D44" s="316"/>
      <c r="E44" s="338"/>
      <c r="F44" s="315"/>
      <c r="G44" s="28">
        <v>33</v>
      </c>
      <c r="H44" s="28" t="s">
        <v>328</v>
      </c>
      <c r="I44" s="28">
        <f t="shared" si="1"/>
        <v>73</v>
      </c>
      <c r="J44" s="339"/>
      <c r="K44" s="28" t="s">
        <v>745</v>
      </c>
      <c r="L44" s="331"/>
      <c r="M44" s="332"/>
      <c r="P44" s="31" t="s">
        <v>225</v>
      </c>
      <c r="Q44" s="36">
        <v>30</v>
      </c>
      <c r="S44" s="133" t="s">
        <v>308</v>
      </c>
      <c r="T44" s="133">
        <v>30</v>
      </c>
      <c r="U44" s="25"/>
      <c r="V44" s="36" t="s">
        <v>225</v>
      </c>
      <c r="W44" s="36">
        <v>30</v>
      </c>
      <c r="AB44" s="26">
        <v>34</v>
      </c>
      <c r="AC44" s="26">
        <v>58</v>
      </c>
    </row>
    <row r="45" spans="1:29" x14ac:dyDescent="0.3">
      <c r="A45" s="26">
        <v>32</v>
      </c>
      <c r="B45" s="26" t="s">
        <v>744</v>
      </c>
      <c r="D45" s="316"/>
      <c r="E45" s="338"/>
      <c r="F45" s="315"/>
      <c r="G45" s="28">
        <v>34</v>
      </c>
      <c r="H45" s="28" t="s">
        <v>694</v>
      </c>
      <c r="I45" s="28">
        <f t="shared" si="1"/>
        <v>50</v>
      </c>
      <c r="J45" s="339"/>
      <c r="K45" s="28" t="s">
        <v>743</v>
      </c>
      <c r="L45" s="331" t="s">
        <v>742</v>
      </c>
      <c r="M45" s="332">
        <v>17</v>
      </c>
      <c r="P45" s="31" t="s">
        <v>227</v>
      </c>
      <c r="Q45" s="36">
        <v>31</v>
      </c>
      <c r="S45" s="133" t="s">
        <v>309</v>
      </c>
      <c r="T45" s="133">
        <v>31</v>
      </c>
      <c r="U45" s="25"/>
      <c r="V45" s="36" t="s">
        <v>227</v>
      </c>
      <c r="W45" s="36">
        <v>31</v>
      </c>
      <c r="AB45" s="26">
        <v>35</v>
      </c>
      <c r="AC45" s="145">
        <v>59</v>
      </c>
    </row>
    <row r="46" spans="1:29" x14ac:dyDescent="0.3">
      <c r="A46" s="26">
        <v>33</v>
      </c>
      <c r="B46" s="26" t="s">
        <v>741</v>
      </c>
      <c r="D46" s="316"/>
      <c r="E46" s="338"/>
      <c r="F46" s="315"/>
      <c r="G46" s="28">
        <v>35</v>
      </c>
      <c r="H46" s="28" t="s">
        <v>639</v>
      </c>
      <c r="I46" s="28">
        <f t="shared" si="1"/>
        <v>74</v>
      </c>
      <c r="J46" s="339"/>
      <c r="K46" s="28" t="s">
        <v>740</v>
      </c>
      <c r="L46" s="331"/>
      <c r="M46" s="332"/>
      <c r="P46" s="31" t="s">
        <v>229</v>
      </c>
      <c r="Q46" s="36">
        <v>32</v>
      </c>
      <c r="S46" s="133" t="s">
        <v>310</v>
      </c>
      <c r="T46" s="133">
        <v>32</v>
      </c>
      <c r="U46" s="25"/>
      <c r="V46" s="36" t="s">
        <v>229</v>
      </c>
      <c r="W46" s="36">
        <v>32</v>
      </c>
      <c r="AB46" s="145">
        <v>36</v>
      </c>
      <c r="AC46" s="145">
        <v>60</v>
      </c>
    </row>
    <row r="47" spans="1:29" x14ac:dyDescent="0.3">
      <c r="A47" s="26">
        <v>34</v>
      </c>
      <c r="B47" s="26" t="s">
        <v>739</v>
      </c>
      <c r="D47" s="316"/>
      <c r="E47" s="338"/>
      <c r="F47" s="315"/>
      <c r="G47" s="28">
        <v>36</v>
      </c>
      <c r="H47" s="28" t="s">
        <v>690</v>
      </c>
      <c r="I47" s="28">
        <f t="shared" si="1"/>
        <v>51</v>
      </c>
      <c r="J47" s="339"/>
      <c r="K47" s="28" t="s">
        <v>738</v>
      </c>
      <c r="L47" s="331" t="s">
        <v>737</v>
      </c>
      <c r="M47" s="332">
        <v>18</v>
      </c>
      <c r="P47" s="31" t="s">
        <v>736</v>
      </c>
      <c r="Q47" s="36">
        <v>33</v>
      </c>
      <c r="S47" s="133" t="s">
        <v>311</v>
      </c>
      <c r="T47" s="133">
        <v>33</v>
      </c>
      <c r="U47" s="25"/>
      <c r="V47" s="31" t="s">
        <v>736</v>
      </c>
      <c r="W47" s="36">
        <v>33</v>
      </c>
      <c r="AB47" s="145">
        <v>37</v>
      </c>
      <c r="AC47" s="145">
        <v>61</v>
      </c>
    </row>
    <row r="48" spans="1:29" x14ac:dyDescent="0.3">
      <c r="A48" s="26">
        <v>35</v>
      </c>
      <c r="B48" s="26" t="s">
        <v>735</v>
      </c>
      <c r="D48" s="316"/>
      <c r="E48" s="338"/>
      <c r="F48" s="315"/>
      <c r="G48" s="28">
        <v>37</v>
      </c>
      <c r="H48" s="28" t="s">
        <v>636</v>
      </c>
      <c r="I48" s="28">
        <f t="shared" si="1"/>
        <v>75</v>
      </c>
      <c r="J48" s="339"/>
      <c r="K48" s="28" t="s">
        <v>734</v>
      </c>
      <c r="L48" s="331"/>
      <c r="M48" s="332"/>
      <c r="P48" s="31" t="s">
        <v>733</v>
      </c>
      <c r="Q48" s="36">
        <v>34</v>
      </c>
      <c r="S48" s="133" t="s">
        <v>312</v>
      </c>
      <c r="T48" s="133">
        <v>34</v>
      </c>
      <c r="U48" s="25"/>
      <c r="V48" s="31" t="s">
        <v>733</v>
      </c>
      <c r="W48" s="36">
        <v>34</v>
      </c>
      <c r="AB48" s="145">
        <v>38</v>
      </c>
      <c r="AC48" s="145">
        <v>62</v>
      </c>
    </row>
    <row r="49" spans="1:29" x14ac:dyDescent="0.3">
      <c r="A49" s="26">
        <v>36</v>
      </c>
      <c r="B49" s="26" t="s">
        <v>732</v>
      </c>
      <c r="D49" s="316"/>
      <c r="E49" s="338"/>
      <c r="F49" s="315"/>
      <c r="G49" s="28">
        <v>38</v>
      </c>
      <c r="H49" s="28" t="s">
        <v>687</v>
      </c>
      <c r="I49" s="28">
        <f t="shared" si="1"/>
        <v>52</v>
      </c>
      <c r="J49" s="339"/>
      <c r="K49" s="28" t="s">
        <v>731</v>
      </c>
      <c r="L49" s="331" t="s">
        <v>730</v>
      </c>
      <c r="M49" s="332">
        <v>19</v>
      </c>
      <c r="P49" s="31" t="s">
        <v>298</v>
      </c>
      <c r="Q49" s="36">
        <v>35</v>
      </c>
      <c r="S49" s="133" t="s">
        <v>694</v>
      </c>
      <c r="T49" s="133">
        <v>35</v>
      </c>
      <c r="U49" s="25"/>
      <c r="V49" s="31" t="s">
        <v>298</v>
      </c>
      <c r="W49" s="36">
        <v>35</v>
      </c>
      <c r="AB49" s="145">
        <v>39</v>
      </c>
      <c r="AC49" s="145">
        <v>63</v>
      </c>
    </row>
    <row r="50" spans="1:29" x14ac:dyDescent="0.3">
      <c r="A50" s="26">
        <v>37</v>
      </c>
      <c r="B50" s="26" t="s">
        <v>729</v>
      </c>
      <c r="D50" s="316"/>
      <c r="E50" s="338"/>
      <c r="F50" s="315"/>
      <c r="G50" s="28">
        <v>39</v>
      </c>
      <c r="H50" s="28" t="s">
        <v>634</v>
      </c>
      <c r="I50" s="28">
        <f t="shared" si="1"/>
        <v>76</v>
      </c>
      <c r="J50" s="339"/>
      <c r="K50" s="28" t="s">
        <v>728</v>
      </c>
      <c r="L50" s="331"/>
      <c r="M50" s="332"/>
      <c r="P50" s="31" t="s">
        <v>299</v>
      </c>
      <c r="Q50" s="36">
        <v>36</v>
      </c>
      <c r="S50" s="133" t="s">
        <v>690</v>
      </c>
      <c r="T50" s="133">
        <v>36</v>
      </c>
      <c r="U50" s="25"/>
      <c r="V50" s="31" t="s">
        <v>299</v>
      </c>
      <c r="W50" s="36">
        <v>36</v>
      </c>
      <c r="AB50" s="145">
        <v>40</v>
      </c>
      <c r="AC50" s="145">
        <v>64</v>
      </c>
    </row>
    <row r="51" spans="1:29" x14ac:dyDescent="0.3">
      <c r="B51" s="26" t="s">
        <v>727</v>
      </c>
      <c r="D51" s="316"/>
      <c r="E51" s="338"/>
      <c r="F51" s="315"/>
      <c r="G51" s="28">
        <v>40</v>
      </c>
      <c r="H51" s="28" t="s">
        <v>683</v>
      </c>
      <c r="I51" s="28">
        <f t="shared" si="1"/>
        <v>53</v>
      </c>
      <c r="J51" s="339"/>
      <c r="K51" s="28" t="s">
        <v>726</v>
      </c>
      <c r="L51" s="331" t="s">
        <v>725</v>
      </c>
      <c r="M51" s="332">
        <v>20</v>
      </c>
      <c r="P51" s="31" t="s">
        <v>300</v>
      </c>
      <c r="Q51" s="36">
        <v>37</v>
      </c>
      <c r="S51" s="133" t="s">
        <v>687</v>
      </c>
      <c r="T51" s="133">
        <v>37</v>
      </c>
      <c r="U51" s="25"/>
      <c r="V51" s="31" t="s">
        <v>300</v>
      </c>
      <c r="W51" s="36">
        <v>37</v>
      </c>
      <c r="AB51" s="145">
        <v>41</v>
      </c>
      <c r="AC51" s="145">
        <v>65</v>
      </c>
    </row>
    <row r="52" spans="1:29" x14ac:dyDescent="0.3">
      <c r="B52" s="26" t="s">
        <v>724</v>
      </c>
      <c r="D52" s="316"/>
      <c r="E52" s="338"/>
      <c r="F52" s="315"/>
      <c r="G52" s="28">
        <v>41</v>
      </c>
      <c r="H52" s="28" t="s">
        <v>632</v>
      </c>
      <c r="I52" s="28">
        <f t="shared" si="1"/>
        <v>77</v>
      </c>
      <c r="J52" s="339"/>
      <c r="K52" s="28" t="s">
        <v>723</v>
      </c>
      <c r="L52" s="331"/>
      <c r="M52" s="332"/>
      <c r="P52" s="31" t="s">
        <v>301</v>
      </c>
      <c r="Q52" s="36">
        <v>38</v>
      </c>
      <c r="S52" s="133" t="s">
        <v>683</v>
      </c>
      <c r="T52" s="133">
        <v>38</v>
      </c>
      <c r="U52" s="25"/>
      <c r="V52" s="31" t="s">
        <v>301</v>
      </c>
      <c r="W52" s="36">
        <v>38</v>
      </c>
      <c r="AB52" s="145">
        <v>42</v>
      </c>
      <c r="AC52" s="145">
        <v>66</v>
      </c>
    </row>
    <row r="53" spans="1:29" x14ac:dyDescent="0.3">
      <c r="B53" s="26" t="s">
        <v>722</v>
      </c>
      <c r="D53" s="316"/>
      <c r="E53" s="338"/>
      <c r="F53" s="315"/>
      <c r="G53" s="28">
        <v>42</v>
      </c>
      <c r="H53" s="28" t="s">
        <v>680</v>
      </c>
      <c r="I53" s="28">
        <f t="shared" si="1"/>
        <v>54</v>
      </c>
      <c r="J53" s="339"/>
      <c r="K53" s="28" t="s">
        <v>721</v>
      </c>
      <c r="L53" s="331" t="s">
        <v>720</v>
      </c>
      <c r="M53" s="332">
        <v>21</v>
      </c>
      <c r="P53" s="31" t="s">
        <v>302</v>
      </c>
      <c r="Q53" s="36">
        <v>39</v>
      </c>
      <c r="S53" s="133" t="s">
        <v>680</v>
      </c>
      <c r="T53" s="133">
        <v>39</v>
      </c>
      <c r="U53" s="25"/>
      <c r="V53" s="31" t="s">
        <v>302</v>
      </c>
      <c r="W53" s="36">
        <v>39</v>
      </c>
      <c r="AB53" s="145">
        <v>43</v>
      </c>
      <c r="AC53" s="145">
        <v>67</v>
      </c>
    </row>
    <row r="54" spans="1:29" x14ac:dyDescent="0.3">
      <c r="B54" s="26" t="s">
        <v>719</v>
      </c>
      <c r="D54" s="316"/>
      <c r="E54" s="338"/>
      <c r="F54" s="315"/>
      <c r="G54" s="28">
        <v>43</v>
      </c>
      <c r="H54" s="28" t="s">
        <v>631</v>
      </c>
      <c r="I54" s="28">
        <f t="shared" si="1"/>
        <v>78</v>
      </c>
      <c r="J54" s="339"/>
      <c r="K54" s="28" t="s">
        <v>718</v>
      </c>
      <c r="L54" s="331"/>
      <c r="M54" s="332"/>
      <c r="P54" s="31" t="s">
        <v>303</v>
      </c>
      <c r="Q54" s="36">
        <v>40</v>
      </c>
      <c r="S54" s="133" t="s">
        <v>677</v>
      </c>
      <c r="T54" s="133">
        <v>40</v>
      </c>
      <c r="U54" s="25"/>
      <c r="V54" s="31" t="s">
        <v>303</v>
      </c>
      <c r="W54" s="36">
        <v>40</v>
      </c>
      <c r="AB54" s="145">
        <v>44</v>
      </c>
      <c r="AC54" s="145">
        <v>68</v>
      </c>
    </row>
    <row r="55" spans="1:29" x14ac:dyDescent="0.3">
      <c r="B55" s="26" t="s">
        <v>717</v>
      </c>
      <c r="D55" s="316"/>
      <c r="E55" s="338"/>
      <c r="F55" s="315"/>
      <c r="G55" s="28">
        <v>44</v>
      </c>
      <c r="H55" s="28" t="s">
        <v>677</v>
      </c>
      <c r="I55" s="28">
        <f t="shared" si="1"/>
        <v>55</v>
      </c>
      <c r="J55" s="339"/>
      <c r="K55" s="28" t="s">
        <v>716</v>
      </c>
      <c r="L55" s="331" t="s">
        <v>715</v>
      </c>
      <c r="M55" s="332">
        <v>22</v>
      </c>
      <c r="P55" s="31" t="s">
        <v>304</v>
      </c>
      <c r="Q55" s="36">
        <v>41</v>
      </c>
      <c r="S55" s="133" t="s">
        <v>674</v>
      </c>
      <c r="T55" s="133">
        <v>41</v>
      </c>
      <c r="U55" s="25"/>
      <c r="V55" s="31" t="s">
        <v>304</v>
      </c>
      <c r="W55" s="36">
        <v>41</v>
      </c>
      <c r="AB55" s="145">
        <v>45</v>
      </c>
      <c r="AC55" s="145">
        <v>69</v>
      </c>
    </row>
    <row r="56" spans="1:29" x14ac:dyDescent="0.3">
      <c r="B56" s="26" t="s">
        <v>714</v>
      </c>
      <c r="D56" s="316"/>
      <c r="E56" s="338"/>
      <c r="F56" s="315"/>
      <c r="G56" s="28">
        <v>45</v>
      </c>
      <c r="H56" s="28" t="s">
        <v>630</v>
      </c>
      <c r="I56" s="28">
        <f t="shared" si="1"/>
        <v>79</v>
      </c>
      <c r="J56" s="339"/>
      <c r="K56" s="28" t="s">
        <v>713</v>
      </c>
      <c r="L56" s="331"/>
      <c r="M56" s="332"/>
      <c r="P56" s="31" t="s">
        <v>305</v>
      </c>
      <c r="Q56" s="36">
        <v>42</v>
      </c>
      <c r="S56" s="133" t="s">
        <v>670</v>
      </c>
      <c r="T56" s="133">
        <v>42</v>
      </c>
      <c r="U56" s="25"/>
      <c r="V56" s="31" t="s">
        <v>305</v>
      </c>
      <c r="W56" s="36">
        <v>42</v>
      </c>
      <c r="AB56" s="145">
        <v>46</v>
      </c>
      <c r="AC56" s="145">
        <v>70</v>
      </c>
    </row>
    <row r="57" spans="1:29" x14ac:dyDescent="0.3">
      <c r="B57" s="26" t="s">
        <v>712</v>
      </c>
      <c r="D57" s="316"/>
      <c r="E57" s="338"/>
      <c r="F57" s="315"/>
      <c r="G57" s="28">
        <v>46</v>
      </c>
      <c r="H57" s="28" t="s">
        <v>674</v>
      </c>
      <c r="I57" s="28">
        <f t="shared" si="1"/>
        <v>56</v>
      </c>
      <c r="J57" s="339"/>
      <c r="K57" s="28" t="s">
        <v>711</v>
      </c>
      <c r="L57" s="331" t="s">
        <v>710</v>
      </c>
      <c r="M57" s="332">
        <v>23</v>
      </c>
      <c r="P57" s="31" t="s">
        <v>306</v>
      </c>
      <c r="Q57" s="36">
        <v>43</v>
      </c>
      <c r="S57" s="133" t="s">
        <v>667</v>
      </c>
      <c r="T57" s="133">
        <v>43</v>
      </c>
      <c r="U57" s="25"/>
      <c r="V57" s="31" t="s">
        <v>306</v>
      </c>
      <c r="W57" s="36">
        <v>43</v>
      </c>
      <c r="AB57" s="145">
        <v>47</v>
      </c>
      <c r="AC57" s="145">
        <v>71</v>
      </c>
    </row>
    <row r="58" spans="1:29" x14ac:dyDescent="0.3">
      <c r="B58" s="26" t="s">
        <v>709</v>
      </c>
      <c r="D58" s="316"/>
      <c r="E58" s="338"/>
      <c r="F58" s="315"/>
      <c r="G58" s="28">
        <v>47</v>
      </c>
      <c r="H58" s="28" t="s">
        <v>629</v>
      </c>
      <c r="I58" s="28">
        <f t="shared" si="1"/>
        <v>80</v>
      </c>
      <c r="J58" s="339"/>
      <c r="K58" s="28" t="s">
        <v>708</v>
      </c>
      <c r="L58" s="331"/>
      <c r="M58" s="332"/>
      <c r="P58" s="31" t="s">
        <v>307</v>
      </c>
      <c r="Q58" s="36">
        <v>44</v>
      </c>
      <c r="S58" s="133" t="s">
        <v>314</v>
      </c>
      <c r="T58" s="133">
        <v>44</v>
      </c>
      <c r="U58" s="25"/>
      <c r="V58" s="31" t="s">
        <v>307</v>
      </c>
      <c r="W58" s="36">
        <v>44</v>
      </c>
      <c r="AB58" s="145">
        <v>48</v>
      </c>
      <c r="AC58" s="145">
        <v>72</v>
      </c>
    </row>
    <row r="59" spans="1:29" x14ac:dyDescent="0.3">
      <c r="D59" s="316"/>
      <c r="E59" s="338"/>
      <c r="F59" s="315"/>
      <c r="G59" s="28">
        <v>48</v>
      </c>
      <c r="H59" s="28" t="s">
        <v>628</v>
      </c>
      <c r="I59" s="28">
        <f t="shared" si="1"/>
        <v>81</v>
      </c>
      <c r="J59" s="339"/>
      <c r="K59" s="28" t="s">
        <v>707</v>
      </c>
      <c r="L59" s="331" t="s">
        <v>706</v>
      </c>
      <c r="M59" s="332">
        <v>24</v>
      </c>
      <c r="P59" s="31" t="s">
        <v>308</v>
      </c>
      <c r="Q59" s="36">
        <v>45</v>
      </c>
      <c r="S59" s="133" t="s">
        <v>315</v>
      </c>
      <c r="T59" s="133">
        <v>45</v>
      </c>
      <c r="U59" s="25"/>
      <c r="V59" s="31" t="s">
        <v>308</v>
      </c>
      <c r="W59" s="36">
        <v>45</v>
      </c>
      <c r="AB59" s="145">
        <v>49</v>
      </c>
      <c r="AC59" s="145">
        <v>73</v>
      </c>
    </row>
    <row r="60" spans="1:29" x14ac:dyDescent="0.3">
      <c r="D60" s="316"/>
      <c r="E60" s="338"/>
      <c r="F60" s="315"/>
      <c r="G60" s="28">
        <v>49</v>
      </c>
      <c r="H60" s="28" t="s">
        <v>705</v>
      </c>
      <c r="I60" s="28" t="e">
        <f t="shared" si="1"/>
        <v>#N/A</v>
      </c>
      <c r="J60" s="339"/>
      <c r="K60" s="28" t="s">
        <v>704</v>
      </c>
      <c r="L60" s="331"/>
      <c r="M60" s="332"/>
      <c r="P60" s="31" t="s">
        <v>309</v>
      </c>
      <c r="Q60" s="36">
        <v>46</v>
      </c>
      <c r="S60" s="133" t="s">
        <v>316</v>
      </c>
      <c r="T60" s="133">
        <v>46</v>
      </c>
      <c r="U60" s="25"/>
      <c r="V60" s="31" t="s">
        <v>309</v>
      </c>
      <c r="W60" s="36">
        <v>46</v>
      </c>
      <c r="AB60" s="145">
        <v>50</v>
      </c>
      <c r="AC60" s="145">
        <v>74</v>
      </c>
    </row>
    <row r="61" spans="1:29" x14ac:dyDescent="0.3">
      <c r="D61" s="316"/>
      <c r="E61" s="338"/>
      <c r="F61" s="315"/>
      <c r="G61" s="28">
        <v>50</v>
      </c>
      <c r="H61" s="28" t="s">
        <v>329</v>
      </c>
      <c r="I61" s="28">
        <f t="shared" si="1"/>
        <v>82</v>
      </c>
      <c r="J61" s="339"/>
      <c r="K61" s="28" t="s">
        <v>703</v>
      </c>
      <c r="L61" s="331" t="s">
        <v>702</v>
      </c>
      <c r="M61" s="332">
        <v>25</v>
      </c>
      <c r="P61" s="31" t="s">
        <v>310</v>
      </c>
      <c r="Q61" s="36">
        <v>47</v>
      </c>
      <c r="S61" s="133" t="s">
        <v>317</v>
      </c>
      <c r="T61" s="133">
        <v>47</v>
      </c>
      <c r="U61" s="25"/>
      <c r="V61" s="31" t="s">
        <v>310</v>
      </c>
      <c r="W61" s="36">
        <v>47</v>
      </c>
      <c r="AB61" s="145">
        <v>51</v>
      </c>
      <c r="AC61" s="145">
        <v>75</v>
      </c>
    </row>
    <row r="62" spans="1:29" x14ac:dyDescent="0.3">
      <c r="D62" s="316"/>
      <c r="E62" s="338"/>
      <c r="F62" s="315"/>
      <c r="G62" s="28">
        <v>51</v>
      </c>
      <c r="H62" s="28" t="s">
        <v>701</v>
      </c>
      <c r="I62" s="28" t="e">
        <f t="shared" si="1"/>
        <v>#N/A</v>
      </c>
      <c r="J62" s="339"/>
      <c r="K62" s="28" t="s">
        <v>700</v>
      </c>
      <c r="L62" s="331"/>
      <c r="M62" s="332"/>
      <c r="P62" s="31" t="s">
        <v>311</v>
      </c>
      <c r="Q62" s="36">
        <v>48</v>
      </c>
      <c r="S62" s="133" t="s">
        <v>318</v>
      </c>
      <c r="T62" s="133">
        <v>48</v>
      </c>
      <c r="U62" s="25"/>
      <c r="V62" s="31" t="s">
        <v>311</v>
      </c>
      <c r="W62" s="36">
        <v>48</v>
      </c>
      <c r="AB62" s="145">
        <v>52</v>
      </c>
      <c r="AC62" s="145">
        <v>76</v>
      </c>
    </row>
    <row r="63" spans="1:29" x14ac:dyDescent="0.3">
      <c r="D63" s="316"/>
      <c r="E63" s="338"/>
      <c r="F63" s="315"/>
      <c r="G63" s="28">
        <v>52</v>
      </c>
      <c r="H63" s="28" t="s">
        <v>699</v>
      </c>
      <c r="I63" s="28">
        <f t="shared" si="1"/>
        <v>83</v>
      </c>
      <c r="J63" s="339"/>
      <c r="K63" s="28" t="s">
        <v>698</v>
      </c>
      <c r="L63" s="331" t="s">
        <v>697</v>
      </c>
      <c r="M63" s="332">
        <v>26</v>
      </c>
      <c r="P63" s="31" t="s">
        <v>312</v>
      </c>
      <c r="Q63" s="36">
        <v>49</v>
      </c>
      <c r="S63" s="133" t="s">
        <v>319</v>
      </c>
      <c r="T63" s="133">
        <v>49</v>
      </c>
      <c r="U63" s="25"/>
      <c r="V63" s="31" t="s">
        <v>312</v>
      </c>
      <c r="W63" s="36">
        <v>49</v>
      </c>
      <c r="AB63" s="145">
        <v>53</v>
      </c>
      <c r="AC63" s="145">
        <v>77</v>
      </c>
    </row>
    <row r="64" spans="1:29" x14ac:dyDescent="0.3">
      <c r="D64" s="316"/>
      <c r="E64" s="338"/>
      <c r="F64" s="315"/>
      <c r="G64" s="28">
        <v>53</v>
      </c>
      <c r="H64" s="28" t="s">
        <v>696</v>
      </c>
      <c r="I64" s="28" t="e">
        <f t="shared" si="1"/>
        <v>#N/A</v>
      </c>
      <c r="J64" s="339"/>
      <c r="K64" s="28" t="s">
        <v>695</v>
      </c>
      <c r="L64" s="331"/>
      <c r="M64" s="332"/>
      <c r="P64" s="31" t="s">
        <v>694</v>
      </c>
      <c r="Q64" s="36">
        <v>50</v>
      </c>
      <c r="S64" s="133" t="s">
        <v>320</v>
      </c>
      <c r="T64" s="133">
        <v>50</v>
      </c>
      <c r="U64" s="25"/>
      <c r="V64" s="31" t="s">
        <v>694</v>
      </c>
      <c r="W64" s="36">
        <v>50</v>
      </c>
      <c r="AB64" s="145">
        <v>54</v>
      </c>
      <c r="AC64" s="145">
        <v>78</v>
      </c>
    </row>
    <row r="65" spans="4:29" x14ac:dyDescent="0.3">
      <c r="D65" s="316"/>
      <c r="E65" s="338"/>
      <c r="F65" s="315"/>
      <c r="G65" s="28">
        <v>54</v>
      </c>
      <c r="H65" s="28" t="s">
        <v>693</v>
      </c>
      <c r="I65" s="28">
        <f t="shared" si="1"/>
        <v>84</v>
      </c>
      <c r="J65" s="339"/>
      <c r="K65" s="28" t="s">
        <v>692</v>
      </c>
      <c r="L65" s="331" t="s">
        <v>691</v>
      </c>
      <c r="M65" s="332">
        <v>27</v>
      </c>
      <c r="P65" s="31" t="s">
        <v>690</v>
      </c>
      <c r="Q65" s="36">
        <v>51</v>
      </c>
      <c r="S65" s="133" t="s">
        <v>321</v>
      </c>
      <c r="T65" s="133">
        <v>51</v>
      </c>
      <c r="U65" s="25"/>
      <c r="V65" s="31" t="s">
        <v>690</v>
      </c>
      <c r="W65" s="36">
        <v>51</v>
      </c>
      <c r="AB65" s="145">
        <v>55</v>
      </c>
      <c r="AC65" s="145">
        <v>79</v>
      </c>
    </row>
    <row r="66" spans="4:29" x14ac:dyDescent="0.3">
      <c r="D66" s="316"/>
      <c r="E66" s="338"/>
      <c r="F66" s="315"/>
      <c r="G66" s="28">
        <v>55</v>
      </c>
      <c r="H66" s="28" t="s">
        <v>689</v>
      </c>
      <c r="I66" s="28" t="e">
        <f t="shared" si="1"/>
        <v>#N/A</v>
      </c>
      <c r="J66" s="339"/>
      <c r="K66" s="28" t="s">
        <v>688</v>
      </c>
      <c r="L66" s="331"/>
      <c r="M66" s="332"/>
      <c r="P66" s="31" t="s">
        <v>687</v>
      </c>
      <c r="Q66" s="36">
        <v>52</v>
      </c>
      <c r="S66" s="133" t="s">
        <v>322</v>
      </c>
      <c r="T66" s="133">
        <v>52</v>
      </c>
      <c r="U66" s="25"/>
      <c r="V66" s="31" t="s">
        <v>687</v>
      </c>
      <c r="W66" s="36">
        <v>52</v>
      </c>
      <c r="AB66" s="145">
        <v>56</v>
      </c>
      <c r="AC66" s="145">
        <v>80</v>
      </c>
    </row>
    <row r="67" spans="4:29" x14ac:dyDescent="0.3">
      <c r="D67" s="316"/>
      <c r="E67" s="338"/>
      <c r="F67" s="315"/>
      <c r="G67" s="28">
        <v>56</v>
      </c>
      <c r="H67" s="28" t="s">
        <v>686</v>
      </c>
      <c r="I67" s="28">
        <f t="shared" si="1"/>
        <v>85</v>
      </c>
      <c r="J67" s="339"/>
      <c r="K67" s="28" t="s">
        <v>685</v>
      </c>
      <c r="L67" s="331" t="s">
        <v>684</v>
      </c>
      <c r="M67" s="332">
        <v>28</v>
      </c>
      <c r="P67" s="31" t="s">
        <v>683</v>
      </c>
      <c r="Q67" s="36">
        <v>53</v>
      </c>
      <c r="S67" s="133" t="s">
        <v>323</v>
      </c>
      <c r="T67" s="133">
        <v>53</v>
      </c>
      <c r="U67" s="25"/>
      <c r="V67" s="31" t="s">
        <v>683</v>
      </c>
      <c r="W67" s="36">
        <v>53</v>
      </c>
    </row>
    <row r="68" spans="4:29" x14ac:dyDescent="0.3">
      <c r="D68" s="316"/>
      <c r="E68" s="338"/>
      <c r="F68" s="315"/>
      <c r="G68" s="28">
        <v>57</v>
      </c>
      <c r="H68" s="28" t="s">
        <v>682</v>
      </c>
      <c r="I68" s="28" t="e">
        <f t="shared" si="1"/>
        <v>#N/A</v>
      </c>
      <c r="J68" s="339"/>
      <c r="K68" s="28" t="s">
        <v>681</v>
      </c>
      <c r="L68" s="331"/>
      <c r="M68" s="332"/>
      <c r="P68" s="31" t="s">
        <v>680</v>
      </c>
      <c r="Q68" s="36">
        <v>54</v>
      </c>
      <c r="S68" s="133" t="s">
        <v>324</v>
      </c>
      <c r="T68" s="133">
        <v>54</v>
      </c>
      <c r="U68" s="25"/>
      <c r="V68" s="31" t="s">
        <v>680</v>
      </c>
      <c r="W68" s="36">
        <v>54</v>
      </c>
    </row>
    <row r="69" spans="4:29" x14ac:dyDescent="0.3">
      <c r="D69" s="316"/>
      <c r="E69" s="338"/>
      <c r="F69" s="315"/>
      <c r="G69" s="28">
        <v>58</v>
      </c>
      <c r="H69" s="28" t="s">
        <v>673</v>
      </c>
      <c r="I69" s="28">
        <f t="shared" si="1"/>
        <v>86</v>
      </c>
      <c r="J69" s="339"/>
      <c r="K69" s="28" t="s">
        <v>679</v>
      </c>
      <c r="L69" s="331" t="s">
        <v>678</v>
      </c>
      <c r="M69" s="332">
        <v>29</v>
      </c>
      <c r="P69" s="31" t="s">
        <v>677</v>
      </c>
      <c r="Q69" s="36">
        <v>55</v>
      </c>
      <c r="S69" s="133" t="s">
        <v>325</v>
      </c>
      <c r="T69" s="133">
        <v>55</v>
      </c>
      <c r="U69" s="25"/>
      <c r="V69" s="31" t="s">
        <v>677</v>
      </c>
      <c r="W69" s="36">
        <v>55</v>
      </c>
    </row>
    <row r="70" spans="4:29" x14ac:dyDescent="0.3">
      <c r="D70" s="316"/>
      <c r="E70" s="338"/>
      <c r="F70" s="315"/>
      <c r="G70" s="28">
        <v>59</v>
      </c>
      <c r="H70" s="28" t="s">
        <v>676</v>
      </c>
      <c r="I70" s="28" t="e">
        <f t="shared" si="1"/>
        <v>#N/A</v>
      </c>
      <c r="J70" s="339"/>
      <c r="K70" s="28" t="s">
        <v>675</v>
      </c>
      <c r="L70" s="331"/>
      <c r="M70" s="332"/>
      <c r="P70" s="31" t="s">
        <v>674</v>
      </c>
      <c r="Q70" s="36">
        <v>56</v>
      </c>
      <c r="S70" s="133" t="s">
        <v>326</v>
      </c>
      <c r="T70" s="133">
        <v>56</v>
      </c>
      <c r="U70" s="25"/>
      <c r="V70" s="31" t="s">
        <v>674</v>
      </c>
      <c r="W70" s="36">
        <v>56</v>
      </c>
    </row>
    <row r="71" spans="4:29" x14ac:dyDescent="0.3">
      <c r="D71" s="316"/>
      <c r="E71" s="338"/>
      <c r="F71" s="315"/>
      <c r="G71" s="28">
        <v>60</v>
      </c>
      <c r="H71" s="28" t="s">
        <v>673</v>
      </c>
      <c r="I71" s="28">
        <f t="shared" si="1"/>
        <v>86</v>
      </c>
      <c r="J71" s="339"/>
      <c r="K71" s="28" t="s">
        <v>672</v>
      </c>
      <c r="L71" s="331" t="s">
        <v>671</v>
      </c>
      <c r="M71" s="332">
        <v>30</v>
      </c>
      <c r="P71" s="31" t="s">
        <v>670</v>
      </c>
      <c r="Q71" s="36">
        <v>57</v>
      </c>
      <c r="S71" s="133" t="s">
        <v>327</v>
      </c>
      <c r="T71" s="133">
        <v>57</v>
      </c>
      <c r="U71" s="25"/>
      <c r="V71" s="31" t="s">
        <v>670</v>
      </c>
      <c r="W71" s="36">
        <v>57</v>
      </c>
    </row>
    <row r="72" spans="4:29" x14ac:dyDescent="0.3">
      <c r="D72" s="316"/>
      <c r="E72" s="338"/>
      <c r="F72" s="315"/>
      <c r="G72" s="28">
        <v>61</v>
      </c>
      <c r="H72" s="28" t="s">
        <v>669</v>
      </c>
      <c r="I72" s="28" t="e">
        <f t="shared" si="1"/>
        <v>#N/A</v>
      </c>
      <c r="J72" s="339"/>
      <c r="K72" s="28" t="s">
        <v>668</v>
      </c>
      <c r="L72" s="331"/>
      <c r="M72" s="332"/>
      <c r="P72" s="31" t="s">
        <v>667</v>
      </c>
      <c r="Q72" s="36">
        <v>58</v>
      </c>
      <c r="S72" s="133" t="s">
        <v>328</v>
      </c>
      <c r="T72" s="133">
        <v>58</v>
      </c>
      <c r="U72" s="25"/>
      <c r="V72" s="31" t="s">
        <v>667</v>
      </c>
      <c r="W72" s="36">
        <v>58</v>
      </c>
    </row>
    <row r="73" spans="4:29" x14ac:dyDescent="0.3">
      <c r="D73" s="316"/>
      <c r="E73" s="338"/>
      <c r="F73" s="315"/>
      <c r="G73" s="28">
        <v>62</v>
      </c>
      <c r="H73" s="28" t="s">
        <v>666</v>
      </c>
      <c r="I73" s="28">
        <f t="shared" si="1"/>
        <v>88</v>
      </c>
      <c r="J73" s="339"/>
      <c r="K73" s="28" t="s">
        <v>665</v>
      </c>
      <c r="L73" s="331" t="s">
        <v>664</v>
      </c>
      <c r="M73" s="332">
        <v>31</v>
      </c>
      <c r="P73" s="31" t="s">
        <v>314</v>
      </c>
      <c r="Q73" s="36">
        <v>59</v>
      </c>
      <c r="S73" s="133" t="s">
        <v>639</v>
      </c>
      <c r="T73" s="133">
        <v>59</v>
      </c>
      <c r="U73" s="25"/>
      <c r="V73" s="31" t="s">
        <v>314</v>
      </c>
      <c r="W73" s="36">
        <v>59</v>
      </c>
    </row>
    <row r="74" spans="4:29" x14ac:dyDescent="0.3">
      <c r="D74" s="316"/>
      <c r="E74" s="338"/>
      <c r="F74" s="315"/>
      <c r="G74" s="28">
        <v>63</v>
      </c>
      <c r="H74" s="28" t="s">
        <v>663</v>
      </c>
      <c r="I74" s="28" t="e">
        <f t="shared" si="1"/>
        <v>#N/A</v>
      </c>
      <c r="J74" s="339"/>
      <c r="K74" s="290" t="s">
        <v>662</v>
      </c>
      <c r="L74" s="331"/>
      <c r="M74" s="332"/>
      <c r="P74" s="31" t="s">
        <v>315</v>
      </c>
      <c r="Q74" s="36">
        <v>60</v>
      </c>
      <c r="S74" s="133" t="s">
        <v>636</v>
      </c>
      <c r="T74" s="133">
        <v>60</v>
      </c>
      <c r="U74" s="25"/>
      <c r="V74" s="31" t="s">
        <v>315</v>
      </c>
      <c r="W74" s="36">
        <v>60</v>
      </c>
    </row>
    <row r="75" spans="4:29" x14ac:dyDescent="0.3">
      <c r="D75" s="316"/>
      <c r="E75" s="338"/>
      <c r="F75" s="315"/>
      <c r="G75" s="28">
        <v>64</v>
      </c>
      <c r="H75" s="28" t="s">
        <v>190</v>
      </c>
      <c r="I75" s="28">
        <f t="shared" ref="I75:I93" si="2">VLOOKUP(H75,$P$14:$Q$112,2,FALSE)</f>
        <v>1</v>
      </c>
      <c r="J75" s="339"/>
      <c r="K75" s="290" t="s">
        <v>661</v>
      </c>
      <c r="L75" s="331" t="s">
        <v>660</v>
      </c>
      <c r="M75" s="332">
        <v>32</v>
      </c>
      <c r="P75" s="31" t="s">
        <v>316</v>
      </c>
      <c r="Q75" s="36">
        <v>61</v>
      </c>
      <c r="S75" s="133" t="s">
        <v>634</v>
      </c>
      <c r="T75" s="133">
        <v>61</v>
      </c>
      <c r="U75" s="25"/>
      <c r="V75" s="31" t="s">
        <v>316</v>
      </c>
      <c r="W75" s="36">
        <v>61</v>
      </c>
    </row>
    <row r="76" spans="4:29" x14ac:dyDescent="0.3">
      <c r="D76" s="316"/>
      <c r="E76" s="338"/>
      <c r="F76" s="315"/>
      <c r="G76" s="28">
        <v>65</v>
      </c>
      <c r="H76" s="28" t="s">
        <v>659</v>
      </c>
      <c r="I76" s="28">
        <f t="shared" si="2"/>
        <v>2</v>
      </c>
      <c r="J76" s="339"/>
      <c r="K76" s="290" t="s">
        <v>658</v>
      </c>
      <c r="L76" s="331"/>
      <c r="M76" s="332"/>
      <c r="P76" s="31" t="s">
        <v>317</v>
      </c>
      <c r="Q76" s="36">
        <v>62</v>
      </c>
      <c r="S76" s="133" t="s">
        <v>632</v>
      </c>
      <c r="T76" s="133">
        <v>62</v>
      </c>
      <c r="U76" s="25"/>
      <c r="V76" s="31" t="s">
        <v>317</v>
      </c>
      <c r="W76" s="36">
        <v>62</v>
      </c>
    </row>
    <row r="77" spans="4:29" x14ac:dyDescent="0.3">
      <c r="D77" s="316"/>
      <c r="E77" s="338"/>
      <c r="F77" s="315"/>
      <c r="G77" s="28">
        <v>66</v>
      </c>
      <c r="H77" s="28" t="s">
        <v>196</v>
      </c>
      <c r="I77" s="28">
        <f t="shared" si="2"/>
        <v>3</v>
      </c>
      <c r="J77" s="339"/>
      <c r="K77" s="290" t="s">
        <v>657</v>
      </c>
      <c r="L77" s="331" t="s">
        <v>656</v>
      </c>
      <c r="M77" s="332">
        <v>33</v>
      </c>
      <c r="P77" s="31" t="s">
        <v>318</v>
      </c>
      <c r="Q77" s="36">
        <v>63</v>
      </c>
      <c r="S77" s="133" t="s">
        <v>631</v>
      </c>
      <c r="T77" s="133">
        <v>63</v>
      </c>
      <c r="U77" s="25"/>
      <c r="V77" s="31" t="s">
        <v>318</v>
      </c>
      <c r="W77" s="36">
        <v>63</v>
      </c>
    </row>
    <row r="78" spans="4:29" x14ac:dyDescent="0.3">
      <c r="D78" s="316"/>
      <c r="E78" s="338"/>
      <c r="F78" s="315"/>
      <c r="G78" s="28">
        <v>67</v>
      </c>
      <c r="H78" s="28" t="s">
        <v>199</v>
      </c>
      <c r="I78" s="28">
        <f t="shared" si="2"/>
        <v>4</v>
      </c>
      <c r="J78" s="339"/>
      <c r="K78" s="290" t="s">
        <v>655</v>
      </c>
      <c r="L78" s="331"/>
      <c r="M78" s="332"/>
      <c r="P78" s="31" t="s">
        <v>319</v>
      </c>
      <c r="Q78" s="36">
        <v>64</v>
      </c>
      <c r="S78" s="133" t="s">
        <v>630</v>
      </c>
      <c r="T78" s="133">
        <v>64</v>
      </c>
      <c r="U78" s="25"/>
      <c r="V78" s="31" t="s">
        <v>319</v>
      </c>
      <c r="W78" s="36">
        <v>64</v>
      </c>
    </row>
    <row r="79" spans="4:29" x14ac:dyDescent="0.3">
      <c r="D79" s="316"/>
      <c r="E79" s="338"/>
      <c r="F79" s="315"/>
      <c r="G79" s="28">
        <v>68</v>
      </c>
      <c r="H79" s="28" t="s">
        <v>202</v>
      </c>
      <c r="I79" s="28">
        <f t="shared" si="2"/>
        <v>5</v>
      </c>
      <c r="J79" s="339"/>
      <c r="K79" s="290" t="s">
        <v>654</v>
      </c>
      <c r="L79" s="331" t="s">
        <v>653</v>
      </c>
      <c r="M79" s="332">
        <v>34</v>
      </c>
      <c r="P79" s="31" t="s">
        <v>320</v>
      </c>
      <c r="Q79" s="36">
        <v>65</v>
      </c>
      <c r="S79" s="133" t="s">
        <v>629</v>
      </c>
      <c r="T79" s="133">
        <v>65</v>
      </c>
      <c r="U79" s="25"/>
      <c r="V79" s="31" t="s">
        <v>320</v>
      </c>
      <c r="W79" s="36">
        <v>65</v>
      </c>
    </row>
    <row r="80" spans="4:29" x14ac:dyDescent="0.3">
      <c r="D80" s="316"/>
      <c r="E80" s="338"/>
      <c r="F80" s="315"/>
      <c r="G80" s="28">
        <v>69</v>
      </c>
      <c r="H80" s="28" t="s">
        <v>205</v>
      </c>
      <c r="I80" s="28">
        <f t="shared" si="2"/>
        <v>6</v>
      </c>
      <c r="J80" s="339"/>
      <c r="K80" s="290" t="s">
        <v>652</v>
      </c>
      <c r="L80" s="331"/>
      <c r="M80" s="332"/>
      <c r="P80" s="31" t="s">
        <v>321</v>
      </c>
      <c r="Q80" s="36">
        <v>66</v>
      </c>
      <c r="S80" s="133" t="s">
        <v>628</v>
      </c>
      <c r="T80" s="133">
        <v>66</v>
      </c>
      <c r="U80" s="25"/>
      <c r="V80" s="31" t="s">
        <v>321</v>
      </c>
      <c r="W80" s="36">
        <v>66</v>
      </c>
    </row>
    <row r="81" spans="4:23" x14ac:dyDescent="0.3">
      <c r="D81" s="316"/>
      <c r="E81" s="338"/>
      <c r="F81" s="315"/>
      <c r="G81" s="28">
        <v>70</v>
      </c>
      <c r="H81" s="28" t="s">
        <v>208</v>
      </c>
      <c r="I81" s="28">
        <f t="shared" si="2"/>
        <v>7</v>
      </c>
      <c r="J81" s="339"/>
      <c r="K81" s="290" t="s">
        <v>651</v>
      </c>
      <c r="L81" s="331" t="s">
        <v>650</v>
      </c>
      <c r="M81" s="332">
        <v>35</v>
      </c>
      <c r="P81" s="31" t="s">
        <v>322</v>
      </c>
      <c r="Q81" s="36">
        <v>67</v>
      </c>
      <c r="S81" s="133" t="s">
        <v>627</v>
      </c>
      <c r="T81" s="133">
        <v>67</v>
      </c>
      <c r="U81" s="25"/>
      <c r="V81" s="31" t="s">
        <v>322</v>
      </c>
      <c r="W81" s="36">
        <v>67</v>
      </c>
    </row>
    <row r="82" spans="4:23" x14ac:dyDescent="0.3">
      <c r="D82" s="316"/>
      <c r="E82" s="338"/>
      <c r="F82" s="315"/>
      <c r="G82" s="28">
        <v>71</v>
      </c>
      <c r="H82" s="28" t="s">
        <v>211</v>
      </c>
      <c r="I82" s="28">
        <f t="shared" si="2"/>
        <v>8</v>
      </c>
      <c r="J82" s="339"/>
      <c r="K82" s="290" t="s">
        <v>649</v>
      </c>
      <c r="L82" s="331"/>
      <c r="M82" s="332"/>
      <c r="P82" s="31" t="s">
        <v>323</v>
      </c>
      <c r="Q82" s="36">
        <v>68</v>
      </c>
      <c r="S82" s="133" t="s">
        <v>330</v>
      </c>
      <c r="T82" s="133">
        <v>68</v>
      </c>
      <c r="U82" s="25"/>
      <c r="V82" s="31" t="s">
        <v>323</v>
      </c>
      <c r="W82" s="36">
        <v>68</v>
      </c>
    </row>
    <row r="83" spans="4:23" x14ac:dyDescent="0.3">
      <c r="D83" s="316"/>
      <c r="E83" s="338"/>
      <c r="F83" s="315"/>
      <c r="G83" s="28">
        <v>72</v>
      </c>
      <c r="H83" s="28" t="s">
        <v>214</v>
      </c>
      <c r="I83" s="28">
        <f t="shared" si="2"/>
        <v>9</v>
      </c>
      <c r="J83" s="339"/>
      <c r="K83" s="290" t="s">
        <v>648</v>
      </c>
      <c r="L83" s="331" t="s">
        <v>647</v>
      </c>
      <c r="M83" s="332">
        <v>36</v>
      </c>
      <c r="P83" s="31" t="s">
        <v>324</v>
      </c>
      <c r="Q83" s="36">
        <v>69</v>
      </c>
      <c r="S83" s="133" t="s">
        <v>331</v>
      </c>
      <c r="T83" s="133">
        <v>69</v>
      </c>
      <c r="U83" s="25"/>
      <c r="V83" s="31" t="s">
        <v>324</v>
      </c>
      <c r="W83" s="36">
        <v>69</v>
      </c>
    </row>
    <row r="84" spans="4:23" x14ac:dyDescent="0.3">
      <c r="D84" s="316"/>
      <c r="E84" s="338"/>
      <c r="F84" s="315"/>
      <c r="G84" s="28">
        <v>73</v>
      </c>
      <c r="H84" s="28" t="s">
        <v>216</v>
      </c>
      <c r="I84" s="28">
        <f t="shared" si="2"/>
        <v>10</v>
      </c>
      <c r="J84" s="339"/>
      <c r="K84" s="290" t="s">
        <v>646</v>
      </c>
      <c r="L84" s="331"/>
      <c r="M84" s="332"/>
      <c r="P84" s="31" t="s">
        <v>325</v>
      </c>
      <c r="Q84" s="36">
        <v>70</v>
      </c>
      <c r="S84" s="133" t="s">
        <v>332</v>
      </c>
      <c r="T84" s="133">
        <v>70</v>
      </c>
      <c r="U84" s="25"/>
      <c r="V84" s="31" t="s">
        <v>325</v>
      </c>
      <c r="W84" s="36">
        <v>70</v>
      </c>
    </row>
    <row r="85" spans="4:23" x14ac:dyDescent="0.3">
      <c r="D85" s="316"/>
      <c r="E85" s="338"/>
      <c r="F85" s="315"/>
      <c r="G85" s="28">
        <v>74</v>
      </c>
      <c r="H85" s="28" t="s">
        <v>218</v>
      </c>
      <c r="I85" s="28">
        <f t="shared" si="2"/>
        <v>11</v>
      </c>
      <c r="J85" s="339"/>
      <c r="K85" s="290" t="s">
        <v>645</v>
      </c>
      <c r="L85" s="331" t="s">
        <v>644</v>
      </c>
      <c r="M85" s="332">
        <v>37</v>
      </c>
      <c r="P85" s="31" t="s">
        <v>326</v>
      </c>
      <c r="Q85" s="36">
        <v>71</v>
      </c>
      <c r="S85" s="133" t="s">
        <v>333</v>
      </c>
      <c r="T85" s="133">
        <v>71</v>
      </c>
      <c r="U85" s="25"/>
      <c r="V85" s="31" t="s">
        <v>326</v>
      </c>
      <c r="W85" s="36">
        <v>71</v>
      </c>
    </row>
    <row r="86" spans="4:23" x14ac:dyDescent="0.3">
      <c r="D86" s="316"/>
      <c r="E86" s="338"/>
      <c r="F86" s="315"/>
      <c r="G86" s="28">
        <v>75</v>
      </c>
      <c r="H86" s="28" t="s">
        <v>220</v>
      </c>
      <c r="I86" s="28">
        <f t="shared" si="2"/>
        <v>12</v>
      </c>
      <c r="J86" s="339"/>
      <c r="K86" s="290" t="s">
        <v>643</v>
      </c>
      <c r="L86" s="331"/>
      <c r="M86" s="332"/>
      <c r="P86" s="31" t="s">
        <v>327</v>
      </c>
      <c r="Q86" s="36">
        <v>72</v>
      </c>
      <c r="S86" s="133" t="s">
        <v>334</v>
      </c>
      <c r="T86" s="133">
        <v>72</v>
      </c>
      <c r="U86" s="25"/>
      <c r="V86" s="31" t="s">
        <v>327</v>
      </c>
      <c r="W86" s="36">
        <v>72</v>
      </c>
    </row>
    <row r="87" spans="4:23" x14ac:dyDescent="0.3">
      <c r="D87" s="316"/>
      <c r="E87" s="338"/>
      <c r="F87" s="315"/>
      <c r="G87" s="28">
        <v>76</v>
      </c>
      <c r="H87" s="28" t="s">
        <v>222</v>
      </c>
      <c r="I87" s="28">
        <f t="shared" si="2"/>
        <v>13</v>
      </c>
      <c r="J87" s="339"/>
      <c r="K87" s="290" t="s">
        <v>642</v>
      </c>
      <c r="L87" s="331" t="s">
        <v>641</v>
      </c>
      <c r="M87" s="332">
        <v>38</v>
      </c>
      <c r="P87" s="31" t="s">
        <v>328</v>
      </c>
      <c r="Q87" s="36">
        <v>73</v>
      </c>
      <c r="S87" s="133" t="s">
        <v>335</v>
      </c>
      <c r="T87" s="133">
        <v>73</v>
      </c>
      <c r="U87" s="25"/>
      <c r="V87" s="31" t="s">
        <v>328</v>
      </c>
      <c r="W87" s="36">
        <v>73</v>
      </c>
    </row>
    <row r="88" spans="4:23" x14ac:dyDescent="0.3">
      <c r="D88" s="316"/>
      <c r="E88" s="338"/>
      <c r="F88" s="315"/>
      <c r="G88" s="28">
        <v>77</v>
      </c>
      <c r="H88" s="28" t="s">
        <v>224</v>
      </c>
      <c r="I88" s="28">
        <f t="shared" si="2"/>
        <v>14</v>
      </c>
      <c r="J88" s="339"/>
      <c r="K88" s="290" t="s">
        <v>640</v>
      </c>
      <c r="L88" s="331"/>
      <c r="M88" s="332"/>
      <c r="P88" s="31" t="s">
        <v>639</v>
      </c>
      <c r="Q88" s="36">
        <v>74</v>
      </c>
      <c r="S88" s="133" t="s">
        <v>1369</v>
      </c>
      <c r="T88" s="133">
        <v>74</v>
      </c>
      <c r="U88" s="25"/>
      <c r="V88" s="31" t="s">
        <v>639</v>
      </c>
      <c r="W88" s="36">
        <v>74</v>
      </c>
    </row>
    <row r="89" spans="4:23" x14ac:dyDescent="0.3">
      <c r="D89" s="316"/>
      <c r="E89" s="338"/>
      <c r="F89" s="315"/>
      <c r="G89" s="28">
        <v>78</v>
      </c>
      <c r="H89" s="28" t="s">
        <v>226</v>
      </c>
      <c r="I89" s="28">
        <f t="shared" si="2"/>
        <v>15</v>
      </c>
      <c r="J89" s="339"/>
      <c r="K89" s="290" t="s">
        <v>638</v>
      </c>
      <c r="L89" s="331" t="s">
        <v>637</v>
      </c>
      <c r="M89" s="332">
        <v>39</v>
      </c>
      <c r="P89" s="31" t="s">
        <v>636</v>
      </c>
      <c r="Q89" s="36">
        <v>75</v>
      </c>
      <c r="S89" s="133" t="s">
        <v>182</v>
      </c>
      <c r="T89" s="133">
        <v>75</v>
      </c>
      <c r="U89" s="25"/>
      <c r="V89" s="31" t="s">
        <v>636</v>
      </c>
      <c r="W89" s="36">
        <v>75</v>
      </c>
    </row>
    <row r="90" spans="4:23" x14ac:dyDescent="0.3">
      <c r="D90" s="316"/>
      <c r="E90" s="338"/>
      <c r="F90" s="315"/>
      <c r="G90" s="28">
        <v>79</v>
      </c>
      <c r="H90" s="28" t="s">
        <v>228</v>
      </c>
      <c r="I90" s="28">
        <f t="shared" si="2"/>
        <v>16</v>
      </c>
      <c r="J90" s="339"/>
      <c r="K90" s="290" t="s">
        <v>635</v>
      </c>
      <c r="L90" s="331"/>
      <c r="M90" s="332"/>
      <c r="P90" s="31" t="s">
        <v>634</v>
      </c>
      <c r="Q90" s="36">
        <v>76</v>
      </c>
      <c r="S90" s="133" t="s">
        <v>183</v>
      </c>
      <c r="T90" s="133">
        <v>76</v>
      </c>
      <c r="U90" s="25"/>
      <c r="V90" s="31" t="s">
        <v>634</v>
      </c>
      <c r="W90" s="36">
        <v>76</v>
      </c>
    </row>
    <row r="91" spans="4:23" x14ac:dyDescent="0.3">
      <c r="D91" s="316"/>
      <c r="E91" s="338"/>
      <c r="F91" s="315"/>
      <c r="G91" s="28">
        <v>80</v>
      </c>
      <c r="H91" s="28" t="s">
        <v>633</v>
      </c>
      <c r="I91" s="28">
        <f t="shared" si="2"/>
        <v>17</v>
      </c>
      <c r="J91" s="339"/>
      <c r="K91" s="290" t="s">
        <v>626</v>
      </c>
      <c r="L91" s="331" t="s">
        <v>625</v>
      </c>
      <c r="M91" s="332">
        <v>40</v>
      </c>
      <c r="P91" s="31" t="s">
        <v>632</v>
      </c>
      <c r="Q91" s="36">
        <v>77</v>
      </c>
      <c r="S91" s="133" t="s">
        <v>1370</v>
      </c>
      <c r="T91" s="133">
        <v>77</v>
      </c>
      <c r="U91" s="25"/>
      <c r="V91" s="31" t="s">
        <v>632</v>
      </c>
      <c r="W91" s="36">
        <v>77</v>
      </c>
    </row>
    <row r="92" spans="4:23" x14ac:dyDescent="0.3">
      <c r="D92" s="316"/>
      <c r="E92" s="338"/>
      <c r="F92" s="315"/>
      <c r="G92" s="28">
        <v>81</v>
      </c>
      <c r="H92" s="28" t="s">
        <v>194</v>
      </c>
      <c r="I92" s="28">
        <f t="shared" si="2"/>
        <v>18</v>
      </c>
      <c r="J92" s="339"/>
      <c r="K92" s="290" t="s">
        <v>624</v>
      </c>
      <c r="L92" s="331"/>
      <c r="M92" s="332"/>
      <c r="P92" s="31" t="s">
        <v>631</v>
      </c>
      <c r="Q92" s="36">
        <v>78</v>
      </c>
      <c r="S92" s="133" t="s">
        <v>1371</v>
      </c>
      <c r="T92" s="133">
        <v>78</v>
      </c>
      <c r="U92" s="25"/>
      <c r="V92" s="31" t="s">
        <v>631</v>
      </c>
      <c r="W92" s="36">
        <v>78</v>
      </c>
    </row>
    <row r="93" spans="4:23" x14ac:dyDescent="0.3">
      <c r="D93" s="316"/>
      <c r="E93" s="338"/>
      <c r="F93" s="315"/>
      <c r="G93" s="28">
        <v>82</v>
      </c>
      <c r="H93" s="28" t="s">
        <v>197</v>
      </c>
      <c r="I93" s="28">
        <f t="shared" si="2"/>
        <v>19</v>
      </c>
      <c r="J93" s="339"/>
      <c r="K93" s="290" t="s">
        <v>623</v>
      </c>
      <c r="L93" s="331" t="s">
        <v>622</v>
      </c>
      <c r="M93" s="332">
        <v>41</v>
      </c>
      <c r="P93" s="31" t="s">
        <v>630</v>
      </c>
      <c r="Q93" s="36">
        <v>79</v>
      </c>
      <c r="S93" s="133" t="s">
        <v>1372</v>
      </c>
      <c r="T93" s="133">
        <v>79</v>
      </c>
      <c r="U93" s="25"/>
      <c r="V93" s="31" t="s">
        <v>630</v>
      </c>
      <c r="W93" s="36">
        <v>79</v>
      </c>
    </row>
    <row r="94" spans="4:23" x14ac:dyDescent="0.3">
      <c r="D94" s="316"/>
      <c r="E94" s="338"/>
      <c r="F94" s="315"/>
      <c r="G94" s="28">
        <v>83</v>
      </c>
      <c r="H94" s="28" t="s">
        <v>200</v>
      </c>
      <c r="I94" s="28"/>
      <c r="J94" s="339"/>
      <c r="K94" s="290" t="s">
        <v>621</v>
      </c>
      <c r="L94" s="331"/>
      <c r="M94" s="332"/>
      <c r="P94" s="31" t="s">
        <v>629</v>
      </c>
      <c r="Q94" s="36">
        <v>80</v>
      </c>
      <c r="S94" s="133" t="s">
        <v>1373</v>
      </c>
      <c r="T94" s="133">
        <v>80</v>
      </c>
      <c r="U94" s="25"/>
      <c r="V94" s="31" t="s">
        <v>629</v>
      </c>
      <c r="W94" s="36">
        <v>80</v>
      </c>
    </row>
    <row r="95" spans="4:23" x14ac:dyDescent="0.3">
      <c r="D95" s="316"/>
      <c r="E95" s="338"/>
      <c r="F95" s="315"/>
      <c r="G95" s="28">
        <v>84</v>
      </c>
      <c r="H95" s="28" t="s">
        <v>203</v>
      </c>
      <c r="I95" s="28"/>
      <c r="J95" s="339"/>
      <c r="K95" s="290" t="s">
        <v>620</v>
      </c>
      <c r="L95" s="331" t="s">
        <v>619</v>
      </c>
      <c r="M95" s="332">
        <v>42</v>
      </c>
      <c r="P95" s="31" t="s">
        <v>628</v>
      </c>
      <c r="Q95" s="36">
        <v>81</v>
      </c>
      <c r="S95" s="133" t="s">
        <v>1374</v>
      </c>
      <c r="T95" s="133">
        <v>81</v>
      </c>
      <c r="U95" s="25"/>
      <c r="V95" s="31" t="s">
        <v>628</v>
      </c>
      <c r="W95" s="36">
        <v>81</v>
      </c>
    </row>
    <row r="96" spans="4:23" x14ac:dyDescent="0.3">
      <c r="D96" s="316"/>
      <c r="E96" s="338"/>
      <c r="F96" s="315"/>
      <c r="G96" s="28">
        <v>85</v>
      </c>
      <c r="H96" s="28" t="s">
        <v>206</v>
      </c>
      <c r="I96" s="28"/>
      <c r="J96" s="339"/>
      <c r="K96" s="290" t="s">
        <v>618</v>
      </c>
      <c r="L96" s="331"/>
      <c r="M96" s="332"/>
      <c r="P96" s="31" t="s">
        <v>627</v>
      </c>
      <c r="Q96" s="36">
        <v>82</v>
      </c>
      <c r="S96" s="133" t="s">
        <v>1375</v>
      </c>
      <c r="T96" s="133">
        <v>82</v>
      </c>
      <c r="U96" s="25"/>
      <c r="V96" s="31" t="s">
        <v>627</v>
      </c>
      <c r="W96" s="36">
        <v>82</v>
      </c>
    </row>
    <row r="97" spans="4:23" x14ac:dyDescent="0.3">
      <c r="D97" s="316"/>
      <c r="E97" s="338"/>
      <c r="F97" s="315"/>
      <c r="G97" s="28">
        <v>86</v>
      </c>
      <c r="H97" s="28"/>
      <c r="I97" s="28"/>
      <c r="J97" s="339"/>
      <c r="K97" s="290" t="s">
        <v>617</v>
      </c>
      <c r="L97" s="331" t="s">
        <v>616</v>
      </c>
      <c r="M97" s="332">
        <v>43</v>
      </c>
      <c r="P97" s="31" t="s">
        <v>330</v>
      </c>
      <c r="Q97" s="36">
        <v>83</v>
      </c>
      <c r="S97" s="133" t="s">
        <v>1376</v>
      </c>
      <c r="T97" s="133">
        <v>83</v>
      </c>
      <c r="U97" s="25"/>
      <c r="V97" s="31" t="s">
        <v>330</v>
      </c>
      <c r="W97" s="36">
        <v>83</v>
      </c>
    </row>
    <row r="98" spans="4:23" x14ac:dyDescent="0.3">
      <c r="D98" s="316"/>
      <c r="E98" s="338"/>
      <c r="F98" s="315"/>
      <c r="G98" s="28">
        <v>87</v>
      </c>
      <c r="H98" s="28"/>
      <c r="I98" s="28"/>
      <c r="J98" s="339"/>
      <c r="K98" s="290" t="s">
        <v>615</v>
      </c>
      <c r="L98" s="331"/>
      <c r="M98" s="332"/>
      <c r="O98" s="25"/>
      <c r="P98" s="31" t="s">
        <v>331</v>
      </c>
      <c r="Q98" s="36">
        <v>84</v>
      </c>
      <c r="S98" s="133" t="s">
        <v>1377</v>
      </c>
      <c r="T98" s="133">
        <v>84</v>
      </c>
      <c r="U98" s="25"/>
      <c r="V98" s="31" t="s">
        <v>331</v>
      </c>
      <c r="W98" s="36">
        <v>84</v>
      </c>
    </row>
    <row r="99" spans="4:23" x14ac:dyDescent="0.3">
      <c r="D99" s="316"/>
      <c r="E99" s="338"/>
      <c r="F99" s="315"/>
      <c r="G99" s="28">
        <v>88</v>
      </c>
      <c r="H99" s="28"/>
      <c r="I99" s="28"/>
      <c r="J99" s="339"/>
      <c r="K99" s="290" t="s">
        <v>614</v>
      </c>
      <c r="L99" s="331" t="s">
        <v>613</v>
      </c>
      <c r="M99" s="332">
        <v>44</v>
      </c>
      <c r="O99" s="25"/>
      <c r="P99" s="31" t="s">
        <v>332</v>
      </c>
      <c r="Q99" s="36">
        <v>85</v>
      </c>
      <c r="S99" s="133" t="s">
        <v>1378</v>
      </c>
      <c r="T99" s="133">
        <v>85</v>
      </c>
      <c r="U99" s="25"/>
      <c r="V99" s="31" t="s">
        <v>332</v>
      </c>
      <c r="W99" s="36">
        <v>85</v>
      </c>
    </row>
    <row r="100" spans="4:23" x14ac:dyDescent="0.3">
      <c r="D100" s="316"/>
      <c r="E100" s="338"/>
      <c r="F100" s="315"/>
      <c r="G100" s="28">
        <v>89</v>
      </c>
      <c r="H100" s="28"/>
      <c r="I100" s="28"/>
      <c r="J100" s="339"/>
      <c r="K100" s="290" t="s">
        <v>612</v>
      </c>
      <c r="L100" s="331"/>
      <c r="M100" s="332"/>
      <c r="P100" s="31" t="s">
        <v>333</v>
      </c>
      <c r="Q100" s="36">
        <v>86</v>
      </c>
      <c r="S100" s="133" t="s">
        <v>1379</v>
      </c>
      <c r="T100" s="133">
        <v>86</v>
      </c>
      <c r="U100" s="25"/>
      <c r="V100" s="31" t="s">
        <v>333</v>
      </c>
      <c r="W100" s="36">
        <v>86</v>
      </c>
    </row>
    <row r="101" spans="4:23" x14ac:dyDescent="0.3">
      <c r="D101" s="316"/>
      <c r="E101" s="338"/>
      <c r="F101" s="315"/>
      <c r="G101" s="28">
        <v>90</v>
      </c>
      <c r="H101" s="28"/>
      <c r="I101" s="28"/>
      <c r="J101" s="339"/>
      <c r="K101" s="290" t="s">
        <v>611</v>
      </c>
      <c r="L101" s="331" t="s">
        <v>610</v>
      </c>
      <c r="M101" s="332">
        <v>45</v>
      </c>
      <c r="P101" s="31" t="s">
        <v>334</v>
      </c>
      <c r="Q101" s="36">
        <v>87</v>
      </c>
      <c r="S101" s="133" t="s">
        <v>1380</v>
      </c>
      <c r="T101" s="133">
        <v>87</v>
      </c>
      <c r="U101" s="25"/>
      <c r="V101" s="31" t="s">
        <v>334</v>
      </c>
      <c r="W101" s="36">
        <v>87</v>
      </c>
    </row>
    <row r="102" spans="4:23" x14ac:dyDescent="0.3">
      <c r="D102" s="316"/>
      <c r="E102" s="338"/>
      <c r="F102" s="315"/>
      <c r="G102" s="28">
        <v>91</v>
      </c>
      <c r="H102" s="28"/>
      <c r="I102" s="28"/>
      <c r="J102" s="339"/>
      <c r="K102" s="290" t="s">
        <v>609</v>
      </c>
      <c r="L102" s="331"/>
      <c r="M102" s="332"/>
      <c r="P102" s="31" t="s">
        <v>335</v>
      </c>
      <c r="Q102" s="36">
        <v>88</v>
      </c>
      <c r="S102" s="133" t="s">
        <v>1381</v>
      </c>
      <c r="T102" s="133">
        <v>88</v>
      </c>
      <c r="U102" s="25"/>
      <c r="V102" s="31" t="s">
        <v>335</v>
      </c>
      <c r="W102" s="36">
        <v>88</v>
      </c>
    </row>
    <row r="103" spans="4:23" x14ac:dyDescent="0.3">
      <c r="D103" s="316"/>
      <c r="E103" s="338"/>
      <c r="F103" s="315"/>
      <c r="G103" s="28">
        <v>92</v>
      </c>
      <c r="H103" s="28"/>
      <c r="I103" s="28"/>
      <c r="J103" s="339"/>
      <c r="K103" s="290" t="s">
        <v>608</v>
      </c>
      <c r="L103" s="331" t="s">
        <v>607</v>
      </c>
      <c r="M103" s="332">
        <v>46</v>
      </c>
      <c r="P103" s="31" t="s">
        <v>1282</v>
      </c>
      <c r="Q103" s="36">
        <v>89</v>
      </c>
      <c r="S103" s="133" t="s">
        <v>1382</v>
      </c>
      <c r="T103" s="133">
        <v>89</v>
      </c>
      <c r="U103" s="25"/>
      <c r="V103" s="31" t="s">
        <v>1412</v>
      </c>
      <c r="W103" s="36">
        <v>89</v>
      </c>
    </row>
    <row r="104" spans="4:23" x14ac:dyDescent="0.3">
      <c r="D104" s="316"/>
      <c r="E104" s="338"/>
      <c r="F104" s="315"/>
      <c r="G104" s="28">
        <v>93</v>
      </c>
      <c r="H104" s="28"/>
      <c r="I104" s="28"/>
      <c r="J104" s="339"/>
      <c r="K104" s="290" t="s">
        <v>606</v>
      </c>
      <c r="L104" s="331"/>
      <c r="M104" s="332"/>
      <c r="P104" s="31" t="s">
        <v>1283</v>
      </c>
      <c r="Q104" s="36">
        <v>90</v>
      </c>
      <c r="S104" s="133" t="s">
        <v>1424</v>
      </c>
      <c r="T104" s="133">
        <v>90</v>
      </c>
      <c r="U104" s="25"/>
      <c r="V104" s="31" t="s">
        <v>1413</v>
      </c>
      <c r="W104" s="36">
        <v>90</v>
      </c>
    </row>
    <row r="105" spans="4:23" x14ac:dyDescent="0.3">
      <c r="D105" s="316"/>
      <c r="E105" s="338"/>
      <c r="F105" s="315"/>
      <c r="G105" s="28">
        <v>94</v>
      </c>
      <c r="H105" s="28"/>
      <c r="I105" s="28"/>
      <c r="J105" s="339"/>
      <c r="K105" s="290" t="s">
        <v>605</v>
      </c>
      <c r="L105" s="331" t="s">
        <v>604</v>
      </c>
      <c r="M105" s="332">
        <v>47</v>
      </c>
      <c r="P105" s="31" t="s">
        <v>1284</v>
      </c>
      <c r="Q105" s="36">
        <v>91</v>
      </c>
      <c r="S105" s="133" t="s">
        <v>1425</v>
      </c>
      <c r="T105" s="133">
        <v>91</v>
      </c>
      <c r="U105" s="25"/>
      <c r="V105" s="31" t="s">
        <v>1414</v>
      </c>
      <c r="W105" s="36">
        <v>91</v>
      </c>
    </row>
    <row r="106" spans="4:23" x14ac:dyDescent="0.3">
      <c r="D106" s="316"/>
      <c r="E106" s="338"/>
      <c r="F106" s="315"/>
      <c r="G106" s="28">
        <v>95</v>
      </c>
      <c r="H106" s="28"/>
      <c r="I106" s="28"/>
      <c r="J106" s="339"/>
      <c r="K106" s="290" t="s">
        <v>603</v>
      </c>
      <c r="L106" s="331"/>
      <c r="M106" s="332"/>
      <c r="P106" s="31" t="s">
        <v>1285</v>
      </c>
      <c r="Q106" s="36">
        <v>92</v>
      </c>
      <c r="S106" s="133" t="s">
        <v>1383</v>
      </c>
      <c r="T106" s="133">
        <v>92</v>
      </c>
      <c r="U106" s="25"/>
      <c r="V106" s="31" t="s">
        <v>1415</v>
      </c>
      <c r="W106" s="36">
        <v>92</v>
      </c>
    </row>
    <row r="107" spans="4:23" x14ac:dyDescent="0.3">
      <c r="D107" s="316"/>
      <c r="E107" s="338"/>
      <c r="F107" s="315"/>
      <c r="G107" s="28">
        <v>96</v>
      </c>
      <c r="H107" s="28"/>
      <c r="I107" s="28"/>
      <c r="J107" s="339"/>
      <c r="K107" s="290" t="s">
        <v>602</v>
      </c>
      <c r="L107" s="331" t="s">
        <v>601</v>
      </c>
      <c r="M107" s="332">
        <v>48</v>
      </c>
      <c r="P107" s="31" t="s">
        <v>1286</v>
      </c>
      <c r="Q107" s="36">
        <v>93</v>
      </c>
      <c r="S107" s="133" t="s">
        <v>1384</v>
      </c>
      <c r="T107" s="133">
        <v>93</v>
      </c>
      <c r="U107" s="25"/>
      <c r="V107" s="31" t="s">
        <v>1416</v>
      </c>
      <c r="W107" s="36">
        <v>93</v>
      </c>
    </row>
    <row r="108" spans="4:23" x14ac:dyDescent="0.3">
      <c r="D108" s="316"/>
      <c r="E108" s="338"/>
      <c r="F108" s="315"/>
      <c r="G108" s="28">
        <v>97</v>
      </c>
      <c r="H108" s="28"/>
      <c r="I108" s="28"/>
      <c r="J108" s="339"/>
      <c r="K108" s="290" t="s">
        <v>600</v>
      </c>
      <c r="L108" s="331"/>
      <c r="M108" s="332"/>
      <c r="P108" s="31" t="s">
        <v>1287</v>
      </c>
      <c r="Q108" s="36">
        <v>94</v>
      </c>
      <c r="S108" s="133" t="s">
        <v>1385</v>
      </c>
      <c r="T108" s="133">
        <v>94</v>
      </c>
      <c r="U108" s="25"/>
      <c r="V108" s="31" t="s">
        <v>1417</v>
      </c>
      <c r="W108" s="36">
        <v>94</v>
      </c>
    </row>
    <row r="109" spans="4:23" x14ac:dyDescent="0.3">
      <c r="D109" s="316"/>
      <c r="E109" s="338"/>
      <c r="F109" s="315"/>
      <c r="G109" s="28">
        <v>98</v>
      </c>
      <c r="H109" s="28"/>
      <c r="I109" s="28"/>
      <c r="J109" s="339"/>
      <c r="K109" s="290" t="s">
        <v>599</v>
      </c>
      <c r="L109" s="331" t="s">
        <v>598</v>
      </c>
      <c r="M109" s="332">
        <v>49</v>
      </c>
      <c r="P109" s="31" t="s">
        <v>1288</v>
      </c>
      <c r="Q109" s="36">
        <v>95</v>
      </c>
      <c r="S109" s="133" t="s">
        <v>1386</v>
      </c>
      <c r="T109" s="133">
        <v>95</v>
      </c>
      <c r="U109" s="25"/>
      <c r="V109" s="31" t="s">
        <v>1418</v>
      </c>
      <c r="W109" s="36">
        <v>95</v>
      </c>
    </row>
    <row r="110" spans="4:23" x14ac:dyDescent="0.3">
      <c r="D110" s="316"/>
      <c r="E110" s="338"/>
      <c r="F110" s="315"/>
      <c r="G110" s="28">
        <v>99</v>
      </c>
      <c r="H110" s="28"/>
      <c r="I110" s="28"/>
      <c r="J110" s="339"/>
      <c r="K110" s="290" t="s">
        <v>597</v>
      </c>
      <c r="L110" s="331"/>
      <c r="M110" s="332"/>
      <c r="P110" s="31" t="s">
        <v>1289</v>
      </c>
      <c r="Q110" s="36">
        <v>96</v>
      </c>
      <c r="S110" s="133" t="s">
        <v>1387</v>
      </c>
      <c r="T110" s="133">
        <v>96</v>
      </c>
      <c r="U110" s="25"/>
      <c r="V110" s="31" t="s">
        <v>1419</v>
      </c>
      <c r="W110" s="36">
        <v>96</v>
      </c>
    </row>
    <row r="111" spans="4:23" x14ac:dyDescent="0.3">
      <c r="D111" s="316"/>
      <c r="E111" s="338"/>
      <c r="F111" s="315"/>
      <c r="G111" s="28">
        <v>100</v>
      </c>
      <c r="H111" s="28"/>
      <c r="I111" s="28"/>
      <c r="J111" s="339"/>
      <c r="K111" s="290" t="s">
        <v>596</v>
      </c>
      <c r="L111" s="331" t="s">
        <v>595</v>
      </c>
      <c r="M111" s="332">
        <v>50</v>
      </c>
      <c r="P111" s="31" t="s">
        <v>1290</v>
      </c>
      <c r="Q111" s="36">
        <v>97</v>
      </c>
      <c r="S111" s="133" t="s">
        <v>1388</v>
      </c>
      <c r="T111" s="133">
        <v>97</v>
      </c>
      <c r="U111" s="25"/>
      <c r="V111" s="31" t="s">
        <v>1420</v>
      </c>
      <c r="W111" s="36">
        <v>97</v>
      </c>
    </row>
    <row r="112" spans="4:23" x14ac:dyDescent="0.3">
      <c r="D112" s="316"/>
      <c r="E112" s="338"/>
      <c r="F112" s="315"/>
      <c r="G112" s="28">
        <v>101</v>
      </c>
      <c r="H112" s="28"/>
      <c r="I112" s="28"/>
      <c r="J112" s="339"/>
      <c r="K112" s="290" t="s">
        <v>594</v>
      </c>
      <c r="L112" s="331"/>
      <c r="M112" s="332"/>
      <c r="P112" s="31" t="s">
        <v>1291</v>
      </c>
      <c r="Q112" s="36">
        <v>98</v>
      </c>
      <c r="S112" s="133" t="s">
        <v>1389</v>
      </c>
      <c r="T112" s="133">
        <v>98</v>
      </c>
      <c r="U112" s="41"/>
      <c r="V112" s="31" t="s">
        <v>1421</v>
      </c>
      <c r="W112" s="36">
        <v>98</v>
      </c>
    </row>
    <row r="113" spans="4:23" x14ac:dyDescent="0.3">
      <c r="D113" s="316"/>
      <c r="E113" s="338"/>
      <c r="F113" s="315"/>
      <c r="G113" s="28">
        <v>102</v>
      </c>
      <c r="H113" s="28"/>
      <c r="I113" s="28"/>
      <c r="J113" s="339"/>
      <c r="K113" s="290" t="s">
        <v>593</v>
      </c>
      <c r="L113" s="331" t="s">
        <v>592</v>
      </c>
      <c r="M113" s="332">
        <v>51</v>
      </c>
      <c r="P113" s="31" t="s">
        <v>1292</v>
      </c>
      <c r="Q113" s="36">
        <v>99</v>
      </c>
      <c r="S113" s="133" t="s">
        <v>1390</v>
      </c>
      <c r="T113" s="133">
        <v>99</v>
      </c>
      <c r="U113" s="25"/>
      <c r="V113" s="133" t="s">
        <v>1292</v>
      </c>
      <c r="W113" s="36">
        <v>99</v>
      </c>
    </row>
    <row r="114" spans="4:23" x14ac:dyDescent="0.3">
      <c r="D114" s="316"/>
      <c r="E114" s="338"/>
      <c r="F114" s="315"/>
      <c r="G114" s="28">
        <v>103</v>
      </c>
      <c r="H114" s="28"/>
      <c r="I114" s="28"/>
      <c r="J114" s="339"/>
      <c r="K114" s="290" t="s">
        <v>591</v>
      </c>
      <c r="L114" s="331"/>
      <c r="M114" s="332"/>
      <c r="P114" s="133" t="s">
        <v>1293</v>
      </c>
      <c r="Q114" s="36">
        <v>100</v>
      </c>
      <c r="S114" s="133" t="s">
        <v>1391</v>
      </c>
      <c r="T114" s="133">
        <v>100</v>
      </c>
      <c r="U114" s="25"/>
      <c r="V114" s="133" t="s">
        <v>1293</v>
      </c>
      <c r="W114" s="36">
        <v>100</v>
      </c>
    </row>
    <row r="115" spans="4:23" x14ac:dyDescent="0.3">
      <c r="D115" s="316"/>
      <c r="E115" s="338"/>
      <c r="F115" s="315"/>
      <c r="G115" s="28">
        <v>104</v>
      </c>
      <c r="H115" s="28"/>
      <c r="I115" s="28"/>
      <c r="J115" s="339"/>
      <c r="K115" s="290" t="s">
        <v>590</v>
      </c>
      <c r="L115" s="331" t="s">
        <v>589</v>
      </c>
      <c r="M115" s="332">
        <v>52</v>
      </c>
      <c r="P115" s="133" t="s">
        <v>1294</v>
      </c>
      <c r="Q115" s="36">
        <v>101</v>
      </c>
      <c r="S115" s="133" t="s">
        <v>1392</v>
      </c>
      <c r="T115" s="133">
        <v>101</v>
      </c>
      <c r="U115" s="25"/>
      <c r="V115" s="133" t="s">
        <v>1294</v>
      </c>
      <c r="W115" s="36">
        <v>101</v>
      </c>
    </row>
    <row r="116" spans="4:23" x14ac:dyDescent="0.3">
      <c r="D116" s="316"/>
      <c r="E116" s="338"/>
      <c r="F116" s="315"/>
      <c r="G116" s="28">
        <v>105</v>
      </c>
      <c r="H116" s="28"/>
      <c r="I116" s="28"/>
      <c r="J116" s="339"/>
      <c r="K116" s="290" t="s">
        <v>588</v>
      </c>
      <c r="L116" s="331"/>
      <c r="M116" s="332"/>
      <c r="P116" s="133" t="s">
        <v>1295</v>
      </c>
      <c r="Q116" s="36">
        <v>102</v>
      </c>
      <c r="S116" s="133" t="s">
        <v>1324</v>
      </c>
      <c r="T116" s="133">
        <v>102</v>
      </c>
      <c r="U116" s="25"/>
      <c r="V116" s="133" t="s">
        <v>1295</v>
      </c>
      <c r="W116" s="36">
        <v>102</v>
      </c>
    </row>
    <row r="117" spans="4:23" x14ac:dyDescent="0.3">
      <c r="D117" s="316"/>
      <c r="E117" s="338"/>
      <c r="F117" s="315"/>
      <c r="G117" s="28">
        <v>106</v>
      </c>
      <c r="H117" s="28"/>
      <c r="I117" s="28"/>
      <c r="J117" s="339"/>
      <c r="K117" s="290" t="s">
        <v>587</v>
      </c>
      <c r="L117" s="331" t="s">
        <v>586</v>
      </c>
      <c r="M117" s="332">
        <v>53</v>
      </c>
      <c r="P117" s="133" t="s">
        <v>1296</v>
      </c>
      <c r="Q117" s="36">
        <v>103</v>
      </c>
      <c r="S117" s="133" t="s">
        <v>1325</v>
      </c>
      <c r="T117" s="133">
        <v>103</v>
      </c>
      <c r="U117" s="25"/>
      <c r="V117" s="133" t="s">
        <v>1296</v>
      </c>
      <c r="W117" s="36">
        <v>103</v>
      </c>
    </row>
    <row r="118" spans="4:23" x14ac:dyDescent="0.3">
      <c r="D118" s="316"/>
      <c r="E118" s="338"/>
      <c r="F118" s="315"/>
      <c r="G118" s="28">
        <v>107</v>
      </c>
      <c r="H118" s="28"/>
      <c r="I118" s="28"/>
      <c r="J118" s="339"/>
      <c r="K118" s="290" t="s">
        <v>585</v>
      </c>
      <c r="L118" s="331"/>
      <c r="M118" s="332"/>
      <c r="P118" s="133" t="s">
        <v>1297</v>
      </c>
      <c r="Q118" s="36">
        <v>104</v>
      </c>
      <c r="S118" s="133" t="s">
        <v>1326</v>
      </c>
      <c r="T118" s="133">
        <v>104</v>
      </c>
      <c r="U118" s="25"/>
      <c r="V118" s="133" t="s">
        <v>1297</v>
      </c>
      <c r="W118" s="36">
        <v>104</v>
      </c>
    </row>
    <row r="119" spans="4:23" x14ac:dyDescent="0.3">
      <c r="D119" s="316"/>
      <c r="E119" s="338"/>
      <c r="F119" s="315"/>
      <c r="G119" s="28">
        <v>108</v>
      </c>
      <c r="H119" s="28"/>
      <c r="I119" s="28"/>
      <c r="J119" s="339"/>
      <c r="K119" s="290" t="s">
        <v>584</v>
      </c>
      <c r="L119" s="331" t="s">
        <v>583</v>
      </c>
      <c r="M119" s="332">
        <v>54</v>
      </c>
      <c r="P119" s="133" t="s">
        <v>1298</v>
      </c>
      <c r="Q119" s="36">
        <v>105</v>
      </c>
      <c r="S119" s="133" t="s">
        <v>1327</v>
      </c>
      <c r="T119" s="133">
        <v>105</v>
      </c>
      <c r="U119" s="25"/>
      <c r="V119" s="133" t="s">
        <v>1298</v>
      </c>
      <c r="W119" s="36">
        <v>105</v>
      </c>
    </row>
    <row r="120" spans="4:23" x14ac:dyDescent="0.3">
      <c r="D120" s="316"/>
      <c r="E120" s="338"/>
      <c r="F120" s="315"/>
      <c r="G120" s="28">
        <v>109</v>
      </c>
      <c r="H120" s="28"/>
      <c r="I120" s="28"/>
      <c r="J120" s="339"/>
      <c r="K120" s="290" t="s">
        <v>582</v>
      </c>
      <c r="L120" s="331"/>
      <c r="M120" s="332"/>
      <c r="P120" s="133" t="s">
        <v>1299</v>
      </c>
      <c r="Q120" s="36">
        <v>106</v>
      </c>
      <c r="S120" s="133" t="s">
        <v>1328</v>
      </c>
      <c r="T120" s="133">
        <v>106</v>
      </c>
      <c r="U120" s="25"/>
      <c r="V120" s="133" t="s">
        <v>1299</v>
      </c>
      <c r="W120" s="36">
        <v>106</v>
      </c>
    </row>
    <row r="121" spans="4:23" x14ac:dyDescent="0.3">
      <c r="D121" s="316"/>
      <c r="E121" s="338"/>
      <c r="F121" s="315"/>
      <c r="G121" s="28">
        <v>110</v>
      </c>
      <c r="H121" s="28"/>
      <c r="I121" s="28"/>
      <c r="J121" s="339"/>
      <c r="K121" s="290" t="s">
        <v>581</v>
      </c>
      <c r="L121" s="331" t="s">
        <v>580</v>
      </c>
      <c r="M121" s="332">
        <v>55</v>
      </c>
      <c r="P121" s="133" t="s">
        <v>1300</v>
      </c>
      <c r="Q121" s="36">
        <v>107</v>
      </c>
      <c r="S121" s="133" t="s">
        <v>1329</v>
      </c>
      <c r="T121" s="133">
        <v>107</v>
      </c>
      <c r="U121" s="25"/>
      <c r="V121" s="133" t="s">
        <v>1300</v>
      </c>
      <c r="W121" s="36">
        <v>107</v>
      </c>
    </row>
    <row r="122" spans="4:23" x14ac:dyDescent="0.3">
      <c r="D122" s="316"/>
      <c r="E122" s="338"/>
      <c r="F122" s="315"/>
      <c r="G122" s="28">
        <v>111</v>
      </c>
      <c r="H122" s="28"/>
      <c r="I122" s="28"/>
      <c r="J122" s="324"/>
      <c r="K122" s="290" t="s">
        <v>579</v>
      </c>
      <c r="L122" s="331"/>
      <c r="M122" s="332"/>
      <c r="P122" s="133" t="s">
        <v>1301</v>
      </c>
      <c r="Q122" s="36">
        <v>108</v>
      </c>
      <c r="S122" s="133" t="s">
        <v>1330</v>
      </c>
      <c r="T122" s="133">
        <v>108</v>
      </c>
      <c r="U122" s="25"/>
      <c r="V122" s="133" t="s">
        <v>1301</v>
      </c>
      <c r="W122" s="36">
        <v>108</v>
      </c>
    </row>
    <row r="123" spans="4:23" x14ac:dyDescent="0.3">
      <c r="D123" s="316"/>
      <c r="E123" s="338"/>
      <c r="F123" s="315"/>
      <c r="G123" s="28">
        <v>112</v>
      </c>
      <c r="H123" s="28"/>
      <c r="K123" s="290" t="s">
        <v>626</v>
      </c>
      <c r="L123" s="331" t="s">
        <v>1441</v>
      </c>
      <c r="M123" s="332">
        <v>56</v>
      </c>
      <c r="P123" s="133" t="s">
        <v>1302</v>
      </c>
      <c r="Q123" s="36">
        <v>109</v>
      </c>
      <c r="S123" s="133" t="s">
        <v>1331</v>
      </c>
      <c r="T123" s="133">
        <v>109</v>
      </c>
      <c r="U123" s="25"/>
      <c r="V123" s="133" t="s">
        <v>1302</v>
      </c>
      <c r="W123" s="36">
        <v>109</v>
      </c>
    </row>
    <row r="124" spans="4:23" x14ac:dyDescent="0.3">
      <c r="D124" s="316"/>
      <c r="E124" s="338"/>
      <c r="F124" s="315"/>
      <c r="G124" s="28">
        <v>113</v>
      </c>
      <c r="H124" s="28"/>
      <c r="K124" s="290" t="s">
        <v>624</v>
      </c>
      <c r="L124" s="331"/>
      <c r="M124" s="332"/>
      <c r="P124" s="133" t="s">
        <v>1303</v>
      </c>
      <c r="Q124" s="36">
        <v>110</v>
      </c>
      <c r="S124" s="133" t="s">
        <v>1332</v>
      </c>
      <c r="T124" s="133">
        <v>110</v>
      </c>
      <c r="U124" s="25"/>
      <c r="V124" s="133" t="s">
        <v>1303</v>
      </c>
      <c r="W124" s="36">
        <v>110</v>
      </c>
    </row>
    <row r="125" spans="4:23" x14ac:dyDescent="0.3">
      <c r="D125" s="316"/>
      <c r="E125" s="338"/>
      <c r="F125" s="315"/>
      <c r="G125" s="28">
        <v>114</v>
      </c>
      <c r="H125" s="28"/>
      <c r="K125" s="290" t="s">
        <v>623</v>
      </c>
      <c r="L125" s="331" t="s">
        <v>1442</v>
      </c>
      <c r="M125" s="332">
        <v>57</v>
      </c>
      <c r="P125" s="133" t="s">
        <v>1304</v>
      </c>
      <c r="Q125" s="36">
        <v>111</v>
      </c>
      <c r="S125" s="133" t="s">
        <v>1333</v>
      </c>
      <c r="T125" s="133">
        <v>111</v>
      </c>
      <c r="U125" s="25"/>
      <c r="V125" s="133" t="s">
        <v>1304</v>
      </c>
      <c r="W125" s="36">
        <v>111</v>
      </c>
    </row>
    <row r="126" spans="4:23" x14ac:dyDescent="0.3">
      <c r="D126" s="316"/>
      <c r="E126" s="338"/>
      <c r="F126" s="315"/>
      <c r="G126" s="28">
        <v>115</v>
      </c>
      <c r="H126" s="28"/>
      <c r="K126" s="290" t="s">
        <v>621</v>
      </c>
      <c r="L126" s="331"/>
      <c r="M126" s="332"/>
      <c r="P126" s="133" t="s">
        <v>1305</v>
      </c>
      <c r="Q126" s="36">
        <v>112</v>
      </c>
      <c r="S126" s="133" t="s">
        <v>1334</v>
      </c>
      <c r="T126" s="133">
        <v>112</v>
      </c>
      <c r="U126" s="25"/>
      <c r="V126" s="133" t="s">
        <v>1305</v>
      </c>
      <c r="W126" s="36">
        <v>112</v>
      </c>
    </row>
    <row r="127" spans="4:23" x14ac:dyDescent="0.3">
      <c r="D127" s="316"/>
      <c r="E127" s="338"/>
      <c r="F127" s="315"/>
      <c r="G127" s="28">
        <v>116</v>
      </c>
      <c r="H127" s="28"/>
      <c r="K127" s="290" t="s">
        <v>620</v>
      </c>
      <c r="L127" s="331" t="s">
        <v>1443</v>
      </c>
      <c r="M127" s="332">
        <v>58</v>
      </c>
      <c r="P127" s="133" t="s">
        <v>1306</v>
      </c>
      <c r="Q127" s="36">
        <v>113</v>
      </c>
      <c r="S127" s="133" t="s">
        <v>1335</v>
      </c>
      <c r="T127" s="133">
        <v>113</v>
      </c>
      <c r="U127" s="25"/>
      <c r="V127" s="133" t="s">
        <v>1306</v>
      </c>
      <c r="W127" s="36">
        <v>113</v>
      </c>
    </row>
    <row r="128" spans="4:23" x14ac:dyDescent="0.3">
      <c r="D128" s="316"/>
      <c r="E128" s="338"/>
      <c r="F128" s="315"/>
      <c r="G128" s="28">
        <v>117</v>
      </c>
      <c r="H128" s="28"/>
      <c r="K128" s="290" t="s">
        <v>618</v>
      </c>
      <c r="L128" s="331"/>
      <c r="M128" s="332"/>
      <c r="P128" s="133" t="s">
        <v>1307</v>
      </c>
      <c r="Q128" s="36">
        <v>114</v>
      </c>
      <c r="S128" s="133" t="s">
        <v>1336</v>
      </c>
      <c r="T128" s="133">
        <v>114</v>
      </c>
      <c r="U128" s="25"/>
      <c r="V128" s="133" t="s">
        <v>1307</v>
      </c>
      <c r="W128" s="36">
        <v>114</v>
      </c>
    </row>
    <row r="129" spans="4:23" x14ac:dyDescent="0.3">
      <c r="D129" s="316"/>
      <c r="E129" s="338"/>
      <c r="F129" s="315"/>
      <c r="G129" s="28">
        <v>118</v>
      </c>
      <c r="H129" s="28"/>
      <c r="K129" s="290" t="s">
        <v>617</v>
      </c>
      <c r="L129" s="331" t="s">
        <v>1444</v>
      </c>
      <c r="M129" s="332">
        <v>59</v>
      </c>
      <c r="P129" s="133" t="s">
        <v>1308</v>
      </c>
      <c r="Q129" s="36">
        <v>115</v>
      </c>
      <c r="S129" s="133" t="s">
        <v>1337</v>
      </c>
      <c r="T129" s="133">
        <v>115</v>
      </c>
      <c r="U129" s="25"/>
      <c r="V129" s="133" t="s">
        <v>1308</v>
      </c>
      <c r="W129" s="36">
        <v>115</v>
      </c>
    </row>
    <row r="130" spans="4:23" x14ac:dyDescent="0.3">
      <c r="D130" s="316"/>
      <c r="E130" s="338"/>
      <c r="F130" s="315"/>
      <c r="G130" s="28">
        <v>119</v>
      </c>
      <c r="H130" s="28"/>
      <c r="K130" s="290" t="s">
        <v>615</v>
      </c>
      <c r="L130" s="331"/>
      <c r="M130" s="332"/>
      <c r="P130" s="133" t="s">
        <v>1309</v>
      </c>
      <c r="Q130" s="36">
        <v>116</v>
      </c>
      <c r="S130" s="133" t="s">
        <v>1393</v>
      </c>
      <c r="T130" s="133">
        <v>116</v>
      </c>
      <c r="U130" s="25"/>
      <c r="V130" s="133" t="s">
        <v>1309</v>
      </c>
      <c r="W130" s="36">
        <v>116</v>
      </c>
    </row>
    <row r="131" spans="4:23" x14ac:dyDescent="0.3">
      <c r="D131" s="316"/>
      <c r="E131" s="338"/>
      <c r="F131" s="315"/>
      <c r="G131" s="28">
        <v>120</v>
      </c>
      <c r="H131" s="28"/>
      <c r="K131" s="290" t="s">
        <v>614</v>
      </c>
      <c r="L131" s="331" t="s">
        <v>1445</v>
      </c>
      <c r="M131" s="332">
        <v>60</v>
      </c>
      <c r="P131" s="133" t="s">
        <v>1310</v>
      </c>
      <c r="Q131" s="36">
        <v>117</v>
      </c>
      <c r="S131" s="133" t="s">
        <v>1394</v>
      </c>
      <c r="T131" s="133">
        <v>117</v>
      </c>
      <c r="U131" s="25"/>
      <c r="V131" s="133" t="s">
        <v>1310</v>
      </c>
      <c r="W131" s="36">
        <v>117</v>
      </c>
    </row>
    <row r="132" spans="4:23" x14ac:dyDescent="0.3">
      <c r="D132" s="316"/>
      <c r="E132" s="338"/>
      <c r="F132" s="315"/>
      <c r="G132" s="28">
        <v>121</v>
      </c>
      <c r="H132" s="28"/>
      <c r="K132" s="290" t="s">
        <v>612</v>
      </c>
      <c r="L132" s="331"/>
      <c r="M132" s="332"/>
      <c r="P132" s="133" t="s">
        <v>1311</v>
      </c>
      <c r="Q132" s="36">
        <v>118</v>
      </c>
      <c r="S132" s="133" t="s">
        <v>1395</v>
      </c>
      <c r="T132" s="133">
        <v>118</v>
      </c>
      <c r="U132" s="25"/>
      <c r="V132" s="133" t="s">
        <v>1311</v>
      </c>
      <c r="W132" s="36">
        <v>118</v>
      </c>
    </row>
    <row r="133" spans="4:23" x14ac:dyDescent="0.3">
      <c r="D133" s="316"/>
      <c r="E133" s="338"/>
      <c r="F133" s="315"/>
      <c r="G133" s="28">
        <v>122</v>
      </c>
      <c r="H133" s="28"/>
      <c r="K133" s="290" t="s">
        <v>611</v>
      </c>
      <c r="L133" s="331" t="s">
        <v>1446</v>
      </c>
      <c r="M133" s="332">
        <v>61</v>
      </c>
      <c r="P133" s="133" t="s">
        <v>1312</v>
      </c>
      <c r="Q133" s="36">
        <v>119</v>
      </c>
      <c r="S133" s="133" t="s">
        <v>1396</v>
      </c>
      <c r="T133" s="133">
        <v>119</v>
      </c>
      <c r="U133" s="25"/>
      <c r="V133" s="133" t="s">
        <v>1312</v>
      </c>
      <c r="W133" s="36">
        <v>119</v>
      </c>
    </row>
    <row r="134" spans="4:23" x14ac:dyDescent="0.3">
      <c r="D134" s="316"/>
      <c r="E134" s="338"/>
      <c r="F134" s="315"/>
      <c r="G134" s="28">
        <v>123</v>
      </c>
      <c r="H134" s="28"/>
      <c r="K134" s="290" t="s">
        <v>609</v>
      </c>
      <c r="L134" s="331"/>
      <c r="M134" s="332"/>
      <c r="P134" s="133" t="s">
        <v>1313</v>
      </c>
      <c r="Q134" s="36">
        <v>120</v>
      </c>
      <c r="S134" s="133" t="s">
        <v>1397</v>
      </c>
      <c r="T134" s="133">
        <v>120</v>
      </c>
      <c r="U134" s="25"/>
      <c r="V134" s="133" t="s">
        <v>1313</v>
      </c>
      <c r="W134" s="36">
        <v>120</v>
      </c>
    </row>
    <row r="135" spans="4:23" x14ac:dyDescent="0.3">
      <c r="D135" s="316"/>
      <c r="E135" s="338"/>
      <c r="F135" s="315"/>
      <c r="G135" s="28">
        <v>124</v>
      </c>
      <c r="H135" s="28"/>
      <c r="K135" s="290" t="s">
        <v>608</v>
      </c>
      <c r="L135" s="331" t="s">
        <v>1447</v>
      </c>
      <c r="M135" s="332">
        <v>62</v>
      </c>
      <c r="P135" s="133" t="s">
        <v>1314</v>
      </c>
      <c r="Q135" s="36">
        <v>121</v>
      </c>
      <c r="S135" s="133" t="s">
        <v>1398</v>
      </c>
      <c r="T135" s="133">
        <v>121</v>
      </c>
      <c r="U135" s="25"/>
      <c r="V135" s="133" t="s">
        <v>1383</v>
      </c>
      <c r="W135" s="36">
        <v>121</v>
      </c>
    </row>
    <row r="136" spans="4:23" x14ac:dyDescent="0.3">
      <c r="D136" s="316"/>
      <c r="E136" s="338"/>
      <c r="F136" s="315"/>
      <c r="G136" s="28">
        <v>125</v>
      </c>
      <c r="H136" s="28"/>
      <c r="K136" s="290" t="s">
        <v>606</v>
      </c>
      <c r="L136" s="331"/>
      <c r="M136" s="332"/>
      <c r="P136" s="133" t="s">
        <v>1315</v>
      </c>
      <c r="Q136" s="36">
        <v>122</v>
      </c>
      <c r="S136" s="133" t="s">
        <v>1399</v>
      </c>
      <c r="T136" s="133">
        <v>122</v>
      </c>
      <c r="U136" s="25"/>
      <c r="V136" s="133" t="s">
        <v>1384</v>
      </c>
      <c r="W136" s="36">
        <v>122</v>
      </c>
    </row>
    <row r="137" spans="4:23" x14ac:dyDescent="0.3">
      <c r="D137" s="316"/>
      <c r="E137" s="338"/>
      <c r="F137" s="315"/>
      <c r="G137" s="28">
        <v>126</v>
      </c>
      <c r="H137" s="28"/>
      <c r="K137" s="290" t="s">
        <v>605</v>
      </c>
      <c r="L137" s="331" t="s">
        <v>1448</v>
      </c>
      <c r="M137" s="332">
        <v>63</v>
      </c>
      <c r="P137" s="133" t="s">
        <v>1316</v>
      </c>
      <c r="Q137" s="36">
        <v>123</v>
      </c>
      <c r="S137" s="133" t="s">
        <v>1400</v>
      </c>
      <c r="T137" s="133">
        <v>123</v>
      </c>
      <c r="U137" s="25"/>
      <c r="V137" s="133" t="s">
        <v>1385</v>
      </c>
      <c r="W137" s="36">
        <v>123</v>
      </c>
    </row>
    <row r="138" spans="4:23" x14ac:dyDescent="0.3">
      <c r="D138" s="316"/>
      <c r="E138" s="338"/>
      <c r="F138" s="315"/>
      <c r="G138" s="28">
        <v>127</v>
      </c>
      <c r="H138" s="28"/>
      <c r="K138" s="290" t="s">
        <v>603</v>
      </c>
      <c r="L138" s="331"/>
      <c r="M138" s="332"/>
      <c r="P138" s="133" t="s">
        <v>1317</v>
      </c>
      <c r="Q138" s="36">
        <v>124</v>
      </c>
      <c r="S138" s="133" t="s">
        <v>1401</v>
      </c>
      <c r="T138" s="133">
        <v>124</v>
      </c>
      <c r="V138" s="133" t="s">
        <v>1386</v>
      </c>
      <c r="W138" s="36">
        <v>124</v>
      </c>
    </row>
    <row r="139" spans="4:23" x14ac:dyDescent="0.3">
      <c r="D139" s="316"/>
      <c r="E139" s="338"/>
      <c r="F139" s="315"/>
      <c r="G139" s="28">
        <v>128</v>
      </c>
      <c r="K139" s="290" t="s">
        <v>602</v>
      </c>
      <c r="L139" s="331" t="s">
        <v>1449</v>
      </c>
      <c r="M139" s="332">
        <v>64</v>
      </c>
      <c r="P139" s="133" t="s">
        <v>1318</v>
      </c>
      <c r="Q139" s="36">
        <v>125</v>
      </c>
      <c r="S139" s="133" t="s">
        <v>1402</v>
      </c>
      <c r="T139" s="133">
        <v>125</v>
      </c>
      <c r="V139" s="133" t="s">
        <v>1387</v>
      </c>
      <c r="W139" s="36">
        <v>125</v>
      </c>
    </row>
    <row r="140" spans="4:23" x14ac:dyDescent="0.3">
      <c r="D140" s="316"/>
      <c r="E140" s="338"/>
      <c r="F140" s="315"/>
      <c r="G140" s="28">
        <v>129</v>
      </c>
      <c r="K140" s="290" t="s">
        <v>600</v>
      </c>
      <c r="L140" s="331"/>
      <c r="M140" s="332"/>
      <c r="P140" s="133" t="s">
        <v>1319</v>
      </c>
      <c r="Q140" s="36">
        <v>126</v>
      </c>
      <c r="S140" s="133" t="s">
        <v>1348</v>
      </c>
      <c r="T140" s="133">
        <v>126</v>
      </c>
      <c r="V140" s="133" t="s">
        <v>1388</v>
      </c>
      <c r="W140" s="36">
        <v>126</v>
      </c>
    </row>
    <row r="141" spans="4:23" x14ac:dyDescent="0.3">
      <c r="D141" s="316"/>
      <c r="E141" s="338"/>
      <c r="F141" s="315"/>
      <c r="G141" s="28">
        <v>130</v>
      </c>
      <c r="K141" s="290" t="s">
        <v>599</v>
      </c>
      <c r="L141" s="331" t="s">
        <v>1450</v>
      </c>
      <c r="M141" s="332">
        <v>65</v>
      </c>
      <c r="P141" s="133" t="s">
        <v>1320</v>
      </c>
      <c r="Q141" s="36">
        <v>127</v>
      </c>
      <c r="S141" s="133" t="s">
        <v>1349</v>
      </c>
      <c r="T141" s="133">
        <v>127</v>
      </c>
      <c r="V141" s="133" t="s">
        <v>1389</v>
      </c>
      <c r="W141" s="36">
        <v>127</v>
      </c>
    </row>
    <row r="142" spans="4:23" x14ac:dyDescent="0.3">
      <c r="D142" s="316"/>
      <c r="E142" s="338"/>
      <c r="F142" s="315"/>
      <c r="G142" s="28">
        <v>131</v>
      </c>
      <c r="K142" s="290" t="s">
        <v>597</v>
      </c>
      <c r="L142" s="331"/>
      <c r="M142" s="332"/>
      <c r="P142" s="133" t="s">
        <v>1321</v>
      </c>
      <c r="Q142" s="36">
        <v>128</v>
      </c>
      <c r="S142" s="133" t="s">
        <v>1350</v>
      </c>
      <c r="T142" s="133">
        <v>128</v>
      </c>
      <c r="V142" s="133" t="s">
        <v>1390</v>
      </c>
      <c r="W142" s="36">
        <v>128</v>
      </c>
    </row>
    <row r="143" spans="4:23" x14ac:dyDescent="0.3">
      <c r="D143" s="316"/>
      <c r="E143" s="338"/>
      <c r="F143" s="315"/>
      <c r="G143" s="28">
        <v>132</v>
      </c>
      <c r="K143" s="290" t="s">
        <v>596</v>
      </c>
      <c r="L143" s="331" t="s">
        <v>1451</v>
      </c>
      <c r="M143" s="332">
        <v>66</v>
      </c>
      <c r="P143" s="133" t="s">
        <v>1322</v>
      </c>
      <c r="Q143" s="36">
        <v>129</v>
      </c>
      <c r="S143" s="133" t="s">
        <v>1351</v>
      </c>
      <c r="T143" s="133">
        <v>129</v>
      </c>
      <c r="V143" s="133" t="s">
        <v>1391</v>
      </c>
      <c r="W143" s="36">
        <v>129</v>
      </c>
    </row>
    <row r="144" spans="4:23" x14ac:dyDescent="0.3">
      <c r="D144" s="316"/>
      <c r="E144" s="338"/>
      <c r="F144" s="315"/>
      <c r="G144" s="28">
        <v>133</v>
      </c>
      <c r="K144" s="290" t="s">
        <v>594</v>
      </c>
      <c r="L144" s="331"/>
      <c r="M144" s="332"/>
      <c r="P144" s="133" t="s">
        <v>1323</v>
      </c>
      <c r="Q144" s="36">
        <v>130</v>
      </c>
      <c r="S144" s="133" t="s">
        <v>1352</v>
      </c>
      <c r="T144" s="133">
        <v>130</v>
      </c>
      <c r="V144" s="133" t="s">
        <v>1392</v>
      </c>
      <c r="W144" s="36">
        <v>130</v>
      </c>
    </row>
    <row r="145" spans="4:28" x14ac:dyDescent="0.3">
      <c r="D145" s="316"/>
      <c r="E145" s="338"/>
      <c r="F145" s="315"/>
      <c r="G145" s="28">
        <v>134</v>
      </c>
      <c r="K145" s="290" t="s">
        <v>593</v>
      </c>
      <c r="L145" s="331" t="s">
        <v>1452</v>
      </c>
      <c r="M145" s="332">
        <v>67</v>
      </c>
      <c r="P145" s="133" t="s">
        <v>1324</v>
      </c>
      <c r="Q145" s="36">
        <v>131</v>
      </c>
      <c r="S145" s="133" t="s">
        <v>1353</v>
      </c>
      <c r="T145" s="133">
        <v>131</v>
      </c>
      <c r="V145" s="133" t="s">
        <v>1324</v>
      </c>
      <c r="W145" s="36">
        <v>131</v>
      </c>
    </row>
    <row r="146" spans="4:28" x14ac:dyDescent="0.3">
      <c r="D146" s="316"/>
      <c r="E146" s="338"/>
      <c r="F146" s="315"/>
      <c r="G146" s="28">
        <v>135</v>
      </c>
      <c r="K146" s="290" t="s">
        <v>591</v>
      </c>
      <c r="L146" s="331"/>
      <c r="M146" s="332"/>
      <c r="P146" s="133" t="s">
        <v>1325</v>
      </c>
      <c r="Q146" s="36">
        <v>132</v>
      </c>
      <c r="S146" s="133" t="s">
        <v>1354</v>
      </c>
      <c r="T146" s="133">
        <v>132</v>
      </c>
      <c r="V146" s="133" t="s">
        <v>1325</v>
      </c>
      <c r="W146" s="36">
        <v>132</v>
      </c>
    </row>
    <row r="147" spans="4:28" x14ac:dyDescent="0.3">
      <c r="D147" s="316"/>
      <c r="E147" s="338"/>
      <c r="F147" s="315"/>
      <c r="G147" s="28">
        <v>136</v>
      </c>
      <c r="K147" s="290" t="s">
        <v>590</v>
      </c>
      <c r="L147" s="331" t="s">
        <v>1453</v>
      </c>
      <c r="M147" s="332">
        <v>68</v>
      </c>
      <c r="P147" s="133" t="s">
        <v>1326</v>
      </c>
      <c r="Q147" s="36">
        <v>133</v>
      </c>
      <c r="S147" s="133" t="s">
        <v>1355</v>
      </c>
      <c r="T147" s="133">
        <v>133</v>
      </c>
      <c r="V147" s="133" t="s">
        <v>1326</v>
      </c>
      <c r="W147" s="36">
        <v>133</v>
      </c>
    </row>
    <row r="148" spans="4:28" x14ac:dyDescent="0.3">
      <c r="D148" s="316"/>
      <c r="E148" s="338"/>
      <c r="F148" s="315"/>
      <c r="G148" s="28">
        <v>137</v>
      </c>
      <c r="K148" s="290" t="s">
        <v>588</v>
      </c>
      <c r="L148" s="331"/>
      <c r="M148" s="332"/>
      <c r="P148" s="133" t="s">
        <v>1327</v>
      </c>
      <c r="Q148" s="36">
        <v>134</v>
      </c>
      <c r="S148" s="133" t="s">
        <v>1356</v>
      </c>
      <c r="T148" s="133">
        <v>134</v>
      </c>
      <c r="V148" s="133" t="s">
        <v>1327</v>
      </c>
      <c r="W148" s="36">
        <v>134</v>
      </c>
    </row>
    <row r="149" spans="4:28" x14ac:dyDescent="0.3">
      <c r="D149" s="316"/>
      <c r="E149" s="338"/>
      <c r="F149" s="315"/>
      <c r="G149" s="28">
        <v>138</v>
      </c>
      <c r="K149" s="290" t="s">
        <v>587</v>
      </c>
      <c r="L149" s="331" t="s">
        <v>1454</v>
      </c>
      <c r="M149" s="332">
        <v>69</v>
      </c>
      <c r="P149" s="133" t="s">
        <v>1328</v>
      </c>
      <c r="Q149" s="36">
        <v>135</v>
      </c>
      <c r="S149" s="133" t="s">
        <v>1357</v>
      </c>
      <c r="T149" s="133">
        <v>135</v>
      </c>
      <c r="V149" s="133" t="s">
        <v>1328</v>
      </c>
      <c r="W149" s="36">
        <v>135</v>
      </c>
    </row>
    <row r="150" spans="4:28" x14ac:dyDescent="0.3">
      <c r="D150" s="316"/>
      <c r="E150" s="338"/>
      <c r="F150" s="315"/>
      <c r="G150" s="28">
        <v>139</v>
      </c>
      <c r="K150" s="290" t="s">
        <v>585</v>
      </c>
      <c r="L150" s="331"/>
      <c r="M150" s="332"/>
      <c r="P150" s="133" t="s">
        <v>1329</v>
      </c>
      <c r="Q150" s="36">
        <v>136</v>
      </c>
      <c r="S150" s="133" t="s">
        <v>1358</v>
      </c>
      <c r="T150" s="133">
        <v>136</v>
      </c>
      <c r="V150" s="133" t="s">
        <v>1329</v>
      </c>
      <c r="W150" s="36">
        <v>136</v>
      </c>
    </row>
    <row r="151" spans="4:28" x14ac:dyDescent="0.3">
      <c r="D151" s="316"/>
      <c r="E151" s="338"/>
      <c r="F151" s="315"/>
      <c r="G151" s="28">
        <v>140</v>
      </c>
      <c r="K151" s="290" t="s">
        <v>584</v>
      </c>
      <c r="L151" s="331" t="s">
        <v>1455</v>
      </c>
      <c r="M151" s="332">
        <v>70</v>
      </c>
      <c r="P151" s="133" t="s">
        <v>1330</v>
      </c>
      <c r="Q151" s="36">
        <v>137</v>
      </c>
      <c r="S151" s="133" t="s">
        <v>1359</v>
      </c>
      <c r="T151" s="133">
        <v>137</v>
      </c>
      <c r="V151" s="133" t="s">
        <v>1330</v>
      </c>
      <c r="W151" s="36">
        <v>137</v>
      </c>
    </row>
    <row r="152" spans="4:28" x14ac:dyDescent="0.3">
      <c r="D152" s="316"/>
      <c r="E152" s="338"/>
      <c r="F152" s="315"/>
      <c r="G152" s="28">
        <v>141</v>
      </c>
      <c r="K152" s="290" t="s">
        <v>582</v>
      </c>
      <c r="L152" s="331"/>
      <c r="M152" s="332"/>
      <c r="P152" s="133" t="s">
        <v>1331</v>
      </c>
      <c r="Q152" s="36">
        <v>138</v>
      </c>
      <c r="S152" s="133" t="s">
        <v>1360</v>
      </c>
      <c r="T152" s="133">
        <v>138</v>
      </c>
      <c r="V152" s="133" t="s">
        <v>1331</v>
      </c>
      <c r="W152" s="36">
        <v>138</v>
      </c>
    </row>
    <row r="153" spans="4:28" x14ac:dyDescent="0.3">
      <c r="D153" s="316"/>
      <c r="E153" s="338"/>
      <c r="F153" s="315"/>
      <c r="G153" s="28">
        <v>142</v>
      </c>
      <c r="K153" s="290" t="s">
        <v>581</v>
      </c>
      <c r="L153" s="331" t="s">
        <v>1456</v>
      </c>
      <c r="M153" s="332">
        <v>71</v>
      </c>
      <c r="P153" s="133" t="s">
        <v>1332</v>
      </c>
      <c r="Q153" s="36">
        <v>139</v>
      </c>
      <c r="S153" s="133" t="s">
        <v>1403</v>
      </c>
      <c r="T153" s="133">
        <v>139</v>
      </c>
      <c r="V153" s="133" t="s">
        <v>1332</v>
      </c>
      <c r="W153" s="36">
        <v>139</v>
      </c>
    </row>
    <row r="154" spans="4:28" x14ac:dyDescent="0.3">
      <c r="D154" s="316"/>
      <c r="E154" s="338"/>
      <c r="F154" s="315"/>
      <c r="G154" s="28">
        <v>143</v>
      </c>
      <c r="K154" s="290" t="s">
        <v>579</v>
      </c>
      <c r="L154" s="331"/>
      <c r="M154" s="332"/>
      <c r="P154" s="133" t="s">
        <v>1333</v>
      </c>
      <c r="Q154" s="36">
        <v>140</v>
      </c>
      <c r="S154" s="133" t="s">
        <v>1404</v>
      </c>
      <c r="T154" s="133">
        <v>140</v>
      </c>
      <c r="V154" s="133" t="s">
        <v>1333</v>
      </c>
      <c r="W154" s="36">
        <v>140</v>
      </c>
      <c r="Z154" s="26">
        <v>72</v>
      </c>
      <c r="AA154" s="26">
        <v>40</v>
      </c>
      <c r="AB154" s="26">
        <v>0</v>
      </c>
    </row>
    <row r="155" spans="4:28" x14ac:dyDescent="0.3">
      <c r="G155" s="28">
        <v>144</v>
      </c>
      <c r="K155" s="290" t="s">
        <v>578</v>
      </c>
      <c r="L155" s="142" t="s">
        <v>1457</v>
      </c>
      <c r="M155" s="332">
        <v>72</v>
      </c>
      <c r="P155" s="133" t="s">
        <v>1334</v>
      </c>
      <c r="Q155" s="36">
        <v>141</v>
      </c>
      <c r="S155" s="133" t="s">
        <v>1405</v>
      </c>
      <c r="T155" s="133">
        <v>141</v>
      </c>
      <c r="V155" s="133" t="s">
        <v>1334</v>
      </c>
      <c r="W155" s="36">
        <v>141</v>
      </c>
      <c r="Z155" s="26">
        <v>73</v>
      </c>
      <c r="AA155" s="26">
        <v>41</v>
      </c>
      <c r="AB155" s="26">
        <v>1</v>
      </c>
    </row>
    <row r="156" spans="4:28" x14ac:dyDescent="0.3">
      <c r="G156" s="28">
        <v>145</v>
      </c>
      <c r="K156" s="290" t="s">
        <v>576</v>
      </c>
      <c r="L156" s="142"/>
      <c r="M156" s="332"/>
      <c r="P156" s="133" t="s">
        <v>1335</v>
      </c>
      <c r="Q156" s="36">
        <v>142</v>
      </c>
      <c r="S156" s="133" t="s">
        <v>1406</v>
      </c>
      <c r="T156" s="133">
        <v>142</v>
      </c>
      <c r="V156" s="133" t="s">
        <v>1335</v>
      </c>
      <c r="W156" s="36">
        <v>142</v>
      </c>
      <c r="Z156" s="145">
        <v>74</v>
      </c>
      <c r="AA156" s="145">
        <v>42</v>
      </c>
      <c r="AB156" s="145">
        <v>2</v>
      </c>
    </row>
    <row r="157" spans="4:28" x14ac:dyDescent="0.3">
      <c r="G157" s="28">
        <v>146</v>
      </c>
      <c r="K157" s="290" t="s">
        <v>575</v>
      </c>
      <c r="L157" s="142" t="s">
        <v>574</v>
      </c>
      <c r="M157" s="332">
        <v>73</v>
      </c>
      <c r="P157" s="133" t="s">
        <v>1336</v>
      </c>
      <c r="Q157" s="36">
        <v>143</v>
      </c>
      <c r="S157" s="133" t="s">
        <v>1407</v>
      </c>
      <c r="T157" s="133">
        <v>143</v>
      </c>
      <c r="V157" s="133" t="s">
        <v>1336</v>
      </c>
      <c r="W157" s="36">
        <v>143</v>
      </c>
      <c r="Z157" s="145">
        <v>75</v>
      </c>
      <c r="AA157" s="145">
        <v>43</v>
      </c>
      <c r="AB157" s="145">
        <v>3</v>
      </c>
    </row>
    <row r="158" spans="4:28" x14ac:dyDescent="0.3">
      <c r="G158" s="28">
        <v>147</v>
      </c>
      <c r="K158" s="290" t="s">
        <v>573</v>
      </c>
      <c r="L158" s="142"/>
      <c r="M158" s="332"/>
      <c r="P158" s="133" t="s">
        <v>1337</v>
      </c>
      <c r="Q158" s="36">
        <v>144</v>
      </c>
      <c r="S158" s="133" t="s">
        <v>1408</v>
      </c>
      <c r="T158" s="133">
        <v>144</v>
      </c>
      <c r="V158" s="133" t="s">
        <v>1337</v>
      </c>
      <c r="W158" s="36">
        <v>144</v>
      </c>
      <c r="Z158" s="145">
        <v>76</v>
      </c>
      <c r="AA158" s="145">
        <v>44</v>
      </c>
      <c r="AB158" s="145">
        <v>4</v>
      </c>
    </row>
    <row r="159" spans="4:28" x14ac:dyDescent="0.3">
      <c r="G159" s="28">
        <v>148</v>
      </c>
      <c r="K159" s="290" t="s">
        <v>572</v>
      </c>
      <c r="L159" s="142" t="s">
        <v>571</v>
      </c>
      <c r="M159" s="332">
        <v>74</v>
      </c>
      <c r="P159" s="133" t="s">
        <v>1338</v>
      </c>
      <c r="Q159" s="36">
        <v>145</v>
      </c>
      <c r="S159" s="133" t="s">
        <v>1409</v>
      </c>
      <c r="T159" s="133">
        <v>145</v>
      </c>
      <c r="V159" s="133" t="s">
        <v>1393</v>
      </c>
      <c r="W159" s="36">
        <v>145</v>
      </c>
      <c r="Z159" s="145">
        <v>77</v>
      </c>
      <c r="AA159" s="145">
        <v>45</v>
      </c>
      <c r="AB159" s="145">
        <v>5</v>
      </c>
    </row>
    <row r="160" spans="4:28" x14ac:dyDescent="0.3">
      <c r="G160" s="28">
        <v>149</v>
      </c>
      <c r="K160" s="290" t="s">
        <v>570</v>
      </c>
      <c r="L160" s="142"/>
      <c r="M160" s="332"/>
      <c r="P160" s="133" t="s">
        <v>1339</v>
      </c>
      <c r="Q160" s="36">
        <v>146</v>
      </c>
      <c r="S160" s="133" t="s">
        <v>1410</v>
      </c>
      <c r="T160" s="133">
        <v>146</v>
      </c>
      <c r="V160" s="133" t="s">
        <v>1394</v>
      </c>
      <c r="W160" s="36">
        <v>146</v>
      </c>
      <c r="Z160" s="145">
        <v>78</v>
      </c>
      <c r="AA160" s="145">
        <v>46</v>
      </c>
      <c r="AB160" s="145">
        <v>6</v>
      </c>
    </row>
    <row r="161" spans="7:28" x14ac:dyDescent="0.3">
      <c r="G161" s="28">
        <v>150</v>
      </c>
      <c r="K161" s="290" t="s">
        <v>569</v>
      </c>
      <c r="L161" s="142" t="s">
        <v>568</v>
      </c>
      <c r="M161" s="332">
        <v>75</v>
      </c>
      <c r="P161" s="133" t="s">
        <v>1340</v>
      </c>
      <c r="Q161" s="36">
        <v>147</v>
      </c>
      <c r="S161" s="133" t="s">
        <v>1411</v>
      </c>
      <c r="T161" s="133">
        <v>147</v>
      </c>
      <c r="V161" s="133" t="s">
        <v>1395</v>
      </c>
      <c r="W161" s="36">
        <v>147</v>
      </c>
      <c r="Z161" s="145">
        <v>79</v>
      </c>
      <c r="AA161" s="145">
        <v>47</v>
      </c>
      <c r="AB161" s="145">
        <v>7</v>
      </c>
    </row>
    <row r="162" spans="7:28" x14ac:dyDescent="0.3">
      <c r="G162" s="28">
        <v>151</v>
      </c>
      <c r="K162" s="290" t="s">
        <v>567</v>
      </c>
      <c r="L162" s="142"/>
      <c r="M162" s="332"/>
      <c r="P162" s="133" t="s">
        <v>1341</v>
      </c>
      <c r="Q162" s="36">
        <v>148</v>
      </c>
      <c r="S162" s="133" t="s">
        <v>1426</v>
      </c>
      <c r="T162" s="133">
        <v>148</v>
      </c>
      <c r="V162" s="133" t="s">
        <v>1396</v>
      </c>
      <c r="W162" s="36">
        <v>148</v>
      </c>
      <c r="Z162" s="145">
        <v>80</v>
      </c>
      <c r="AA162" s="145">
        <v>48</v>
      </c>
      <c r="AB162" s="145">
        <v>8</v>
      </c>
    </row>
    <row r="163" spans="7:28" x14ac:dyDescent="0.3">
      <c r="G163" s="28">
        <v>152</v>
      </c>
      <c r="K163" s="290" t="s">
        <v>566</v>
      </c>
      <c r="L163" s="142" t="s">
        <v>565</v>
      </c>
      <c r="M163" s="332">
        <v>76</v>
      </c>
      <c r="P163" s="133" t="s">
        <v>1342</v>
      </c>
      <c r="Q163" s="36">
        <v>149</v>
      </c>
      <c r="S163" s="31" t="s">
        <v>1488</v>
      </c>
      <c r="T163" s="133">
        <v>149</v>
      </c>
      <c r="V163" s="133" t="s">
        <v>1397</v>
      </c>
      <c r="W163" s="36">
        <v>149</v>
      </c>
      <c r="Z163" s="145">
        <v>81</v>
      </c>
      <c r="AA163" s="145">
        <v>49</v>
      </c>
      <c r="AB163" s="145">
        <v>9</v>
      </c>
    </row>
    <row r="164" spans="7:28" x14ac:dyDescent="0.3">
      <c r="G164" s="28">
        <v>153</v>
      </c>
      <c r="K164" s="290" t="s">
        <v>564</v>
      </c>
      <c r="L164" s="142"/>
      <c r="M164" s="332"/>
      <c r="P164" s="133" t="s">
        <v>1343</v>
      </c>
      <c r="Q164" s="36">
        <v>150</v>
      </c>
      <c r="S164" s="31" t="s">
        <v>1489</v>
      </c>
      <c r="T164" s="133">
        <v>150</v>
      </c>
      <c r="V164" s="133" t="s">
        <v>1398</v>
      </c>
      <c r="W164" s="36">
        <v>150</v>
      </c>
      <c r="Z164" s="145">
        <v>82</v>
      </c>
      <c r="AA164" s="145">
        <v>50</v>
      </c>
      <c r="AB164" s="145">
        <v>10</v>
      </c>
    </row>
    <row r="165" spans="7:28" x14ac:dyDescent="0.3">
      <c r="G165" s="28">
        <v>154</v>
      </c>
      <c r="K165" s="290" t="s">
        <v>563</v>
      </c>
      <c r="L165" s="142" t="s">
        <v>562</v>
      </c>
      <c r="M165" s="332">
        <v>77</v>
      </c>
      <c r="P165" s="133" t="s">
        <v>1344</v>
      </c>
      <c r="Q165" s="36">
        <v>151</v>
      </c>
      <c r="S165" s="133"/>
      <c r="T165" s="133"/>
      <c r="V165" s="133" t="s">
        <v>1399</v>
      </c>
      <c r="W165" s="36">
        <v>151</v>
      </c>
      <c r="Z165" s="145">
        <v>83</v>
      </c>
      <c r="AA165" s="145">
        <v>51</v>
      </c>
      <c r="AB165" s="145">
        <v>11</v>
      </c>
    </row>
    <row r="166" spans="7:28" x14ac:dyDescent="0.3">
      <c r="G166" s="28">
        <v>155</v>
      </c>
      <c r="K166" s="290" t="s">
        <v>561</v>
      </c>
      <c r="L166" s="142"/>
      <c r="M166" s="332"/>
      <c r="P166" s="133" t="s">
        <v>1345</v>
      </c>
      <c r="Q166" s="36">
        <v>152</v>
      </c>
      <c r="S166" s="133"/>
      <c r="T166" s="133"/>
      <c r="V166" s="133" t="s">
        <v>1400</v>
      </c>
      <c r="W166" s="36">
        <v>152</v>
      </c>
      <c r="Z166" s="145">
        <v>84</v>
      </c>
      <c r="AA166" s="145">
        <v>52</v>
      </c>
      <c r="AB166" s="145">
        <v>12</v>
      </c>
    </row>
    <row r="167" spans="7:28" x14ac:dyDescent="0.3">
      <c r="G167" s="28">
        <v>156</v>
      </c>
      <c r="K167" s="290" t="s">
        <v>560</v>
      </c>
      <c r="L167" s="142" t="s">
        <v>559</v>
      </c>
      <c r="M167" s="332">
        <v>78</v>
      </c>
      <c r="P167" s="133" t="s">
        <v>1346</v>
      </c>
      <c r="Q167" s="36">
        <v>153</v>
      </c>
      <c r="S167" s="133"/>
      <c r="T167" s="133"/>
      <c r="V167" s="133" t="s">
        <v>1401</v>
      </c>
      <c r="W167" s="36">
        <v>153</v>
      </c>
      <c r="Z167" s="145">
        <v>85</v>
      </c>
      <c r="AA167" s="145">
        <v>53</v>
      </c>
      <c r="AB167" s="145">
        <v>13</v>
      </c>
    </row>
    <row r="168" spans="7:28" x14ac:dyDescent="0.3">
      <c r="G168" s="28">
        <v>157</v>
      </c>
      <c r="K168" s="290" t="s">
        <v>558</v>
      </c>
      <c r="L168" s="142"/>
      <c r="M168" s="332"/>
      <c r="P168" s="133" t="s">
        <v>1347</v>
      </c>
      <c r="Q168" s="36">
        <v>154</v>
      </c>
      <c r="S168" s="133"/>
      <c r="T168" s="133"/>
      <c r="V168" s="133" t="s">
        <v>1402</v>
      </c>
      <c r="W168" s="36">
        <v>154</v>
      </c>
      <c r="Z168" s="145">
        <v>86</v>
      </c>
      <c r="AA168" s="145">
        <v>54</v>
      </c>
      <c r="AB168" s="145">
        <v>14</v>
      </c>
    </row>
    <row r="169" spans="7:28" x14ac:dyDescent="0.3">
      <c r="G169" s="28">
        <v>158</v>
      </c>
      <c r="K169" s="290" t="s">
        <v>557</v>
      </c>
      <c r="L169" s="142" t="s">
        <v>556</v>
      </c>
      <c r="M169" s="332">
        <v>79</v>
      </c>
      <c r="P169" s="133" t="s">
        <v>1348</v>
      </c>
      <c r="Q169" s="36">
        <v>155</v>
      </c>
      <c r="S169" s="133"/>
      <c r="T169" s="133"/>
      <c r="V169" s="133" t="s">
        <v>1348</v>
      </c>
      <c r="W169" s="36">
        <v>155</v>
      </c>
      <c r="Z169" s="145">
        <v>87</v>
      </c>
      <c r="AA169" s="145">
        <v>55</v>
      </c>
      <c r="AB169" s="145">
        <v>15</v>
      </c>
    </row>
    <row r="170" spans="7:28" x14ac:dyDescent="0.3">
      <c r="G170" s="28">
        <v>159</v>
      </c>
      <c r="K170" s="290" t="s">
        <v>555</v>
      </c>
      <c r="L170" s="142"/>
      <c r="M170" s="332"/>
      <c r="P170" s="133" t="s">
        <v>1349</v>
      </c>
      <c r="Q170" s="36">
        <v>156</v>
      </c>
      <c r="S170" s="133"/>
      <c r="T170" s="133"/>
      <c r="V170" s="133" t="s">
        <v>1349</v>
      </c>
      <c r="W170" s="36">
        <v>156</v>
      </c>
      <c r="Z170" s="145">
        <v>88</v>
      </c>
      <c r="AA170" s="145">
        <v>56</v>
      </c>
      <c r="AB170" s="145">
        <v>16</v>
      </c>
    </row>
    <row r="171" spans="7:28" x14ac:dyDescent="0.3">
      <c r="G171" s="28">
        <v>160</v>
      </c>
      <c r="K171" s="290" t="s">
        <v>554</v>
      </c>
      <c r="L171" s="142" t="s">
        <v>553</v>
      </c>
      <c r="M171" s="332">
        <v>80</v>
      </c>
      <c r="P171" s="133" t="s">
        <v>1350</v>
      </c>
      <c r="Q171" s="36">
        <v>157</v>
      </c>
      <c r="S171" s="133"/>
      <c r="T171" s="133"/>
      <c r="V171" s="133" t="s">
        <v>1350</v>
      </c>
      <c r="W171" s="36">
        <v>157</v>
      </c>
      <c r="Z171" s="145">
        <v>89</v>
      </c>
      <c r="AA171" s="145">
        <v>57</v>
      </c>
      <c r="AB171" s="145">
        <v>17</v>
      </c>
    </row>
    <row r="172" spans="7:28" x14ac:dyDescent="0.3">
      <c r="G172" s="28">
        <v>161</v>
      </c>
      <c r="K172" s="290" t="s">
        <v>552</v>
      </c>
      <c r="L172" s="142"/>
      <c r="M172" s="332"/>
      <c r="P172" s="133" t="s">
        <v>1351</v>
      </c>
      <c r="Q172" s="36">
        <v>158</v>
      </c>
      <c r="S172" s="133"/>
      <c r="T172" s="133"/>
      <c r="V172" s="133" t="s">
        <v>1351</v>
      </c>
      <c r="W172" s="36">
        <v>158</v>
      </c>
      <c r="Z172" s="145">
        <v>90</v>
      </c>
      <c r="AA172" s="145">
        <v>58</v>
      </c>
      <c r="AB172" s="145">
        <v>18</v>
      </c>
    </row>
    <row r="173" spans="7:28" x14ac:dyDescent="0.3">
      <c r="G173" s="28">
        <v>162</v>
      </c>
      <c r="K173" s="290" t="s">
        <v>551</v>
      </c>
      <c r="L173" s="142" t="s">
        <v>550</v>
      </c>
      <c r="M173" s="332">
        <v>81</v>
      </c>
      <c r="P173" s="133" t="s">
        <v>1352</v>
      </c>
      <c r="Q173" s="36">
        <v>159</v>
      </c>
      <c r="S173" s="133"/>
      <c r="T173" s="133"/>
      <c r="V173" s="133" t="s">
        <v>1352</v>
      </c>
      <c r="W173" s="36">
        <v>159</v>
      </c>
      <c r="Z173" s="145">
        <v>91</v>
      </c>
      <c r="AA173" s="145">
        <v>59</v>
      </c>
      <c r="AB173" s="145">
        <v>19</v>
      </c>
    </row>
    <row r="174" spans="7:28" x14ac:dyDescent="0.3">
      <c r="G174" s="28">
        <v>163</v>
      </c>
      <c r="K174" s="290" t="s">
        <v>549</v>
      </c>
      <c r="L174" s="142"/>
      <c r="M174" s="332"/>
      <c r="P174" s="133" t="s">
        <v>1353</v>
      </c>
      <c r="Q174" s="36">
        <v>160</v>
      </c>
      <c r="S174" s="133"/>
      <c r="T174" s="133"/>
      <c r="V174" s="133" t="s">
        <v>1353</v>
      </c>
      <c r="W174" s="36">
        <v>160</v>
      </c>
      <c r="Z174" s="145">
        <v>92</v>
      </c>
      <c r="AA174" s="145">
        <v>60</v>
      </c>
      <c r="AB174" s="145">
        <v>20</v>
      </c>
    </row>
    <row r="175" spans="7:28" x14ac:dyDescent="0.3">
      <c r="G175" s="28">
        <v>164</v>
      </c>
      <c r="K175" s="290" t="s">
        <v>548</v>
      </c>
      <c r="L175" s="142" t="s">
        <v>547</v>
      </c>
      <c r="M175" s="332">
        <v>82</v>
      </c>
      <c r="P175" s="133" t="s">
        <v>1354</v>
      </c>
      <c r="Q175" s="36">
        <v>161</v>
      </c>
      <c r="S175" s="133"/>
      <c r="T175" s="133"/>
      <c r="V175" s="133" t="s">
        <v>1354</v>
      </c>
      <c r="W175" s="36">
        <v>161</v>
      </c>
      <c r="Z175" s="145">
        <v>93</v>
      </c>
      <c r="AA175" s="145">
        <v>61</v>
      </c>
      <c r="AB175" s="145">
        <v>21</v>
      </c>
    </row>
    <row r="176" spans="7:28" x14ac:dyDescent="0.3">
      <c r="G176" s="28">
        <v>165</v>
      </c>
      <c r="K176" s="290" t="s">
        <v>546</v>
      </c>
      <c r="L176" s="142"/>
      <c r="M176" s="332"/>
      <c r="P176" s="133" t="s">
        <v>1355</v>
      </c>
      <c r="Q176" s="36">
        <v>162</v>
      </c>
      <c r="S176" s="133"/>
      <c r="T176" s="133"/>
      <c r="V176" s="133" t="s">
        <v>1355</v>
      </c>
      <c r="W176" s="36">
        <v>162</v>
      </c>
      <c r="Z176" s="145">
        <v>94</v>
      </c>
      <c r="AA176" s="145">
        <v>62</v>
      </c>
      <c r="AB176" s="145">
        <v>22</v>
      </c>
    </row>
    <row r="177" spans="7:28" x14ac:dyDescent="0.3">
      <c r="G177" s="28">
        <v>166</v>
      </c>
      <c r="K177" s="290" t="s">
        <v>545</v>
      </c>
      <c r="L177" s="142" t="s">
        <v>544</v>
      </c>
      <c r="M177" s="332">
        <v>83</v>
      </c>
      <c r="P177" s="133" t="s">
        <v>1356</v>
      </c>
      <c r="Q177" s="36">
        <v>163</v>
      </c>
      <c r="S177" s="133"/>
      <c r="T177" s="133"/>
      <c r="V177" s="133" t="s">
        <v>1356</v>
      </c>
      <c r="W177" s="36">
        <v>163</v>
      </c>
      <c r="Z177" s="145">
        <v>95</v>
      </c>
      <c r="AA177" s="145">
        <v>63</v>
      </c>
      <c r="AB177" s="145">
        <v>23</v>
      </c>
    </row>
    <row r="178" spans="7:28" x14ac:dyDescent="0.3">
      <c r="G178" s="28">
        <v>167</v>
      </c>
      <c r="K178" s="290" t="s">
        <v>543</v>
      </c>
      <c r="L178" s="142"/>
      <c r="M178" s="332"/>
      <c r="P178" s="133" t="s">
        <v>1357</v>
      </c>
      <c r="Q178" s="36">
        <v>164</v>
      </c>
      <c r="V178" s="133" t="s">
        <v>1357</v>
      </c>
      <c r="W178" s="36">
        <v>164</v>
      </c>
      <c r="Z178" s="145">
        <v>96</v>
      </c>
      <c r="AA178" s="145">
        <v>64</v>
      </c>
      <c r="AB178" s="145">
        <v>24</v>
      </c>
    </row>
    <row r="179" spans="7:28" x14ac:dyDescent="0.3">
      <c r="G179" s="28">
        <v>168</v>
      </c>
      <c r="K179" s="290" t="s">
        <v>542</v>
      </c>
      <c r="L179" s="142" t="s">
        <v>541</v>
      </c>
      <c r="M179" s="332">
        <v>84</v>
      </c>
      <c r="P179" s="133" t="s">
        <v>1358</v>
      </c>
      <c r="Q179" s="36">
        <v>165</v>
      </c>
      <c r="V179" s="133" t="s">
        <v>1358</v>
      </c>
      <c r="W179" s="36">
        <v>165</v>
      </c>
      <c r="Z179" s="145">
        <v>97</v>
      </c>
      <c r="AA179" s="145">
        <v>65</v>
      </c>
      <c r="AB179" s="145">
        <v>25</v>
      </c>
    </row>
    <row r="180" spans="7:28" x14ac:dyDescent="0.3">
      <c r="G180" s="28">
        <v>169</v>
      </c>
      <c r="K180" s="290" t="s">
        <v>540</v>
      </c>
      <c r="L180" s="142"/>
      <c r="M180" s="332"/>
      <c r="P180" s="133" t="s">
        <v>1359</v>
      </c>
      <c r="Q180" s="36">
        <v>166</v>
      </c>
      <c r="V180" s="133" t="s">
        <v>1359</v>
      </c>
      <c r="W180" s="36">
        <v>166</v>
      </c>
      <c r="Z180" s="145">
        <v>98</v>
      </c>
      <c r="AA180" s="145">
        <v>66</v>
      </c>
      <c r="AB180" s="145">
        <v>26</v>
      </c>
    </row>
    <row r="181" spans="7:28" x14ac:dyDescent="0.3">
      <c r="G181" s="28">
        <v>170</v>
      </c>
      <c r="K181" s="290" t="s">
        <v>539</v>
      </c>
      <c r="L181" s="142" t="s">
        <v>538</v>
      </c>
      <c r="M181" s="332">
        <v>85</v>
      </c>
      <c r="P181" s="133" t="s">
        <v>1360</v>
      </c>
      <c r="Q181" s="36">
        <v>167</v>
      </c>
      <c r="V181" s="133" t="s">
        <v>1360</v>
      </c>
      <c r="W181" s="36">
        <v>167</v>
      </c>
      <c r="Z181" s="145">
        <v>99</v>
      </c>
      <c r="AA181" s="145">
        <v>67</v>
      </c>
      <c r="AB181" s="145">
        <v>27</v>
      </c>
    </row>
    <row r="182" spans="7:28" x14ac:dyDescent="0.3">
      <c r="G182" s="28">
        <v>171</v>
      </c>
      <c r="K182" s="290" t="s">
        <v>537</v>
      </c>
      <c r="L182" s="142"/>
      <c r="M182" s="332"/>
      <c r="P182" s="133" t="s">
        <v>629</v>
      </c>
      <c r="Q182" s="36">
        <v>168</v>
      </c>
      <c r="V182" s="133" t="s">
        <v>1403</v>
      </c>
      <c r="W182" s="36">
        <v>168</v>
      </c>
      <c r="Z182" s="145">
        <v>100</v>
      </c>
      <c r="AA182" s="145">
        <v>68</v>
      </c>
      <c r="AB182" s="145">
        <v>28</v>
      </c>
    </row>
    <row r="183" spans="7:28" x14ac:dyDescent="0.3">
      <c r="G183" s="28">
        <v>172</v>
      </c>
      <c r="K183" s="290" t="s">
        <v>536</v>
      </c>
      <c r="L183" s="142" t="s">
        <v>535</v>
      </c>
      <c r="M183" s="332">
        <v>86</v>
      </c>
      <c r="P183" s="133" t="s">
        <v>1361</v>
      </c>
      <c r="Q183" s="36">
        <v>169</v>
      </c>
      <c r="V183" s="133" t="s">
        <v>1404</v>
      </c>
      <c r="W183" s="36">
        <v>169</v>
      </c>
      <c r="Z183" s="145">
        <v>101</v>
      </c>
      <c r="AA183" s="145">
        <v>69</v>
      </c>
      <c r="AB183" s="145">
        <v>29</v>
      </c>
    </row>
    <row r="184" spans="7:28" x14ac:dyDescent="0.3">
      <c r="G184" s="28">
        <v>173</v>
      </c>
      <c r="K184" s="290" t="s">
        <v>534</v>
      </c>
      <c r="L184" s="142"/>
      <c r="M184" s="332"/>
      <c r="P184" s="133" t="s">
        <v>1362</v>
      </c>
      <c r="Q184" s="36">
        <v>170</v>
      </c>
      <c r="V184" s="133" t="s">
        <v>1405</v>
      </c>
      <c r="W184" s="36">
        <v>170</v>
      </c>
      <c r="Z184" s="145">
        <v>102</v>
      </c>
      <c r="AA184" s="145">
        <v>70</v>
      </c>
      <c r="AB184" s="145">
        <v>30</v>
      </c>
    </row>
    <row r="185" spans="7:28" x14ac:dyDescent="0.3">
      <c r="G185" s="28">
        <v>174</v>
      </c>
      <c r="K185" s="290" t="s">
        <v>533</v>
      </c>
      <c r="L185" s="142" t="s">
        <v>532</v>
      </c>
      <c r="M185" s="332">
        <v>87</v>
      </c>
      <c r="P185" s="133" t="s">
        <v>1363</v>
      </c>
      <c r="Q185" s="36">
        <v>171</v>
      </c>
      <c r="V185" s="133" t="s">
        <v>1406</v>
      </c>
      <c r="W185" s="36">
        <v>171</v>
      </c>
      <c r="Z185" s="145">
        <v>103</v>
      </c>
      <c r="AA185" s="145">
        <v>71</v>
      </c>
      <c r="AB185" s="145">
        <v>31</v>
      </c>
    </row>
    <row r="186" spans="7:28" x14ac:dyDescent="0.3">
      <c r="G186" s="28">
        <v>175</v>
      </c>
      <c r="K186" s="290" t="s">
        <v>531</v>
      </c>
      <c r="L186" s="142"/>
      <c r="M186" s="332"/>
      <c r="P186" s="133" t="s">
        <v>1364</v>
      </c>
      <c r="Q186" s="36">
        <v>172</v>
      </c>
      <c r="V186" s="133" t="s">
        <v>1407</v>
      </c>
      <c r="W186" s="36">
        <v>172</v>
      </c>
    </row>
    <row r="187" spans="7:28" x14ac:dyDescent="0.3">
      <c r="G187" s="28">
        <v>176</v>
      </c>
      <c r="K187" s="290" t="s">
        <v>530</v>
      </c>
      <c r="L187" s="142" t="s">
        <v>529</v>
      </c>
      <c r="M187" s="332">
        <v>88</v>
      </c>
      <c r="P187" s="133" t="s">
        <v>1365</v>
      </c>
      <c r="Q187" s="36">
        <v>173</v>
      </c>
      <c r="V187" s="133" t="s">
        <v>1408</v>
      </c>
      <c r="W187" s="36">
        <v>173</v>
      </c>
    </row>
    <row r="188" spans="7:28" x14ac:dyDescent="0.3">
      <c r="G188" s="28">
        <v>177</v>
      </c>
      <c r="K188" s="290" t="s">
        <v>528</v>
      </c>
      <c r="L188" s="142"/>
      <c r="M188" s="332"/>
      <c r="P188" s="133" t="s">
        <v>1366</v>
      </c>
      <c r="Q188" s="36">
        <v>174</v>
      </c>
      <c r="V188" s="133" t="s">
        <v>1409</v>
      </c>
      <c r="W188" s="36">
        <v>174</v>
      </c>
    </row>
    <row r="189" spans="7:28" x14ac:dyDescent="0.3">
      <c r="G189" s="28">
        <v>178</v>
      </c>
      <c r="K189" s="290" t="s">
        <v>527</v>
      </c>
      <c r="L189" s="142" t="s">
        <v>526</v>
      </c>
      <c r="M189" s="332">
        <v>89</v>
      </c>
      <c r="P189" s="133" t="s">
        <v>1367</v>
      </c>
      <c r="Q189" s="36">
        <v>175</v>
      </c>
      <c r="V189" s="133" t="s">
        <v>1410</v>
      </c>
      <c r="W189" s="36">
        <v>175</v>
      </c>
    </row>
    <row r="190" spans="7:28" x14ac:dyDescent="0.3">
      <c r="G190" s="28">
        <v>179</v>
      </c>
      <c r="K190" s="290" t="s">
        <v>525</v>
      </c>
      <c r="L190" s="142"/>
      <c r="M190" s="332"/>
      <c r="P190" s="133" t="s">
        <v>1368</v>
      </c>
      <c r="Q190" s="36">
        <v>176</v>
      </c>
      <c r="V190" s="133" t="s">
        <v>1411</v>
      </c>
      <c r="W190" s="36">
        <v>176</v>
      </c>
    </row>
    <row r="191" spans="7:28" x14ac:dyDescent="0.3">
      <c r="G191" s="28">
        <v>180</v>
      </c>
      <c r="K191" s="290" t="s">
        <v>524</v>
      </c>
      <c r="L191" s="142" t="s">
        <v>523</v>
      </c>
      <c r="M191" s="332">
        <v>90</v>
      </c>
      <c r="P191" s="31" t="s">
        <v>1488</v>
      </c>
      <c r="Q191" s="36">
        <v>177</v>
      </c>
      <c r="V191" s="31" t="s">
        <v>1488</v>
      </c>
      <c r="W191" s="36">
        <v>177</v>
      </c>
    </row>
    <row r="192" spans="7:28" x14ac:dyDescent="0.3">
      <c r="G192" s="28">
        <v>181</v>
      </c>
      <c r="K192" s="290" t="s">
        <v>522</v>
      </c>
      <c r="L192" s="142"/>
      <c r="M192" s="332"/>
      <c r="P192" s="31" t="s">
        <v>1489</v>
      </c>
      <c r="Q192" s="36">
        <v>178</v>
      </c>
      <c r="V192" s="31" t="s">
        <v>1489</v>
      </c>
      <c r="W192" s="36">
        <v>178</v>
      </c>
    </row>
    <row r="193" spans="7:13" x14ac:dyDescent="0.3">
      <c r="G193" s="28">
        <v>182</v>
      </c>
      <c r="K193" s="290" t="s">
        <v>521</v>
      </c>
      <c r="L193" s="142" t="s">
        <v>520</v>
      </c>
      <c r="M193" s="332">
        <v>91</v>
      </c>
    </row>
    <row r="194" spans="7:13" x14ac:dyDescent="0.3">
      <c r="G194" s="28">
        <v>183</v>
      </c>
      <c r="K194" s="290" t="s">
        <v>519</v>
      </c>
      <c r="L194" s="142"/>
      <c r="M194" s="332"/>
    </row>
    <row r="195" spans="7:13" x14ac:dyDescent="0.3">
      <c r="G195" s="28">
        <v>184</v>
      </c>
      <c r="K195" s="290" t="s">
        <v>518</v>
      </c>
      <c r="L195" s="142" t="s">
        <v>517</v>
      </c>
      <c r="M195" s="332">
        <v>92</v>
      </c>
    </row>
    <row r="196" spans="7:13" x14ac:dyDescent="0.3">
      <c r="G196" s="28">
        <v>185</v>
      </c>
      <c r="K196" s="290" t="s">
        <v>516</v>
      </c>
      <c r="L196" s="142"/>
      <c r="M196" s="332"/>
    </row>
    <row r="197" spans="7:13" x14ac:dyDescent="0.3">
      <c r="G197" s="28">
        <v>186</v>
      </c>
      <c r="K197" s="290" t="s">
        <v>515</v>
      </c>
      <c r="L197" s="142" t="s">
        <v>514</v>
      </c>
      <c r="M197" s="332">
        <v>93</v>
      </c>
    </row>
    <row r="198" spans="7:13" x14ac:dyDescent="0.3">
      <c r="G198" s="28">
        <v>187</v>
      </c>
      <c r="K198" s="290" t="s">
        <v>513</v>
      </c>
      <c r="L198" s="142"/>
      <c r="M198" s="332"/>
    </row>
    <row r="199" spans="7:13" x14ac:dyDescent="0.3">
      <c r="G199" s="28">
        <v>188</v>
      </c>
      <c r="K199" s="290" t="s">
        <v>512</v>
      </c>
      <c r="L199" s="142" t="s">
        <v>511</v>
      </c>
      <c r="M199" s="332">
        <v>94</v>
      </c>
    </row>
    <row r="200" spans="7:13" x14ac:dyDescent="0.3">
      <c r="G200" s="28">
        <v>189</v>
      </c>
      <c r="K200" s="290" t="s">
        <v>510</v>
      </c>
      <c r="L200" s="142"/>
      <c r="M200" s="332"/>
    </row>
    <row r="201" spans="7:13" x14ac:dyDescent="0.3">
      <c r="G201" s="28">
        <v>190</v>
      </c>
      <c r="K201" s="290" t="s">
        <v>509</v>
      </c>
      <c r="L201" s="142" t="s">
        <v>508</v>
      </c>
      <c r="M201" s="332">
        <v>95</v>
      </c>
    </row>
    <row r="202" spans="7:13" x14ac:dyDescent="0.3">
      <c r="G202" s="28">
        <v>191</v>
      </c>
      <c r="K202" s="290" t="s">
        <v>507</v>
      </c>
      <c r="L202" s="142"/>
      <c r="M202" s="332"/>
    </row>
    <row r="203" spans="7:13" x14ac:dyDescent="0.3">
      <c r="G203" s="163">
        <v>192</v>
      </c>
      <c r="K203" s="290" t="s">
        <v>506</v>
      </c>
      <c r="L203" s="331" t="s">
        <v>505</v>
      </c>
      <c r="M203" s="332">
        <v>96</v>
      </c>
    </row>
    <row r="204" spans="7:13" x14ac:dyDescent="0.3">
      <c r="G204" s="163">
        <v>193</v>
      </c>
      <c r="K204" s="290" t="s">
        <v>504</v>
      </c>
      <c r="L204" s="331"/>
      <c r="M204" s="332"/>
    </row>
    <row r="205" spans="7:13" x14ac:dyDescent="0.3">
      <c r="G205" s="163">
        <v>194</v>
      </c>
      <c r="K205" s="290" t="s">
        <v>503</v>
      </c>
      <c r="L205" s="331" t="s">
        <v>502</v>
      </c>
      <c r="M205" s="332">
        <v>97</v>
      </c>
    </row>
    <row r="206" spans="7:13" x14ac:dyDescent="0.3">
      <c r="G206" s="163">
        <v>195</v>
      </c>
      <c r="K206" s="290" t="s">
        <v>501</v>
      </c>
      <c r="L206" s="331"/>
      <c r="M206" s="332"/>
    </row>
    <row r="207" spans="7:13" x14ac:dyDescent="0.3">
      <c r="G207" s="163">
        <v>196</v>
      </c>
      <c r="K207" s="290" t="s">
        <v>500</v>
      </c>
      <c r="L207" s="331" t="s">
        <v>499</v>
      </c>
      <c r="M207" s="332">
        <v>98</v>
      </c>
    </row>
    <row r="208" spans="7:13" x14ac:dyDescent="0.3">
      <c r="G208" s="163">
        <v>197</v>
      </c>
      <c r="K208" s="290" t="s">
        <v>498</v>
      </c>
      <c r="L208" s="331"/>
      <c r="M208" s="332"/>
    </row>
    <row r="209" spans="7:13" x14ac:dyDescent="0.3">
      <c r="G209" s="163">
        <v>198</v>
      </c>
      <c r="K209" s="290" t="s">
        <v>497</v>
      </c>
      <c r="L209" s="331" t="s">
        <v>496</v>
      </c>
      <c r="M209" s="332">
        <v>99</v>
      </c>
    </row>
    <row r="210" spans="7:13" x14ac:dyDescent="0.3">
      <c r="G210" s="163">
        <v>199</v>
      </c>
      <c r="K210" s="290" t="s">
        <v>495</v>
      </c>
      <c r="L210" s="331"/>
      <c r="M210" s="332"/>
    </row>
    <row r="211" spans="7:13" x14ac:dyDescent="0.3">
      <c r="G211" s="163">
        <v>200</v>
      </c>
      <c r="K211" s="290" t="s">
        <v>494</v>
      </c>
      <c r="L211" s="331" t="s">
        <v>493</v>
      </c>
      <c r="M211" s="332">
        <v>100</v>
      </c>
    </row>
    <row r="212" spans="7:13" x14ac:dyDescent="0.3">
      <c r="G212" s="163">
        <v>201</v>
      </c>
      <c r="K212" s="290" t="s">
        <v>492</v>
      </c>
      <c r="L212" s="331"/>
      <c r="M212" s="332"/>
    </row>
    <row r="213" spans="7:13" x14ac:dyDescent="0.3">
      <c r="G213" s="163">
        <v>202</v>
      </c>
      <c r="K213" s="290" t="s">
        <v>491</v>
      </c>
      <c r="L213" s="331" t="s">
        <v>490</v>
      </c>
      <c r="M213" s="332">
        <v>101</v>
      </c>
    </row>
    <row r="214" spans="7:13" x14ac:dyDescent="0.3">
      <c r="G214" s="163">
        <v>203</v>
      </c>
      <c r="K214" s="290" t="s">
        <v>489</v>
      </c>
      <c r="L214" s="331"/>
      <c r="M214" s="332"/>
    </row>
    <row r="215" spans="7:13" x14ac:dyDescent="0.3">
      <c r="G215" s="163">
        <v>204</v>
      </c>
      <c r="K215" s="290" t="s">
        <v>488</v>
      </c>
      <c r="L215" s="331" t="s">
        <v>487</v>
      </c>
      <c r="M215" s="332">
        <v>102</v>
      </c>
    </row>
    <row r="216" spans="7:13" x14ac:dyDescent="0.3">
      <c r="G216" s="163">
        <v>205</v>
      </c>
      <c r="K216" s="290" t="s">
        <v>486</v>
      </c>
      <c r="L216" s="331"/>
      <c r="M216" s="332"/>
    </row>
    <row r="217" spans="7:13" x14ac:dyDescent="0.3">
      <c r="G217" s="163">
        <v>206</v>
      </c>
      <c r="K217" s="290" t="s">
        <v>485</v>
      </c>
      <c r="L217" s="331" t="s">
        <v>484</v>
      </c>
      <c r="M217" s="332">
        <v>103</v>
      </c>
    </row>
    <row r="218" spans="7:13" x14ac:dyDescent="0.3">
      <c r="G218" s="163">
        <v>207</v>
      </c>
      <c r="K218" s="291" t="s">
        <v>483</v>
      </c>
      <c r="L218" s="331"/>
      <c r="M218" s="332"/>
    </row>
    <row r="219" spans="7:13" x14ac:dyDescent="0.3">
      <c r="G219" s="26">
        <v>208</v>
      </c>
      <c r="K219" s="31" t="s">
        <v>1559</v>
      </c>
      <c r="L219" s="31" t="s">
        <v>1567</v>
      </c>
      <c r="M219" s="340"/>
    </row>
    <row r="220" spans="7:13" x14ac:dyDescent="0.3">
      <c r="G220" s="288">
        <v>209</v>
      </c>
      <c r="K220" s="31" t="s">
        <v>1560</v>
      </c>
      <c r="L220" s="31"/>
      <c r="M220" s="340"/>
    </row>
    <row r="221" spans="7:13" x14ac:dyDescent="0.3">
      <c r="G221" s="288">
        <v>210</v>
      </c>
      <c r="K221" s="31" t="s">
        <v>1561</v>
      </c>
      <c r="L221" s="31"/>
      <c r="M221" s="340"/>
    </row>
    <row r="222" spans="7:13" x14ac:dyDescent="0.3">
      <c r="G222" s="288">
        <v>211</v>
      </c>
      <c r="K222" s="31" t="s">
        <v>1562</v>
      </c>
      <c r="L222" s="31" t="s">
        <v>1568</v>
      </c>
      <c r="M222" s="340"/>
    </row>
    <row r="223" spans="7:13" x14ac:dyDescent="0.3">
      <c r="G223" s="288">
        <v>212</v>
      </c>
      <c r="K223" s="31" t="s">
        <v>1563</v>
      </c>
      <c r="L223" s="31" t="s">
        <v>1569</v>
      </c>
      <c r="M223" s="340"/>
    </row>
    <row r="224" spans="7:13" x14ac:dyDescent="0.3">
      <c r="G224" s="288">
        <v>213</v>
      </c>
      <c r="K224" s="31" t="s">
        <v>1564</v>
      </c>
      <c r="L224" s="31"/>
      <c r="M224" s="340"/>
    </row>
    <row r="225" spans="7:13" x14ac:dyDescent="0.3">
      <c r="G225" s="288">
        <v>214</v>
      </c>
      <c r="K225" s="31" t="s">
        <v>1565</v>
      </c>
      <c r="L225" s="31"/>
      <c r="M225" s="340"/>
    </row>
    <row r="226" spans="7:13" x14ac:dyDescent="0.3">
      <c r="G226" s="288">
        <v>215</v>
      </c>
      <c r="K226" s="31" t="s">
        <v>1566</v>
      </c>
      <c r="L226" s="31" t="s">
        <v>1570</v>
      </c>
      <c r="M226" s="340"/>
    </row>
    <row r="227" spans="7:13" x14ac:dyDescent="0.3">
      <c r="M227" s="332"/>
    </row>
    <row r="228" spans="7:13" x14ac:dyDescent="0.3">
      <c r="M228" s="332"/>
    </row>
    <row r="229" spans="7:13" x14ac:dyDescent="0.3">
      <c r="M229" s="332"/>
    </row>
    <row r="230" spans="7:13" x14ac:dyDescent="0.3">
      <c r="M230" s="332"/>
    </row>
    <row r="231" spans="7:13" x14ac:dyDescent="0.3">
      <c r="M231" s="332"/>
    </row>
    <row r="232" spans="7:13" x14ac:dyDescent="0.3">
      <c r="M232" s="332"/>
    </row>
    <row r="233" spans="7:13" x14ac:dyDescent="0.3">
      <c r="M233" s="332"/>
    </row>
    <row r="234" spans="7:13" x14ac:dyDescent="0.3">
      <c r="M234" s="332"/>
    </row>
  </sheetData>
  <mergeCells count="211">
    <mergeCell ref="L207:L208"/>
    <mergeCell ref="L209:L210"/>
    <mergeCell ref="L211:L212"/>
    <mergeCell ref="L213:L214"/>
    <mergeCell ref="L215:L216"/>
    <mergeCell ref="M233:M234"/>
    <mergeCell ref="M221:M222"/>
    <mergeCell ref="M223:M224"/>
    <mergeCell ref="M225:M226"/>
    <mergeCell ref="M227:M228"/>
    <mergeCell ref="M229:M230"/>
    <mergeCell ref="M231:M232"/>
    <mergeCell ref="L217:L218"/>
    <mergeCell ref="L203:L204"/>
    <mergeCell ref="M217:M218"/>
    <mergeCell ref="M219:M220"/>
    <mergeCell ref="L205:L206"/>
    <mergeCell ref="M209:M210"/>
    <mergeCell ref="M211:M212"/>
    <mergeCell ref="M213:M214"/>
    <mergeCell ref="M215:M216"/>
    <mergeCell ref="T3:AB3"/>
    <mergeCell ref="H3:P3"/>
    <mergeCell ref="L95:L96"/>
    <mergeCell ref="M15:M16"/>
    <mergeCell ref="M17:M18"/>
    <mergeCell ref="M19:M20"/>
    <mergeCell ref="M21:M22"/>
    <mergeCell ref="M23:M24"/>
    <mergeCell ref="M45:M46"/>
    <mergeCell ref="M47:M48"/>
    <mergeCell ref="L87:L88"/>
    <mergeCell ref="L89:L90"/>
    <mergeCell ref="M53:M54"/>
    <mergeCell ref="M55:M56"/>
    <mergeCell ref="M57:M58"/>
    <mergeCell ref="M39:M40"/>
    <mergeCell ref="L13:L14"/>
    <mergeCell ref="L15:L16"/>
    <mergeCell ref="L17:L18"/>
    <mergeCell ref="L55:L56"/>
    <mergeCell ref="L57:L58"/>
    <mergeCell ref="L9:L10"/>
    <mergeCell ref="M203:M204"/>
    <mergeCell ref="M205:M206"/>
    <mergeCell ref="M207:M208"/>
    <mergeCell ref="M63:M64"/>
    <mergeCell ref="M51:M52"/>
    <mergeCell ref="L93:L94"/>
    <mergeCell ref="M103:M104"/>
    <mergeCell ref="L103:L104"/>
    <mergeCell ref="M35:M36"/>
    <mergeCell ref="M37:M38"/>
    <mergeCell ref="M115:M116"/>
    <mergeCell ref="M117:M118"/>
    <mergeCell ref="M87:M88"/>
    <mergeCell ref="M75:M76"/>
    <mergeCell ref="M77:M78"/>
    <mergeCell ref="M41:M42"/>
    <mergeCell ref="M43:M44"/>
    <mergeCell ref="M113:M114"/>
    <mergeCell ref="C8:E8"/>
    <mergeCell ref="D9:G9"/>
    <mergeCell ref="D11:D154"/>
    <mergeCell ref="L73:L74"/>
    <mergeCell ref="L75:L76"/>
    <mergeCell ref="E11:E154"/>
    <mergeCell ref="F11:F154"/>
    <mergeCell ref="L21:L22"/>
    <mergeCell ref="L23:L24"/>
    <mergeCell ref="L25:L26"/>
    <mergeCell ref="L27:L28"/>
    <mergeCell ref="L29:L30"/>
    <mergeCell ref="J9:K10"/>
    <mergeCell ref="H9:I10"/>
    <mergeCell ref="L11:L12"/>
    <mergeCell ref="L37:L38"/>
    <mergeCell ref="L67:L68"/>
    <mergeCell ref="L69:L70"/>
    <mergeCell ref="L71:L72"/>
    <mergeCell ref="L45:L46"/>
    <mergeCell ref="L47:L48"/>
    <mergeCell ref="L77:L78"/>
    <mergeCell ref="L83:L84"/>
    <mergeCell ref="J11:J122"/>
    <mergeCell ref="M13:M14"/>
    <mergeCell ref="L35:L36"/>
    <mergeCell ref="M107:M108"/>
    <mergeCell ref="M109:M110"/>
    <mergeCell ref="M111:M112"/>
    <mergeCell ref="L85:L86"/>
    <mergeCell ref="L81:L82"/>
    <mergeCell ref="L59:L60"/>
    <mergeCell ref="L49:L50"/>
    <mergeCell ref="L51:L52"/>
    <mergeCell ref="L53:L54"/>
    <mergeCell ref="M105:M106"/>
    <mergeCell ref="L99:L100"/>
    <mergeCell ref="L101:L102"/>
    <mergeCell ref="L79:L80"/>
    <mergeCell ref="M79:M80"/>
    <mergeCell ref="M81:M82"/>
    <mergeCell ref="L91:L92"/>
    <mergeCell ref="M97:M98"/>
    <mergeCell ref="M99:M100"/>
    <mergeCell ref="M101:M102"/>
    <mergeCell ref="M91:M92"/>
    <mergeCell ref="M93:M94"/>
    <mergeCell ref="M95:M96"/>
    <mergeCell ref="L105:L106"/>
    <mergeCell ref="L97:L98"/>
    <mergeCell ref="Z12:AB12"/>
    <mergeCell ref="V12:W12"/>
    <mergeCell ref="L33:L34"/>
    <mergeCell ref="L43:L44"/>
    <mergeCell ref="L39:L40"/>
    <mergeCell ref="L41:L42"/>
    <mergeCell ref="L65:L66"/>
    <mergeCell ref="M59:M60"/>
    <mergeCell ref="M85:M86"/>
    <mergeCell ref="L19:L20"/>
    <mergeCell ref="S12:T12"/>
    <mergeCell ref="P12:Q12"/>
    <mergeCell ref="M69:M70"/>
    <mergeCell ref="M71:M72"/>
    <mergeCell ref="M25:M26"/>
    <mergeCell ref="M27:M28"/>
    <mergeCell ref="M29:M30"/>
    <mergeCell ref="M31:M32"/>
    <mergeCell ref="L61:L62"/>
    <mergeCell ref="L63:L64"/>
    <mergeCell ref="L31:L32"/>
    <mergeCell ref="M11:M12"/>
    <mergeCell ref="M147:M148"/>
    <mergeCell ref="M139:M140"/>
    <mergeCell ref="M61:M62"/>
    <mergeCell ref="M83:M84"/>
    <mergeCell ref="M65:M66"/>
    <mergeCell ref="M67:M68"/>
    <mergeCell ref="M119:M120"/>
    <mergeCell ref="M89:M90"/>
    <mergeCell ref="M33:M34"/>
    <mergeCell ref="M73:M74"/>
    <mergeCell ref="M49:M50"/>
    <mergeCell ref="M167:M168"/>
    <mergeCell ref="M169:M170"/>
    <mergeCell ref="M171:M172"/>
    <mergeCell ref="M173:M174"/>
    <mergeCell ref="M151:M152"/>
    <mergeCell ref="M153:M154"/>
    <mergeCell ref="M155:M156"/>
    <mergeCell ref="M157:M158"/>
    <mergeCell ref="M159:M160"/>
    <mergeCell ref="M161:M162"/>
    <mergeCell ref="M199:M200"/>
    <mergeCell ref="M201:M202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M187:M188"/>
    <mergeCell ref="M189:M190"/>
    <mergeCell ref="M191:M192"/>
    <mergeCell ref="M193:M194"/>
    <mergeCell ref="M195:M196"/>
    <mergeCell ref="M197:M198"/>
    <mergeCell ref="M175:M176"/>
    <mergeCell ref="M177:M178"/>
    <mergeCell ref="M179:M180"/>
    <mergeCell ref="M181:M182"/>
    <mergeCell ref="M183:M184"/>
    <mergeCell ref="M185:M186"/>
    <mergeCell ref="M163:M164"/>
    <mergeCell ref="M165:M166"/>
    <mergeCell ref="L151:L152"/>
    <mergeCell ref="L153:L154"/>
    <mergeCell ref="L141:L142"/>
    <mergeCell ref="L143:L144"/>
    <mergeCell ref="L145:L146"/>
    <mergeCell ref="L147:L148"/>
    <mergeCell ref="L139:L140"/>
    <mergeCell ref="L135:L136"/>
    <mergeCell ref="L137:L138"/>
    <mergeCell ref="U5:AB5"/>
    <mergeCell ref="U6:AB6"/>
    <mergeCell ref="I5:P5"/>
    <mergeCell ref="I6:P6"/>
    <mergeCell ref="L149:L150"/>
    <mergeCell ref="L123:L124"/>
    <mergeCell ref="L125:L126"/>
    <mergeCell ref="L127:L128"/>
    <mergeCell ref="L129:L130"/>
    <mergeCell ref="L131:L132"/>
    <mergeCell ref="L133:L134"/>
    <mergeCell ref="M149:M150"/>
    <mergeCell ref="M127:M128"/>
    <mergeCell ref="M129:M130"/>
    <mergeCell ref="M131:M132"/>
    <mergeCell ref="M133:M134"/>
    <mergeCell ref="M135:M136"/>
    <mergeCell ref="M137:M138"/>
    <mergeCell ref="M121:M122"/>
    <mergeCell ref="M123:M124"/>
    <mergeCell ref="M125:M126"/>
    <mergeCell ref="M141:M142"/>
    <mergeCell ref="M143:M144"/>
    <mergeCell ref="M145:M146"/>
  </mergeCells>
  <phoneticPr fontId="17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X126"/>
  <sheetViews>
    <sheetView topLeftCell="A22" zoomScale="70" zoomScaleNormal="70" workbookViewId="0">
      <selection activeCell="U66" sqref="U66"/>
    </sheetView>
  </sheetViews>
  <sheetFormatPr defaultColWidth="9" defaultRowHeight="16.5" x14ac:dyDescent="0.3"/>
  <cols>
    <col min="1" max="1" width="9" style="26"/>
    <col min="2" max="2" width="0" style="26" hidden="1" customWidth="1"/>
    <col min="3" max="3" width="9" style="26"/>
    <col min="4" max="8" width="17.625" style="26" customWidth="1"/>
    <col min="9" max="10" width="9" style="26"/>
    <col min="11" max="12" width="11.375" style="26" customWidth="1"/>
    <col min="13" max="16384" width="9" style="26"/>
  </cols>
  <sheetData>
    <row r="6" spans="2:13" ht="12" customHeight="1" x14ac:dyDescent="0.3"/>
    <row r="7" spans="2:13" x14ac:dyDescent="0.3">
      <c r="C7" s="314" t="s">
        <v>275</v>
      </c>
      <c r="D7" s="314"/>
      <c r="E7" s="314"/>
      <c r="F7" s="314"/>
      <c r="G7" s="314" t="s">
        <v>276</v>
      </c>
      <c r="H7" s="314" t="s">
        <v>277</v>
      </c>
    </row>
    <row r="8" spans="2:13" x14ac:dyDescent="0.3">
      <c r="C8" s="28" t="s">
        <v>278</v>
      </c>
      <c r="D8" s="35" t="s">
        <v>852</v>
      </c>
      <c r="E8" s="35" t="s">
        <v>398</v>
      </c>
      <c r="F8" s="35" t="s">
        <v>400</v>
      </c>
      <c r="G8" s="314"/>
      <c r="H8" s="314"/>
      <c r="K8" s="28" t="s">
        <v>913</v>
      </c>
      <c r="L8" s="28" t="s">
        <v>838</v>
      </c>
    </row>
    <row r="9" spans="2:13" ht="16.5" customHeight="1" x14ac:dyDescent="0.3">
      <c r="B9" s="26" t="s">
        <v>850</v>
      </c>
      <c r="C9" s="321">
        <v>0</v>
      </c>
      <c r="D9" s="321">
        <v>13</v>
      </c>
      <c r="E9" s="320">
        <v>0</v>
      </c>
      <c r="F9" s="323">
        <v>0</v>
      </c>
      <c r="G9" s="28">
        <v>0</v>
      </c>
      <c r="H9" s="28" t="s">
        <v>848</v>
      </c>
      <c r="I9" s="26">
        <v>0</v>
      </c>
      <c r="K9" s="28" t="s">
        <v>912</v>
      </c>
      <c r="L9" s="28">
        <v>0</v>
      </c>
      <c r="M9" s="26" t="str">
        <f t="shared" ref="M9:M22" si="0">DEC2HEX(L9)</f>
        <v>0</v>
      </c>
    </row>
    <row r="10" spans="2:13" ht="16.5" customHeight="1" x14ac:dyDescent="0.3">
      <c r="B10" s="26" t="s">
        <v>847</v>
      </c>
      <c r="C10" s="322"/>
      <c r="D10" s="322"/>
      <c r="E10" s="315"/>
      <c r="F10" s="324"/>
      <c r="G10" s="28">
        <v>0</v>
      </c>
      <c r="H10" s="28" t="s">
        <v>839</v>
      </c>
      <c r="I10" s="26">
        <v>1</v>
      </c>
      <c r="K10" s="28" t="s">
        <v>911</v>
      </c>
      <c r="L10" s="28">
        <v>1</v>
      </c>
      <c r="M10" s="26" t="str">
        <f t="shared" si="0"/>
        <v>1</v>
      </c>
    </row>
    <row r="11" spans="2:13" ht="16.5" customHeight="1" x14ac:dyDescent="0.3">
      <c r="B11" s="26" t="s">
        <v>841</v>
      </c>
      <c r="C11" s="322"/>
      <c r="D11" s="322"/>
      <c r="E11" s="315"/>
      <c r="F11" s="323">
        <v>1</v>
      </c>
      <c r="G11" s="28">
        <v>0</v>
      </c>
      <c r="H11" s="28" t="s">
        <v>828</v>
      </c>
      <c r="I11" s="26">
        <v>2</v>
      </c>
      <c r="K11" s="28" t="s">
        <v>910</v>
      </c>
      <c r="L11" s="28">
        <v>2</v>
      </c>
      <c r="M11" s="26" t="str">
        <f t="shared" si="0"/>
        <v>2</v>
      </c>
    </row>
    <row r="12" spans="2:13" ht="16.5" customHeight="1" x14ac:dyDescent="0.3">
      <c r="B12" s="26" t="s">
        <v>835</v>
      </c>
      <c r="C12" s="322"/>
      <c r="D12" s="322"/>
      <c r="E12" s="315"/>
      <c r="F12" s="324"/>
      <c r="G12" s="28">
        <v>0</v>
      </c>
      <c r="H12" s="28" t="s">
        <v>819</v>
      </c>
      <c r="I12" s="26">
        <v>3</v>
      </c>
      <c r="K12" s="28" t="s">
        <v>909</v>
      </c>
      <c r="L12" s="28">
        <v>3</v>
      </c>
      <c r="M12" s="26" t="str">
        <f t="shared" si="0"/>
        <v>3</v>
      </c>
    </row>
    <row r="13" spans="2:13" ht="16.5" customHeight="1" x14ac:dyDescent="0.3">
      <c r="B13" s="26" t="s">
        <v>830</v>
      </c>
      <c r="C13" s="322"/>
      <c r="D13" s="322"/>
      <c r="E13" s="315"/>
      <c r="F13" s="323">
        <v>2</v>
      </c>
      <c r="G13" s="28">
        <v>0</v>
      </c>
      <c r="H13" s="28" t="s">
        <v>813</v>
      </c>
      <c r="I13" s="26">
        <v>4</v>
      </c>
      <c r="K13" s="28" t="s">
        <v>908</v>
      </c>
      <c r="L13" s="28">
        <v>4</v>
      </c>
      <c r="M13" s="26" t="str">
        <f t="shared" si="0"/>
        <v>4</v>
      </c>
    </row>
    <row r="14" spans="2:13" ht="16.5" customHeight="1" x14ac:dyDescent="0.3">
      <c r="B14" s="26" t="s">
        <v>825</v>
      </c>
      <c r="C14" s="322"/>
      <c r="D14" s="322"/>
      <c r="E14" s="315"/>
      <c r="F14" s="324"/>
      <c r="G14" s="28">
        <v>0</v>
      </c>
      <c r="H14" s="28" t="s">
        <v>808</v>
      </c>
      <c r="I14" s="26">
        <v>5</v>
      </c>
      <c r="K14" s="28" t="s">
        <v>907</v>
      </c>
      <c r="L14" s="28">
        <v>5</v>
      </c>
      <c r="M14" s="26" t="str">
        <f t="shared" si="0"/>
        <v>5</v>
      </c>
    </row>
    <row r="15" spans="2:13" ht="16.5" customHeight="1" x14ac:dyDescent="0.3">
      <c r="B15" s="26" t="s">
        <v>821</v>
      </c>
      <c r="C15" s="322"/>
      <c r="D15" s="322"/>
      <c r="E15" s="315"/>
      <c r="F15" s="323">
        <v>3</v>
      </c>
      <c r="G15" s="28">
        <v>0</v>
      </c>
      <c r="H15" s="28" t="s">
        <v>802</v>
      </c>
      <c r="I15" s="26">
        <v>6</v>
      </c>
      <c r="K15" s="28" t="s">
        <v>906</v>
      </c>
      <c r="L15" s="28">
        <v>6</v>
      </c>
      <c r="M15" s="26" t="str">
        <f t="shared" si="0"/>
        <v>6</v>
      </c>
    </row>
    <row r="16" spans="2:13" ht="16.5" customHeight="1" x14ac:dyDescent="0.3">
      <c r="B16" s="26" t="s">
        <v>817</v>
      </c>
      <c r="C16" s="322"/>
      <c r="D16" s="322"/>
      <c r="E16" s="315"/>
      <c r="F16" s="324"/>
      <c r="G16" s="28">
        <v>0</v>
      </c>
      <c r="H16" s="28" t="s">
        <v>795</v>
      </c>
      <c r="I16" s="26">
        <v>7</v>
      </c>
      <c r="K16" s="28" t="s">
        <v>905</v>
      </c>
      <c r="L16" s="28">
        <v>7</v>
      </c>
      <c r="M16" s="26" t="str">
        <f t="shared" si="0"/>
        <v>7</v>
      </c>
    </row>
    <row r="17" spans="2:13" ht="16.5" customHeight="1" x14ac:dyDescent="0.3">
      <c r="B17" s="26" t="s">
        <v>815</v>
      </c>
      <c r="C17" s="322"/>
      <c r="D17" s="322"/>
      <c r="E17" s="315"/>
      <c r="F17" s="323">
        <v>4</v>
      </c>
      <c r="G17" s="28">
        <v>0</v>
      </c>
      <c r="H17" s="28" t="s">
        <v>788</v>
      </c>
      <c r="I17" s="26">
        <v>8</v>
      </c>
      <c r="K17" s="28" t="s">
        <v>904</v>
      </c>
      <c r="L17" s="28">
        <v>8</v>
      </c>
      <c r="M17" s="26" t="str">
        <f t="shared" si="0"/>
        <v>8</v>
      </c>
    </row>
    <row r="18" spans="2:13" ht="16.5" customHeight="1" x14ac:dyDescent="0.3">
      <c r="B18" s="26" t="s">
        <v>812</v>
      </c>
      <c r="C18" s="322"/>
      <c r="D18" s="322"/>
      <c r="E18" s="315"/>
      <c r="F18" s="324"/>
      <c r="G18" s="28">
        <v>0</v>
      </c>
      <c r="H18" s="28" t="s">
        <v>781</v>
      </c>
      <c r="I18" s="26">
        <v>9</v>
      </c>
      <c r="K18" s="28" t="s">
        <v>903</v>
      </c>
      <c r="L18" s="28">
        <v>9</v>
      </c>
      <c r="M18" s="26" t="str">
        <f t="shared" si="0"/>
        <v>9</v>
      </c>
    </row>
    <row r="19" spans="2:13" ht="16.5" customHeight="1" x14ac:dyDescent="0.3">
      <c r="B19" s="26" t="s">
        <v>810</v>
      </c>
      <c r="C19" s="322"/>
      <c r="D19" s="322"/>
      <c r="E19" s="315"/>
      <c r="F19" s="323">
        <v>5</v>
      </c>
      <c r="G19" s="28">
        <v>0</v>
      </c>
      <c r="H19" s="28" t="s">
        <v>775</v>
      </c>
      <c r="I19" s="26">
        <v>10</v>
      </c>
      <c r="K19" s="28" t="s">
        <v>902</v>
      </c>
      <c r="L19" s="28">
        <v>10</v>
      </c>
      <c r="M19" s="26" t="str">
        <f t="shared" si="0"/>
        <v>A</v>
      </c>
    </row>
    <row r="20" spans="2:13" ht="16.5" customHeight="1" x14ac:dyDescent="0.3">
      <c r="B20" s="26" t="s">
        <v>806</v>
      </c>
      <c r="C20" s="322"/>
      <c r="D20" s="322"/>
      <c r="E20" s="315"/>
      <c r="F20" s="324"/>
      <c r="G20" s="28">
        <v>0</v>
      </c>
      <c r="H20" s="28" t="s">
        <v>770</v>
      </c>
      <c r="I20" s="26">
        <v>11</v>
      </c>
      <c r="K20" s="28" t="s">
        <v>901</v>
      </c>
      <c r="L20" s="28">
        <v>11</v>
      </c>
      <c r="M20" s="26" t="str">
        <f t="shared" si="0"/>
        <v>B</v>
      </c>
    </row>
    <row r="21" spans="2:13" ht="16.5" customHeight="1" x14ac:dyDescent="0.3">
      <c r="B21" s="26" t="s">
        <v>804</v>
      </c>
      <c r="C21" s="322"/>
      <c r="D21" s="322"/>
      <c r="E21" s="315"/>
      <c r="F21" s="323">
        <v>6</v>
      </c>
      <c r="G21" s="28">
        <v>0</v>
      </c>
      <c r="H21" s="28" t="s">
        <v>765</v>
      </c>
      <c r="I21" s="26">
        <v>12</v>
      </c>
      <c r="K21" s="28" t="s">
        <v>900</v>
      </c>
      <c r="L21" s="28">
        <v>12</v>
      </c>
      <c r="M21" s="26" t="str">
        <f t="shared" si="0"/>
        <v>C</v>
      </c>
    </row>
    <row r="22" spans="2:13" ht="16.5" customHeight="1" x14ac:dyDescent="0.3">
      <c r="B22" s="26" t="s">
        <v>800</v>
      </c>
      <c r="C22" s="322"/>
      <c r="D22" s="322"/>
      <c r="E22" s="315"/>
      <c r="F22" s="324"/>
      <c r="G22" s="28">
        <v>0</v>
      </c>
      <c r="H22" s="28" t="s">
        <v>760</v>
      </c>
      <c r="I22" s="26">
        <v>13</v>
      </c>
      <c r="K22" s="28" t="s">
        <v>899</v>
      </c>
      <c r="L22" s="28">
        <v>13</v>
      </c>
      <c r="M22" s="26" t="str">
        <f t="shared" si="0"/>
        <v>D</v>
      </c>
    </row>
    <row r="23" spans="2:13" ht="16.5" customHeight="1" x14ac:dyDescent="0.3">
      <c r="B23" s="26" t="s">
        <v>797</v>
      </c>
      <c r="C23" s="322"/>
      <c r="D23" s="322"/>
      <c r="E23" s="315"/>
      <c r="F23" s="323">
        <v>7</v>
      </c>
      <c r="G23" s="28">
        <v>0</v>
      </c>
      <c r="H23" s="28" t="s">
        <v>755</v>
      </c>
      <c r="I23" s="26">
        <v>14</v>
      </c>
      <c r="K23" s="28" t="s">
        <v>898</v>
      </c>
      <c r="L23" s="28" t="s">
        <v>897</v>
      </c>
    </row>
    <row r="24" spans="2:13" ht="16.5" customHeight="1" x14ac:dyDescent="0.3">
      <c r="B24" s="26" t="s">
        <v>793</v>
      </c>
      <c r="C24" s="322"/>
      <c r="D24" s="322"/>
      <c r="E24" s="315"/>
      <c r="F24" s="324"/>
      <c r="G24" s="28">
        <v>0</v>
      </c>
      <c r="H24" s="28" t="s">
        <v>752</v>
      </c>
      <c r="I24" s="26">
        <v>15</v>
      </c>
      <c r="K24" s="28" t="s">
        <v>896</v>
      </c>
      <c r="L24" s="28">
        <v>14</v>
      </c>
      <c r="M24" s="26" t="str">
        <f>DEC2HEX(L24)</f>
        <v>E</v>
      </c>
    </row>
    <row r="25" spans="2:13" ht="16.5" customHeight="1" x14ac:dyDescent="0.3">
      <c r="B25" s="26" t="s">
        <v>790</v>
      </c>
      <c r="C25" s="322"/>
      <c r="D25" s="322"/>
      <c r="E25" s="315"/>
      <c r="F25" s="323">
        <v>8</v>
      </c>
      <c r="G25" s="28">
        <v>0</v>
      </c>
      <c r="H25" s="28" t="s">
        <v>747</v>
      </c>
      <c r="I25" s="26">
        <v>16</v>
      </c>
      <c r="K25" s="28" t="s">
        <v>895</v>
      </c>
      <c r="L25" s="28">
        <v>15</v>
      </c>
      <c r="M25" s="26" t="str">
        <f>DEC2HEX(L25)</f>
        <v>F</v>
      </c>
    </row>
    <row r="26" spans="2:13" ht="16.5" customHeight="1" x14ac:dyDescent="0.3">
      <c r="B26" s="26" t="s">
        <v>786</v>
      </c>
      <c r="C26" s="322"/>
      <c r="D26" s="322"/>
      <c r="E26" s="315"/>
      <c r="F26" s="324"/>
      <c r="G26" s="28">
        <v>0</v>
      </c>
      <c r="H26" s="28" t="s">
        <v>742</v>
      </c>
      <c r="I26" s="26">
        <v>17</v>
      </c>
    </row>
    <row r="27" spans="2:13" ht="16.5" customHeight="1" x14ac:dyDescent="0.3">
      <c r="B27" s="26" t="s">
        <v>783</v>
      </c>
      <c r="C27" s="322"/>
      <c r="D27" s="322"/>
      <c r="E27" s="315"/>
      <c r="F27" s="323">
        <v>9</v>
      </c>
      <c r="G27" s="28">
        <v>0</v>
      </c>
      <c r="H27" s="28" t="s">
        <v>737</v>
      </c>
      <c r="I27" s="26">
        <v>18</v>
      </c>
    </row>
    <row r="28" spans="2:13" ht="16.5" customHeight="1" x14ac:dyDescent="0.3">
      <c r="B28" s="26" t="s">
        <v>779</v>
      </c>
      <c r="C28" s="322"/>
      <c r="D28" s="322"/>
      <c r="E28" s="315"/>
      <c r="F28" s="324"/>
      <c r="G28" s="28">
        <v>0</v>
      </c>
      <c r="H28" s="28" t="s">
        <v>730</v>
      </c>
      <c r="I28" s="26">
        <v>19</v>
      </c>
    </row>
    <row r="29" spans="2:13" ht="16.5" customHeight="1" x14ac:dyDescent="0.3">
      <c r="B29" s="26" t="s">
        <v>777</v>
      </c>
      <c r="C29" s="322"/>
      <c r="D29" s="322"/>
      <c r="E29" s="315"/>
      <c r="F29" s="323">
        <v>10</v>
      </c>
      <c r="G29" s="28">
        <v>0</v>
      </c>
      <c r="H29" s="28" t="s">
        <v>725</v>
      </c>
      <c r="I29" s="26">
        <v>20</v>
      </c>
    </row>
    <row r="30" spans="2:13" ht="16.5" customHeight="1" x14ac:dyDescent="0.3">
      <c r="B30" s="26" t="s">
        <v>774</v>
      </c>
      <c r="C30" s="322"/>
      <c r="D30" s="322"/>
      <c r="E30" s="315"/>
      <c r="F30" s="324"/>
      <c r="G30" s="28">
        <v>0</v>
      </c>
      <c r="H30" s="28" t="s">
        <v>720</v>
      </c>
      <c r="I30" s="26">
        <v>21</v>
      </c>
    </row>
    <row r="31" spans="2:13" ht="16.5" customHeight="1" x14ac:dyDescent="0.3">
      <c r="B31" s="26" t="s">
        <v>772</v>
      </c>
      <c r="C31" s="322"/>
      <c r="D31" s="322"/>
      <c r="E31" s="315"/>
      <c r="F31" s="323">
        <v>11</v>
      </c>
      <c r="G31" s="28">
        <v>0</v>
      </c>
      <c r="H31" s="28" t="s">
        <v>715</v>
      </c>
      <c r="I31" s="26">
        <v>22</v>
      </c>
    </row>
    <row r="32" spans="2:13" ht="16.5" customHeight="1" x14ac:dyDescent="0.3">
      <c r="B32" s="26" t="s">
        <v>769</v>
      </c>
      <c r="C32" s="322"/>
      <c r="D32" s="322"/>
      <c r="E32" s="315"/>
      <c r="F32" s="324"/>
      <c r="G32" s="28">
        <v>0</v>
      </c>
      <c r="H32" s="28" t="s">
        <v>710</v>
      </c>
      <c r="I32" s="26">
        <v>23</v>
      </c>
    </row>
    <row r="33" spans="2:24" ht="16.5" customHeight="1" x14ac:dyDescent="0.3">
      <c r="C33" s="322"/>
      <c r="D33" s="322"/>
      <c r="E33" s="315"/>
      <c r="F33" s="323">
        <v>12</v>
      </c>
      <c r="G33" s="28">
        <v>0</v>
      </c>
      <c r="H33" s="28" t="s">
        <v>706</v>
      </c>
      <c r="I33" s="26">
        <v>24</v>
      </c>
    </row>
    <row r="34" spans="2:24" ht="16.5" customHeight="1" x14ac:dyDescent="0.3">
      <c r="C34" s="322"/>
      <c r="D34" s="322"/>
      <c r="E34" s="315"/>
      <c r="F34" s="324"/>
      <c r="G34" s="28">
        <v>0</v>
      </c>
      <c r="H34" s="28" t="s">
        <v>702</v>
      </c>
      <c r="I34" s="26">
        <v>25</v>
      </c>
    </row>
    <row r="35" spans="2:24" ht="16.5" customHeight="1" x14ac:dyDescent="0.3">
      <c r="C35" s="322"/>
      <c r="D35" s="322"/>
      <c r="E35" s="315"/>
      <c r="F35" s="323">
        <v>13</v>
      </c>
      <c r="G35" s="28">
        <v>0</v>
      </c>
      <c r="H35" s="28" t="s">
        <v>697</v>
      </c>
      <c r="I35" s="26">
        <v>26</v>
      </c>
    </row>
    <row r="36" spans="2:24" ht="16.5" customHeight="1" x14ac:dyDescent="0.3">
      <c r="C36" s="322"/>
      <c r="D36" s="322"/>
      <c r="E36" s="315"/>
      <c r="F36" s="324"/>
      <c r="G36" s="28">
        <v>0</v>
      </c>
      <c r="H36" s="28" t="s">
        <v>691</v>
      </c>
      <c r="I36" s="26">
        <v>27</v>
      </c>
    </row>
    <row r="37" spans="2:24" ht="16.5" customHeight="1" x14ac:dyDescent="0.3">
      <c r="C37" s="322"/>
      <c r="D37" s="322"/>
      <c r="E37" s="315"/>
      <c r="F37" s="323">
        <v>14</v>
      </c>
      <c r="G37" s="28">
        <v>0</v>
      </c>
      <c r="H37" s="28" t="s">
        <v>684</v>
      </c>
      <c r="I37" s="26">
        <v>28</v>
      </c>
    </row>
    <row r="38" spans="2:24" ht="16.5" customHeight="1" x14ac:dyDescent="0.3">
      <c r="C38" s="322"/>
      <c r="D38" s="322"/>
      <c r="E38" s="315"/>
      <c r="F38" s="324"/>
      <c r="G38" s="28">
        <v>0</v>
      </c>
      <c r="H38" s="28" t="s">
        <v>678</v>
      </c>
      <c r="I38" s="26">
        <v>29</v>
      </c>
    </row>
    <row r="39" spans="2:24" ht="16.5" customHeight="1" x14ac:dyDescent="0.3">
      <c r="C39" s="322"/>
      <c r="D39" s="322"/>
      <c r="E39" s="315"/>
      <c r="F39" s="323">
        <v>15</v>
      </c>
      <c r="G39" s="28">
        <v>0</v>
      </c>
      <c r="H39" s="28" t="s">
        <v>671</v>
      </c>
      <c r="I39" s="26">
        <v>30</v>
      </c>
    </row>
    <row r="40" spans="2:24" ht="16.5" customHeight="1" x14ac:dyDescent="0.3">
      <c r="C40" s="322"/>
      <c r="D40" s="322"/>
      <c r="E40" s="315"/>
      <c r="F40" s="324"/>
      <c r="G40" s="28">
        <v>0</v>
      </c>
      <c r="H40" s="28" t="s">
        <v>664</v>
      </c>
      <c r="I40" s="26">
        <v>31</v>
      </c>
    </row>
    <row r="41" spans="2:24" ht="16.5" customHeight="1" x14ac:dyDescent="0.3">
      <c r="B41" s="26" t="s">
        <v>749</v>
      </c>
      <c r="C41" s="322"/>
      <c r="D41" s="322"/>
      <c r="E41" s="315"/>
      <c r="F41" s="323">
        <v>16</v>
      </c>
      <c r="G41" s="28">
        <v>8</v>
      </c>
      <c r="H41" s="28" t="s">
        <v>660</v>
      </c>
      <c r="I41" s="26">
        <v>32</v>
      </c>
    </row>
    <row r="42" spans="2:24" ht="16.5" customHeight="1" x14ac:dyDescent="0.3">
      <c r="B42" s="26" t="s">
        <v>746</v>
      </c>
      <c r="C42" s="322"/>
      <c r="D42" s="322"/>
      <c r="E42" s="315"/>
      <c r="F42" s="324"/>
      <c r="G42" s="28">
        <v>9</v>
      </c>
      <c r="H42" s="28" t="s">
        <v>656</v>
      </c>
      <c r="I42" s="26">
        <v>33</v>
      </c>
    </row>
    <row r="43" spans="2:24" ht="16.5" customHeight="1" x14ac:dyDescent="0.3">
      <c r="B43" s="26" t="s">
        <v>744</v>
      </c>
      <c r="C43" s="322"/>
      <c r="D43" s="322"/>
      <c r="E43" s="315"/>
      <c r="F43" s="323">
        <v>17</v>
      </c>
      <c r="G43" s="28">
        <v>8</v>
      </c>
      <c r="H43" s="28" t="s">
        <v>653</v>
      </c>
      <c r="I43" s="26">
        <v>34</v>
      </c>
    </row>
    <row r="44" spans="2:24" ht="16.5" customHeight="1" x14ac:dyDescent="0.3">
      <c r="B44" s="26" t="s">
        <v>741</v>
      </c>
      <c r="C44" s="322"/>
      <c r="D44" s="322"/>
      <c r="E44" s="315"/>
      <c r="F44" s="324"/>
      <c r="G44" s="28">
        <v>9</v>
      </c>
      <c r="H44" s="28" t="s">
        <v>650</v>
      </c>
      <c r="I44" s="26">
        <v>35</v>
      </c>
      <c r="U44" s="141">
        <f t="shared" ref="U44:V47" si="1">V44+1</f>
        <v>71</v>
      </c>
      <c r="V44" s="141">
        <f t="shared" si="1"/>
        <v>70</v>
      </c>
      <c r="W44" s="141">
        <f>X44+1</f>
        <v>69</v>
      </c>
      <c r="X44" s="141">
        <f>U45+1</f>
        <v>68</v>
      </c>
    </row>
    <row r="45" spans="2:24" ht="16.5" customHeight="1" x14ac:dyDescent="0.3">
      <c r="B45" s="26" t="s">
        <v>739</v>
      </c>
      <c r="C45" s="322"/>
      <c r="D45" s="322"/>
      <c r="E45" s="315"/>
      <c r="F45" s="323">
        <v>18</v>
      </c>
      <c r="G45" s="28">
        <v>8</v>
      </c>
      <c r="H45" s="28" t="s">
        <v>647</v>
      </c>
      <c r="I45" s="26">
        <v>36</v>
      </c>
      <c r="U45" s="141">
        <f t="shared" si="1"/>
        <v>67</v>
      </c>
      <c r="V45" s="141">
        <f t="shared" si="1"/>
        <v>66</v>
      </c>
      <c r="W45" s="141">
        <f>X45+1</f>
        <v>65</v>
      </c>
      <c r="X45" s="141">
        <f>U46+1</f>
        <v>64</v>
      </c>
    </row>
    <row r="46" spans="2:24" ht="16.5" customHeight="1" x14ac:dyDescent="0.3">
      <c r="B46" s="26" t="s">
        <v>735</v>
      </c>
      <c r="C46" s="322"/>
      <c r="D46" s="322"/>
      <c r="E46" s="315"/>
      <c r="F46" s="324"/>
      <c r="G46" s="28">
        <v>9</v>
      </c>
      <c r="H46" s="28" t="s">
        <v>644</v>
      </c>
      <c r="I46" s="26">
        <v>37</v>
      </c>
      <c r="P46" s="45"/>
      <c r="U46" s="141">
        <f t="shared" si="1"/>
        <v>63</v>
      </c>
      <c r="V46" s="141">
        <f t="shared" si="1"/>
        <v>62</v>
      </c>
      <c r="W46" s="141">
        <f>X46+1</f>
        <v>61</v>
      </c>
      <c r="X46" s="26">
        <f>U47+1</f>
        <v>60</v>
      </c>
    </row>
    <row r="47" spans="2:24" ht="16.5" customHeight="1" x14ac:dyDescent="0.3">
      <c r="B47" s="26" t="s">
        <v>732</v>
      </c>
      <c r="C47" s="322"/>
      <c r="D47" s="322"/>
      <c r="E47" s="315"/>
      <c r="F47" s="323">
        <v>19</v>
      </c>
      <c r="G47" s="28">
        <v>8</v>
      </c>
      <c r="H47" s="28" t="s">
        <v>641</v>
      </c>
      <c r="I47" s="26">
        <v>38</v>
      </c>
      <c r="U47" s="141">
        <f t="shared" si="1"/>
        <v>59</v>
      </c>
      <c r="V47" s="141">
        <f t="shared" si="1"/>
        <v>58</v>
      </c>
      <c r="W47" s="26">
        <f>X47+1</f>
        <v>57</v>
      </c>
      <c r="X47" s="26">
        <v>56</v>
      </c>
    </row>
    <row r="48" spans="2:24" ht="16.5" customHeight="1" x14ac:dyDescent="0.3">
      <c r="B48" s="26" t="s">
        <v>729</v>
      </c>
      <c r="C48" s="322"/>
      <c r="D48" s="322"/>
      <c r="E48" s="315"/>
      <c r="F48" s="324"/>
      <c r="G48" s="28">
        <v>9</v>
      </c>
      <c r="H48" s="28" t="s">
        <v>637</v>
      </c>
      <c r="I48" s="26">
        <v>39</v>
      </c>
    </row>
    <row r="49" spans="2:10" ht="16.5" customHeight="1" x14ac:dyDescent="0.3">
      <c r="B49" s="26" t="s">
        <v>727</v>
      </c>
      <c r="C49" s="322"/>
      <c r="D49" s="322"/>
      <c r="E49" s="315"/>
      <c r="F49" s="323">
        <v>20</v>
      </c>
      <c r="G49" s="28">
        <v>8</v>
      </c>
      <c r="H49" s="28" t="s">
        <v>625</v>
      </c>
      <c r="I49" s="26">
        <v>40</v>
      </c>
    </row>
    <row r="50" spans="2:10" ht="16.5" customHeight="1" x14ac:dyDescent="0.3">
      <c r="B50" s="26" t="s">
        <v>724</v>
      </c>
      <c r="C50" s="322"/>
      <c r="D50" s="322"/>
      <c r="E50" s="315"/>
      <c r="F50" s="324"/>
      <c r="G50" s="28">
        <v>9</v>
      </c>
      <c r="H50" s="28" t="s">
        <v>622</v>
      </c>
      <c r="I50" s="26">
        <v>41</v>
      </c>
    </row>
    <row r="51" spans="2:10" ht="16.5" customHeight="1" x14ac:dyDescent="0.3">
      <c r="B51" s="26" t="s">
        <v>722</v>
      </c>
      <c r="C51" s="322"/>
      <c r="D51" s="322"/>
      <c r="E51" s="315"/>
      <c r="F51" s="323">
        <v>21</v>
      </c>
      <c r="G51" s="28">
        <v>8</v>
      </c>
      <c r="H51" s="28" t="s">
        <v>619</v>
      </c>
      <c r="I51" s="26">
        <v>42</v>
      </c>
    </row>
    <row r="52" spans="2:10" ht="16.5" customHeight="1" x14ac:dyDescent="0.3">
      <c r="B52" s="26" t="s">
        <v>719</v>
      </c>
      <c r="C52" s="322"/>
      <c r="D52" s="322"/>
      <c r="E52" s="315"/>
      <c r="F52" s="324"/>
      <c r="G52" s="28">
        <v>9</v>
      </c>
      <c r="H52" s="28" t="s">
        <v>616</v>
      </c>
      <c r="I52" s="26">
        <v>43</v>
      </c>
    </row>
    <row r="53" spans="2:10" ht="16.5" customHeight="1" x14ac:dyDescent="0.3">
      <c r="B53" s="26" t="s">
        <v>717</v>
      </c>
      <c r="C53" s="322"/>
      <c r="D53" s="322"/>
      <c r="E53" s="315"/>
      <c r="F53" s="323">
        <v>22</v>
      </c>
      <c r="G53" s="28">
        <v>8</v>
      </c>
      <c r="H53" s="28" t="s">
        <v>613</v>
      </c>
      <c r="I53" s="26">
        <v>44</v>
      </c>
    </row>
    <row r="54" spans="2:10" ht="16.5" customHeight="1" x14ac:dyDescent="0.3">
      <c r="B54" s="26" t="s">
        <v>714</v>
      </c>
      <c r="C54" s="322"/>
      <c r="D54" s="322"/>
      <c r="E54" s="315"/>
      <c r="F54" s="324"/>
      <c r="G54" s="28">
        <v>9</v>
      </c>
      <c r="H54" s="28" t="s">
        <v>610</v>
      </c>
      <c r="I54" s="26">
        <v>45</v>
      </c>
    </row>
    <row r="55" spans="2:10" ht="16.5" customHeight="1" x14ac:dyDescent="0.3">
      <c r="B55" s="26" t="s">
        <v>712</v>
      </c>
      <c r="C55" s="322"/>
      <c r="D55" s="322"/>
      <c r="E55" s="315"/>
      <c r="F55" s="323">
        <v>23</v>
      </c>
      <c r="G55" s="28">
        <v>8</v>
      </c>
      <c r="H55" s="28" t="s">
        <v>607</v>
      </c>
      <c r="I55" s="26">
        <v>46</v>
      </c>
    </row>
    <row r="56" spans="2:10" ht="16.5" customHeight="1" x14ac:dyDescent="0.3">
      <c r="B56" s="26" t="s">
        <v>709</v>
      </c>
      <c r="C56" s="322"/>
      <c r="D56" s="322"/>
      <c r="E56" s="315"/>
      <c r="F56" s="324"/>
      <c r="G56" s="28">
        <v>9</v>
      </c>
      <c r="H56" s="28" t="s">
        <v>604</v>
      </c>
      <c r="I56" s="26">
        <v>47</v>
      </c>
    </row>
    <row r="57" spans="2:10" ht="16.5" customHeight="1" x14ac:dyDescent="0.3">
      <c r="B57" s="26" t="s">
        <v>894</v>
      </c>
      <c r="C57" s="322"/>
      <c r="D57" s="322"/>
      <c r="E57" s="315"/>
      <c r="F57" s="323">
        <v>24</v>
      </c>
      <c r="G57" s="28">
        <v>0</v>
      </c>
      <c r="H57" s="28" t="s">
        <v>601</v>
      </c>
      <c r="I57" s="26">
        <v>48</v>
      </c>
    </row>
    <row r="58" spans="2:10" ht="16.5" customHeight="1" x14ac:dyDescent="0.3">
      <c r="B58" s="26" t="s">
        <v>893</v>
      </c>
      <c r="C58" s="322"/>
      <c r="D58" s="322"/>
      <c r="E58" s="315"/>
      <c r="F58" s="324"/>
      <c r="G58" s="28">
        <v>0</v>
      </c>
      <c r="H58" s="28" t="s">
        <v>598</v>
      </c>
      <c r="I58" s="26">
        <v>49</v>
      </c>
    </row>
    <row r="59" spans="2:10" ht="16.5" customHeight="1" x14ac:dyDescent="0.3">
      <c r="B59" s="26" t="s">
        <v>892</v>
      </c>
      <c r="C59" s="322"/>
      <c r="D59" s="322"/>
      <c r="E59" s="315"/>
      <c r="F59" s="323">
        <v>25</v>
      </c>
      <c r="G59" s="28">
        <v>0</v>
      </c>
      <c r="H59" s="28" t="s">
        <v>595</v>
      </c>
      <c r="I59" s="26">
        <v>50</v>
      </c>
    </row>
    <row r="60" spans="2:10" ht="16.5" customHeight="1" x14ac:dyDescent="0.3">
      <c r="B60" s="26" t="s">
        <v>891</v>
      </c>
      <c r="C60" s="322"/>
      <c r="D60" s="322"/>
      <c r="E60" s="315"/>
      <c r="F60" s="324"/>
      <c r="G60" s="28">
        <v>0</v>
      </c>
      <c r="H60" s="28" t="s">
        <v>592</v>
      </c>
      <c r="I60" s="26">
        <v>51</v>
      </c>
    </row>
    <row r="61" spans="2:10" ht="16.5" customHeight="1" x14ac:dyDescent="0.3">
      <c r="C61" s="322"/>
      <c r="D61" s="322"/>
      <c r="E61" s="315"/>
      <c r="F61" s="323">
        <v>26</v>
      </c>
      <c r="G61" s="28">
        <v>12</v>
      </c>
      <c r="H61" s="28" t="s">
        <v>589</v>
      </c>
      <c r="I61" s="26">
        <v>52</v>
      </c>
    </row>
    <row r="62" spans="2:10" ht="16.5" customHeight="1" x14ac:dyDescent="0.3">
      <c r="C62" s="322"/>
      <c r="D62" s="322"/>
      <c r="E62" s="315"/>
      <c r="F62" s="324"/>
      <c r="G62" s="28">
        <v>12</v>
      </c>
      <c r="H62" s="28" t="s">
        <v>586</v>
      </c>
      <c r="I62" s="26">
        <v>53</v>
      </c>
      <c r="J62" s="332"/>
    </row>
    <row r="63" spans="2:10" ht="16.5" customHeight="1" x14ac:dyDescent="0.3">
      <c r="C63" s="322"/>
      <c r="D63" s="322"/>
      <c r="E63" s="315"/>
      <c r="F63" s="323">
        <v>27</v>
      </c>
      <c r="G63" s="28">
        <v>12</v>
      </c>
      <c r="H63" s="28" t="s">
        <v>583</v>
      </c>
      <c r="I63" s="26">
        <v>54</v>
      </c>
      <c r="J63" s="332"/>
    </row>
    <row r="64" spans="2:10" ht="16.5" customHeight="1" x14ac:dyDescent="0.3">
      <c r="C64" s="322"/>
      <c r="D64" s="322"/>
      <c r="E64" s="315"/>
      <c r="F64" s="324"/>
      <c r="G64" s="28">
        <v>12</v>
      </c>
      <c r="H64" s="28" t="s">
        <v>580</v>
      </c>
      <c r="I64" s="26">
        <v>55</v>
      </c>
    </row>
    <row r="65" spans="3:15" ht="16.5" customHeight="1" x14ac:dyDescent="0.3">
      <c r="C65" s="322"/>
      <c r="D65" s="322"/>
      <c r="E65" s="315"/>
      <c r="F65" s="323">
        <v>28</v>
      </c>
      <c r="G65" s="28">
        <v>12</v>
      </c>
      <c r="H65" s="140" t="s">
        <v>1441</v>
      </c>
      <c r="I65" s="26">
        <v>56</v>
      </c>
      <c r="J65" s="332"/>
    </row>
    <row r="66" spans="3:15" ht="16.5" customHeight="1" x14ac:dyDescent="0.3">
      <c r="C66" s="322"/>
      <c r="D66" s="322"/>
      <c r="E66" s="315"/>
      <c r="F66" s="324"/>
      <c r="G66" s="28">
        <v>12</v>
      </c>
      <c r="H66" s="140" t="s">
        <v>1442</v>
      </c>
      <c r="I66" s="26">
        <v>57</v>
      </c>
      <c r="J66" s="332"/>
    </row>
    <row r="67" spans="3:15" ht="16.5" customHeight="1" x14ac:dyDescent="0.3">
      <c r="C67" s="322"/>
      <c r="D67" s="322"/>
      <c r="E67" s="315"/>
      <c r="F67" s="323">
        <v>29</v>
      </c>
      <c r="G67" s="28">
        <v>12</v>
      </c>
      <c r="H67" s="140" t="s">
        <v>1443</v>
      </c>
      <c r="I67" s="26">
        <v>58</v>
      </c>
    </row>
    <row r="68" spans="3:15" ht="16.5" customHeight="1" x14ac:dyDescent="0.3">
      <c r="C68" s="322"/>
      <c r="D68" s="322"/>
      <c r="E68" s="315"/>
      <c r="F68" s="324"/>
      <c r="G68" s="28">
        <v>12</v>
      </c>
      <c r="H68" s="140" t="s">
        <v>1444</v>
      </c>
      <c r="I68" s="26">
        <v>59</v>
      </c>
      <c r="J68" s="332"/>
    </row>
    <row r="69" spans="3:15" ht="16.5" customHeight="1" x14ac:dyDescent="0.3">
      <c r="C69" s="322"/>
      <c r="D69" s="322"/>
      <c r="E69" s="315"/>
      <c r="F69" s="323">
        <v>30</v>
      </c>
      <c r="G69" s="28">
        <v>12</v>
      </c>
      <c r="H69" s="140" t="s">
        <v>1445</v>
      </c>
      <c r="I69" s="26">
        <v>60</v>
      </c>
      <c r="J69" s="332"/>
    </row>
    <row r="70" spans="3:15" ht="16.5" customHeight="1" x14ac:dyDescent="0.3">
      <c r="C70" s="322"/>
      <c r="D70" s="322"/>
      <c r="E70" s="315"/>
      <c r="F70" s="324"/>
      <c r="G70" s="28">
        <v>12</v>
      </c>
      <c r="H70" s="140" t="s">
        <v>1446</v>
      </c>
      <c r="I70" s="26">
        <v>61</v>
      </c>
    </row>
    <row r="71" spans="3:15" ht="16.5" customHeight="1" x14ac:dyDescent="0.3">
      <c r="C71" s="322"/>
      <c r="D71" s="322"/>
      <c r="E71" s="315"/>
      <c r="F71" s="323">
        <v>31</v>
      </c>
      <c r="G71" s="28">
        <v>12</v>
      </c>
      <c r="H71" s="140" t="s">
        <v>1447</v>
      </c>
      <c r="I71" s="26">
        <v>62</v>
      </c>
      <c r="J71" s="332"/>
    </row>
    <row r="72" spans="3:15" ht="16.5" customHeight="1" x14ac:dyDescent="0.3">
      <c r="C72" s="322"/>
      <c r="D72" s="322"/>
      <c r="E72" s="315"/>
      <c r="F72" s="324"/>
      <c r="G72" s="28">
        <v>12</v>
      </c>
      <c r="H72" s="140" t="s">
        <v>1448</v>
      </c>
      <c r="I72" s="26">
        <v>63</v>
      </c>
      <c r="J72" s="332"/>
    </row>
    <row r="73" spans="3:15" ht="16.5" customHeight="1" x14ac:dyDescent="0.3">
      <c r="C73" s="322"/>
      <c r="D73" s="322"/>
      <c r="E73" s="315"/>
      <c r="F73" s="323">
        <v>32</v>
      </c>
      <c r="G73" s="28">
        <v>12</v>
      </c>
      <c r="H73" s="140" t="s">
        <v>1449</v>
      </c>
      <c r="I73" s="26">
        <v>64</v>
      </c>
    </row>
    <row r="74" spans="3:15" ht="16.5" customHeight="1" x14ac:dyDescent="0.3">
      <c r="C74" s="322"/>
      <c r="D74" s="322"/>
      <c r="E74" s="315"/>
      <c r="F74" s="324"/>
      <c r="G74" s="28">
        <v>12</v>
      </c>
      <c r="H74" s="140" t="s">
        <v>1450</v>
      </c>
      <c r="I74" s="26">
        <v>65</v>
      </c>
      <c r="J74" s="332"/>
    </row>
    <row r="75" spans="3:15" ht="16.5" customHeight="1" x14ac:dyDescent="0.3">
      <c r="C75" s="322"/>
      <c r="D75" s="322"/>
      <c r="E75" s="315"/>
      <c r="F75" s="323">
        <v>33</v>
      </c>
      <c r="G75" s="28">
        <v>12</v>
      </c>
      <c r="H75" s="140" t="s">
        <v>1451</v>
      </c>
      <c r="I75" s="26">
        <v>66</v>
      </c>
      <c r="J75" s="332"/>
    </row>
    <row r="76" spans="3:15" ht="16.5" customHeight="1" x14ac:dyDescent="0.3">
      <c r="C76" s="322"/>
      <c r="D76" s="322"/>
      <c r="E76" s="315"/>
      <c r="F76" s="324"/>
      <c r="G76" s="28">
        <v>12</v>
      </c>
      <c r="H76" s="140" t="s">
        <v>1452</v>
      </c>
      <c r="I76" s="26">
        <v>67</v>
      </c>
    </row>
    <row r="77" spans="3:15" ht="16.5" customHeight="1" x14ac:dyDescent="0.3">
      <c r="C77" s="322"/>
      <c r="D77" s="322"/>
      <c r="E77" s="315"/>
      <c r="F77" s="323">
        <v>34</v>
      </c>
      <c r="G77" s="28">
        <v>12</v>
      </c>
      <c r="H77" s="140" t="s">
        <v>1453</v>
      </c>
      <c r="I77" s="26">
        <v>68</v>
      </c>
      <c r="J77" s="332"/>
    </row>
    <row r="78" spans="3:15" ht="16.5" customHeight="1" x14ac:dyDescent="0.3">
      <c r="C78" s="322"/>
      <c r="D78" s="322"/>
      <c r="E78" s="315"/>
      <c r="F78" s="324"/>
      <c r="G78" s="28"/>
      <c r="H78" s="140" t="s">
        <v>1454</v>
      </c>
      <c r="I78" s="26">
        <v>69</v>
      </c>
      <c r="J78" s="332"/>
    </row>
    <row r="79" spans="3:15" ht="16.5" customHeight="1" x14ac:dyDescent="0.3">
      <c r="C79" s="322"/>
      <c r="D79" s="322"/>
      <c r="E79" s="315"/>
      <c r="F79" s="323">
        <v>35</v>
      </c>
      <c r="G79" s="28"/>
      <c r="H79" s="140" t="s">
        <v>1455</v>
      </c>
      <c r="I79" s="26">
        <v>70</v>
      </c>
    </row>
    <row r="80" spans="3:15" ht="16.5" customHeight="1" x14ac:dyDescent="0.3">
      <c r="C80" s="322"/>
      <c r="D80" s="322"/>
      <c r="E80" s="315"/>
      <c r="F80" s="324"/>
      <c r="G80" s="28"/>
      <c r="H80" s="140" t="s">
        <v>1456</v>
      </c>
      <c r="I80" s="26">
        <v>71</v>
      </c>
      <c r="J80" s="332"/>
      <c r="O80" s="26">
        <v>10</v>
      </c>
    </row>
    <row r="81" spans="3:15" ht="16.5" customHeight="1" x14ac:dyDescent="0.3">
      <c r="C81" s="322"/>
      <c r="D81" s="322"/>
      <c r="E81" s="315"/>
      <c r="F81" s="323">
        <v>36</v>
      </c>
      <c r="G81" s="28"/>
      <c r="H81" s="28" t="s">
        <v>890</v>
      </c>
      <c r="I81" s="26">
        <v>72</v>
      </c>
      <c r="J81" s="332"/>
      <c r="O81" s="26">
        <v>11</v>
      </c>
    </row>
    <row r="82" spans="3:15" ht="16.5" customHeight="1" x14ac:dyDescent="0.3">
      <c r="C82" s="322"/>
      <c r="D82" s="322"/>
      <c r="E82" s="315"/>
      <c r="F82" s="324"/>
      <c r="G82" s="28"/>
      <c r="H82" s="143"/>
      <c r="I82" s="26">
        <v>73</v>
      </c>
      <c r="O82" s="145">
        <v>12</v>
      </c>
    </row>
    <row r="83" spans="3:15" ht="16.5" customHeight="1" x14ac:dyDescent="0.3">
      <c r="C83" s="322"/>
      <c r="D83" s="322"/>
      <c r="E83" s="315"/>
      <c r="F83" s="323">
        <v>37</v>
      </c>
      <c r="G83" s="28"/>
      <c r="H83" s="28" t="s">
        <v>1458</v>
      </c>
      <c r="I83" s="26">
        <v>74</v>
      </c>
      <c r="J83" s="332"/>
      <c r="O83" s="145">
        <v>13</v>
      </c>
    </row>
    <row r="84" spans="3:15" ht="16.5" customHeight="1" x14ac:dyDescent="0.3">
      <c r="C84" s="322"/>
      <c r="D84" s="322"/>
      <c r="E84" s="315"/>
      <c r="F84" s="324"/>
      <c r="G84" s="28"/>
      <c r="H84" s="140" t="s">
        <v>889</v>
      </c>
      <c r="I84" s="26">
        <v>75</v>
      </c>
      <c r="J84" s="332"/>
      <c r="O84" s="145">
        <v>14</v>
      </c>
    </row>
    <row r="85" spans="3:15" ht="16.5" customHeight="1" x14ac:dyDescent="0.3">
      <c r="C85" s="322"/>
      <c r="D85" s="322"/>
      <c r="E85" s="315"/>
      <c r="F85" s="323">
        <v>38</v>
      </c>
      <c r="G85" s="28"/>
      <c r="H85" s="140" t="s">
        <v>888</v>
      </c>
      <c r="I85" s="26">
        <v>76</v>
      </c>
      <c r="O85" s="145">
        <v>15</v>
      </c>
    </row>
    <row r="86" spans="3:15" ht="16.5" customHeight="1" x14ac:dyDescent="0.3">
      <c r="C86" s="322"/>
      <c r="D86" s="322"/>
      <c r="E86" s="315"/>
      <c r="F86" s="324"/>
      <c r="G86" s="28"/>
      <c r="H86" s="140" t="s">
        <v>887</v>
      </c>
      <c r="I86" s="26">
        <v>77</v>
      </c>
      <c r="J86" s="332"/>
      <c r="O86" s="145">
        <v>16</v>
      </c>
    </row>
    <row r="87" spans="3:15" ht="16.5" customHeight="1" x14ac:dyDescent="0.3">
      <c r="C87" s="322"/>
      <c r="D87" s="322"/>
      <c r="E87" s="315"/>
      <c r="F87" s="323">
        <v>39</v>
      </c>
      <c r="G87" s="28"/>
      <c r="H87" s="140" t="s">
        <v>886</v>
      </c>
      <c r="I87" s="26">
        <v>78</v>
      </c>
      <c r="J87" s="332"/>
      <c r="O87" s="145">
        <v>17</v>
      </c>
    </row>
    <row r="88" spans="3:15" ht="16.5" customHeight="1" x14ac:dyDescent="0.3">
      <c r="C88" s="322"/>
      <c r="D88" s="322"/>
      <c r="E88" s="315"/>
      <c r="F88" s="324"/>
      <c r="G88" s="28"/>
      <c r="H88" s="140" t="s">
        <v>885</v>
      </c>
      <c r="I88" s="26">
        <v>79</v>
      </c>
      <c r="O88" s="145">
        <v>18</v>
      </c>
    </row>
    <row r="89" spans="3:15" ht="16.5" customHeight="1" x14ac:dyDescent="0.3">
      <c r="C89" s="322"/>
      <c r="D89" s="322"/>
      <c r="E89" s="315"/>
      <c r="F89" s="323">
        <v>40</v>
      </c>
      <c r="G89" s="28"/>
      <c r="H89" s="140" t="s">
        <v>884</v>
      </c>
      <c r="I89" s="26">
        <v>80</v>
      </c>
      <c r="J89" s="332"/>
      <c r="O89" s="145">
        <v>19</v>
      </c>
    </row>
    <row r="90" spans="3:15" ht="16.5" customHeight="1" x14ac:dyDescent="0.3">
      <c r="C90" s="322"/>
      <c r="D90" s="322"/>
      <c r="E90" s="315"/>
      <c r="F90" s="324"/>
      <c r="G90" s="28"/>
      <c r="H90" s="140" t="s">
        <v>883</v>
      </c>
      <c r="I90" s="26">
        <v>81</v>
      </c>
      <c r="J90" s="332"/>
      <c r="O90" s="145">
        <v>20</v>
      </c>
    </row>
    <row r="91" spans="3:15" ht="16.5" customHeight="1" x14ac:dyDescent="0.3">
      <c r="C91" s="322"/>
      <c r="D91" s="322"/>
      <c r="E91" s="315"/>
      <c r="F91" s="323">
        <v>41</v>
      </c>
      <c r="G91" s="28"/>
      <c r="H91" s="140" t="s">
        <v>882</v>
      </c>
      <c r="I91" s="26">
        <v>82</v>
      </c>
      <c r="O91" s="145">
        <v>21</v>
      </c>
    </row>
    <row r="92" spans="3:15" ht="16.5" customHeight="1" x14ac:dyDescent="0.3">
      <c r="C92" s="322"/>
      <c r="D92" s="322"/>
      <c r="E92" s="315"/>
      <c r="F92" s="324"/>
      <c r="G92" s="28"/>
      <c r="H92" s="140" t="s">
        <v>881</v>
      </c>
      <c r="I92" s="26">
        <v>83</v>
      </c>
      <c r="J92" s="332"/>
      <c r="O92" s="145">
        <v>22</v>
      </c>
    </row>
    <row r="93" spans="3:15" ht="16.5" customHeight="1" x14ac:dyDescent="0.3">
      <c r="C93" s="322"/>
      <c r="D93" s="322"/>
      <c r="E93" s="315"/>
      <c r="F93" s="323">
        <v>42</v>
      </c>
      <c r="G93" s="28"/>
      <c r="H93" s="140" t="s">
        <v>880</v>
      </c>
      <c r="I93" s="26">
        <v>84</v>
      </c>
      <c r="J93" s="332"/>
      <c r="O93" s="145">
        <v>23</v>
      </c>
    </row>
    <row r="94" spans="3:15" ht="16.5" customHeight="1" x14ac:dyDescent="0.3">
      <c r="C94" s="322"/>
      <c r="D94" s="322"/>
      <c r="E94" s="315"/>
      <c r="F94" s="324"/>
      <c r="G94" s="28"/>
      <c r="H94" s="140" t="s">
        <v>879</v>
      </c>
      <c r="I94" s="26">
        <v>85</v>
      </c>
      <c r="O94" s="145">
        <v>24</v>
      </c>
    </row>
    <row r="95" spans="3:15" ht="16.5" customHeight="1" x14ac:dyDescent="0.3">
      <c r="C95" s="322"/>
      <c r="D95" s="322"/>
      <c r="E95" s="315"/>
      <c r="F95" s="323">
        <v>43</v>
      </c>
      <c r="G95" s="28"/>
      <c r="H95" s="140" t="s">
        <v>878</v>
      </c>
      <c r="I95" s="26">
        <v>86</v>
      </c>
      <c r="J95" s="332"/>
      <c r="O95" s="145">
        <v>25</v>
      </c>
    </row>
    <row r="96" spans="3:15" ht="16.5" customHeight="1" x14ac:dyDescent="0.3">
      <c r="C96" s="322"/>
      <c r="D96" s="322"/>
      <c r="E96" s="315"/>
      <c r="F96" s="324"/>
      <c r="G96" s="28"/>
      <c r="H96" s="140" t="s">
        <v>877</v>
      </c>
      <c r="I96" s="26">
        <v>87</v>
      </c>
      <c r="J96" s="332"/>
      <c r="O96" s="145">
        <v>26</v>
      </c>
    </row>
    <row r="97" spans="3:24" ht="16.5" customHeight="1" x14ac:dyDescent="0.3">
      <c r="C97" s="322"/>
      <c r="D97" s="322"/>
      <c r="E97" s="315"/>
      <c r="F97" s="323">
        <v>44</v>
      </c>
      <c r="G97" s="28"/>
      <c r="H97" s="140" t="s">
        <v>876</v>
      </c>
      <c r="I97" s="26">
        <v>88</v>
      </c>
      <c r="O97" s="145">
        <v>27</v>
      </c>
    </row>
    <row r="98" spans="3:24" ht="16.5" customHeight="1" x14ac:dyDescent="0.3">
      <c r="C98" s="322"/>
      <c r="D98" s="322"/>
      <c r="E98" s="315"/>
      <c r="F98" s="324"/>
      <c r="G98" s="28"/>
      <c r="H98" s="140" t="s">
        <v>875</v>
      </c>
      <c r="I98" s="26">
        <v>89</v>
      </c>
      <c r="O98" s="145">
        <v>28</v>
      </c>
    </row>
    <row r="99" spans="3:24" ht="16.5" customHeight="1" x14ac:dyDescent="0.3">
      <c r="C99" s="322"/>
      <c r="D99" s="322"/>
      <c r="E99" s="315"/>
      <c r="F99" s="323">
        <v>45</v>
      </c>
      <c r="G99" s="28"/>
      <c r="H99" s="140" t="s">
        <v>874</v>
      </c>
      <c r="I99" s="26">
        <v>90</v>
      </c>
      <c r="O99" s="145">
        <v>29</v>
      </c>
    </row>
    <row r="100" spans="3:24" ht="16.5" customHeight="1" x14ac:dyDescent="0.3">
      <c r="C100" s="322"/>
      <c r="D100" s="322"/>
      <c r="E100" s="315"/>
      <c r="F100" s="324"/>
      <c r="G100" s="28"/>
      <c r="H100" s="140" t="s">
        <v>873</v>
      </c>
      <c r="I100" s="26">
        <v>91</v>
      </c>
      <c r="O100" s="145">
        <v>30</v>
      </c>
    </row>
    <row r="101" spans="3:24" ht="16.5" customHeight="1" x14ac:dyDescent="0.3">
      <c r="C101" s="322"/>
      <c r="D101" s="322"/>
      <c r="E101" s="315"/>
      <c r="F101" s="323">
        <v>46</v>
      </c>
      <c r="G101" s="28"/>
      <c r="H101" s="140" t="s">
        <v>872</v>
      </c>
      <c r="I101" s="26">
        <v>92</v>
      </c>
      <c r="O101" s="145">
        <v>31</v>
      </c>
      <c r="T101" s="26" t="s">
        <v>622</v>
      </c>
      <c r="U101" s="26" t="s">
        <v>1459</v>
      </c>
      <c r="W101" s="26" t="s">
        <v>889</v>
      </c>
      <c r="X101" s="26" t="s">
        <v>1458</v>
      </c>
    </row>
    <row r="102" spans="3:24" ht="16.5" customHeight="1" x14ac:dyDescent="0.3">
      <c r="C102" s="322"/>
      <c r="D102" s="322"/>
      <c r="E102" s="315"/>
      <c r="F102" s="324"/>
      <c r="G102" s="28"/>
      <c r="H102" s="140" t="s">
        <v>871</v>
      </c>
      <c r="I102" s="26">
        <v>93</v>
      </c>
      <c r="O102" s="145">
        <v>32</v>
      </c>
      <c r="T102" s="26" t="s">
        <v>616</v>
      </c>
      <c r="U102" s="26" t="s">
        <v>619</v>
      </c>
      <c r="W102" s="26" t="s">
        <v>887</v>
      </c>
      <c r="X102" s="26" t="s">
        <v>888</v>
      </c>
    </row>
    <row r="103" spans="3:24" ht="16.5" customHeight="1" x14ac:dyDescent="0.3">
      <c r="C103" s="322"/>
      <c r="D103" s="322"/>
      <c r="E103" s="315"/>
      <c r="F103" s="323">
        <v>47</v>
      </c>
      <c r="G103" s="28"/>
      <c r="H103" s="140" t="s">
        <v>870</v>
      </c>
      <c r="I103" s="26">
        <v>94</v>
      </c>
      <c r="O103" s="145">
        <v>33</v>
      </c>
      <c r="T103" s="145" t="s">
        <v>610</v>
      </c>
      <c r="U103" s="145" t="s">
        <v>613</v>
      </c>
      <c r="W103" s="145" t="s">
        <v>885</v>
      </c>
      <c r="X103" s="145" t="s">
        <v>886</v>
      </c>
    </row>
    <row r="104" spans="3:24" ht="16.5" customHeight="1" x14ac:dyDescent="0.3">
      <c r="C104" s="322"/>
      <c r="D104" s="322"/>
      <c r="E104" s="315"/>
      <c r="F104" s="324"/>
      <c r="G104" s="28"/>
      <c r="H104" s="140" t="s">
        <v>869</v>
      </c>
      <c r="I104" s="26">
        <v>95</v>
      </c>
      <c r="O104" s="145">
        <v>34</v>
      </c>
      <c r="T104" s="145" t="s">
        <v>604</v>
      </c>
      <c r="U104" s="145" t="s">
        <v>607</v>
      </c>
      <c r="W104" s="145" t="s">
        <v>883</v>
      </c>
      <c r="X104" s="145" t="s">
        <v>884</v>
      </c>
    </row>
    <row r="105" spans="3:24" ht="16.5" customHeight="1" x14ac:dyDescent="0.3">
      <c r="C105" s="322"/>
      <c r="D105" s="322"/>
      <c r="E105" s="315"/>
      <c r="F105" s="323">
        <v>48</v>
      </c>
      <c r="G105" s="28"/>
      <c r="H105" s="140" t="s">
        <v>868</v>
      </c>
      <c r="I105" s="26">
        <v>96</v>
      </c>
      <c r="O105" s="145">
        <v>35</v>
      </c>
      <c r="T105" s="145" t="s">
        <v>598</v>
      </c>
      <c r="U105" s="145" t="s">
        <v>601</v>
      </c>
      <c r="W105" s="145" t="s">
        <v>881</v>
      </c>
      <c r="X105" s="145" t="s">
        <v>882</v>
      </c>
    </row>
    <row r="106" spans="3:24" ht="16.5" customHeight="1" x14ac:dyDescent="0.3">
      <c r="C106" s="322"/>
      <c r="D106" s="322"/>
      <c r="E106" s="315"/>
      <c r="F106" s="324"/>
      <c r="G106" s="28"/>
      <c r="H106" s="140" t="s">
        <v>867</v>
      </c>
      <c r="I106" s="26">
        <v>97</v>
      </c>
      <c r="O106" s="145">
        <v>36</v>
      </c>
      <c r="T106" s="145" t="s">
        <v>592</v>
      </c>
      <c r="U106" s="145" t="s">
        <v>595</v>
      </c>
      <c r="W106" s="145" t="s">
        <v>879</v>
      </c>
      <c r="X106" s="145" t="s">
        <v>880</v>
      </c>
    </row>
    <row r="107" spans="3:24" ht="16.5" customHeight="1" x14ac:dyDescent="0.3">
      <c r="C107" s="322"/>
      <c r="D107" s="322"/>
      <c r="E107" s="315"/>
      <c r="F107" s="323">
        <v>49</v>
      </c>
      <c r="G107" s="28"/>
      <c r="H107" s="140" t="s">
        <v>866</v>
      </c>
      <c r="I107" s="26">
        <v>98</v>
      </c>
      <c r="O107" s="145">
        <v>37</v>
      </c>
      <c r="T107" s="145" t="s">
        <v>586</v>
      </c>
      <c r="U107" s="145" t="s">
        <v>589</v>
      </c>
      <c r="W107" s="145" t="s">
        <v>877</v>
      </c>
      <c r="X107" s="145" t="s">
        <v>878</v>
      </c>
    </row>
    <row r="108" spans="3:24" ht="16.5" customHeight="1" x14ac:dyDescent="0.3">
      <c r="C108" s="322"/>
      <c r="D108" s="322"/>
      <c r="E108" s="315"/>
      <c r="F108" s="324"/>
      <c r="G108" s="28"/>
      <c r="H108" s="140" t="s">
        <v>865</v>
      </c>
      <c r="I108" s="26">
        <v>99</v>
      </c>
      <c r="O108" s="145">
        <v>38</v>
      </c>
      <c r="T108" s="145" t="s">
        <v>580</v>
      </c>
      <c r="U108" s="145" t="s">
        <v>583</v>
      </c>
      <c r="W108" s="145" t="s">
        <v>875</v>
      </c>
      <c r="X108" s="145" t="s">
        <v>876</v>
      </c>
    </row>
    <row r="109" spans="3:24" ht="16.5" customHeight="1" x14ac:dyDescent="0.3">
      <c r="C109" s="322"/>
      <c r="D109" s="322"/>
      <c r="E109" s="315"/>
      <c r="F109" s="323">
        <v>50</v>
      </c>
      <c r="G109" s="28"/>
      <c r="H109" s="140" t="s">
        <v>864</v>
      </c>
      <c r="I109" s="26">
        <v>100</v>
      </c>
      <c r="O109" s="145">
        <v>39</v>
      </c>
      <c r="T109" s="145" t="s">
        <v>1442</v>
      </c>
      <c r="U109" s="145" t="s">
        <v>1441</v>
      </c>
      <c r="W109" s="145" t="s">
        <v>873</v>
      </c>
      <c r="X109" s="145" t="s">
        <v>874</v>
      </c>
    </row>
    <row r="110" spans="3:24" ht="16.5" customHeight="1" x14ac:dyDescent="0.3">
      <c r="C110" s="322"/>
      <c r="D110" s="322"/>
      <c r="E110" s="315"/>
      <c r="F110" s="324"/>
      <c r="G110" s="28"/>
      <c r="H110" s="140" t="s">
        <v>863</v>
      </c>
      <c r="I110" s="26">
        <v>101</v>
      </c>
      <c r="O110" s="145">
        <v>40</v>
      </c>
      <c r="T110" s="145" t="s">
        <v>1444</v>
      </c>
      <c r="U110" s="145" t="s">
        <v>1443</v>
      </c>
      <c r="W110" s="145" t="s">
        <v>871</v>
      </c>
      <c r="X110" s="145" t="s">
        <v>872</v>
      </c>
    </row>
    <row r="111" spans="3:24" x14ac:dyDescent="0.3">
      <c r="C111" s="322"/>
      <c r="D111" s="322"/>
      <c r="E111" s="315"/>
      <c r="F111" s="323">
        <v>51</v>
      </c>
      <c r="G111" s="28"/>
      <c r="H111" s="140" t="s">
        <v>862</v>
      </c>
      <c r="I111" s="141">
        <v>102</v>
      </c>
      <c r="O111" s="145">
        <v>41</v>
      </c>
      <c r="T111" s="145" t="s">
        <v>1446</v>
      </c>
      <c r="U111" s="145" t="s">
        <v>1445</v>
      </c>
      <c r="W111" s="145" t="s">
        <v>869</v>
      </c>
      <c r="X111" s="145" t="s">
        <v>870</v>
      </c>
    </row>
    <row r="112" spans="3:24" x14ac:dyDescent="0.3">
      <c r="C112" s="322"/>
      <c r="D112" s="322"/>
      <c r="E112" s="315"/>
      <c r="F112" s="324"/>
      <c r="G112" s="28"/>
      <c r="H112" s="140" t="s">
        <v>861</v>
      </c>
      <c r="I112" s="141">
        <v>103</v>
      </c>
      <c r="O112" s="145">
        <v>42</v>
      </c>
      <c r="T112" s="145" t="s">
        <v>1448</v>
      </c>
      <c r="U112" s="145" t="s">
        <v>1447</v>
      </c>
      <c r="W112" s="145" t="s">
        <v>867</v>
      </c>
      <c r="X112" s="145" t="s">
        <v>868</v>
      </c>
    </row>
    <row r="113" spans="3:24" x14ac:dyDescent="0.3">
      <c r="C113" s="322"/>
      <c r="D113" s="322"/>
      <c r="E113" s="315"/>
      <c r="F113" s="323">
        <v>52</v>
      </c>
      <c r="G113" s="28"/>
      <c r="H113" s="140" t="s">
        <v>860</v>
      </c>
      <c r="I113" s="141">
        <v>104</v>
      </c>
      <c r="O113" s="145">
        <v>43</v>
      </c>
      <c r="T113" s="145" t="s">
        <v>1450</v>
      </c>
      <c r="U113" s="145" t="s">
        <v>1449</v>
      </c>
      <c r="W113" s="145" t="s">
        <v>865</v>
      </c>
      <c r="X113" s="145" t="s">
        <v>866</v>
      </c>
    </row>
    <row r="114" spans="3:24" x14ac:dyDescent="0.3">
      <c r="C114" s="322"/>
      <c r="D114" s="322"/>
      <c r="E114" s="315"/>
      <c r="F114" s="324"/>
      <c r="G114" s="28"/>
      <c r="H114" s="140" t="s">
        <v>859</v>
      </c>
      <c r="I114" s="141">
        <v>105</v>
      </c>
      <c r="O114" s="145">
        <v>44</v>
      </c>
      <c r="T114" s="145" t="s">
        <v>1452</v>
      </c>
      <c r="U114" s="145" t="s">
        <v>1451</v>
      </c>
      <c r="W114" s="145" t="s">
        <v>863</v>
      </c>
      <c r="X114" s="145" t="s">
        <v>864</v>
      </c>
    </row>
    <row r="115" spans="3:24" x14ac:dyDescent="0.3">
      <c r="C115" s="322"/>
      <c r="D115" s="322"/>
      <c r="E115" s="315"/>
      <c r="F115" s="323"/>
      <c r="G115" s="28"/>
      <c r="H115" s="28"/>
      <c r="O115" s="145">
        <v>45</v>
      </c>
      <c r="T115" s="145" t="s">
        <v>1454</v>
      </c>
      <c r="U115" s="145" t="s">
        <v>1453</v>
      </c>
      <c r="W115" s="145" t="s">
        <v>861</v>
      </c>
      <c r="X115" s="145" t="s">
        <v>862</v>
      </c>
    </row>
    <row r="116" spans="3:24" x14ac:dyDescent="0.3">
      <c r="C116" s="322"/>
      <c r="D116" s="322"/>
      <c r="E116" s="315"/>
      <c r="F116" s="324"/>
      <c r="G116" s="28"/>
      <c r="H116" s="28"/>
      <c r="O116" s="145">
        <v>46</v>
      </c>
      <c r="T116" s="145" t="s">
        <v>1456</v>
      </c>
      <c r="U116" s="145" t="s">
        <v>1455</v>
      </c>
      <c r="W116" s="145" t="s">
        <v>859</v>
      </c>
      <c r="X116" s="145" t="s">
        <v>860</v>
      </c>
    </row>
    <row r="117" spans="3:24" x14ac:dyDescent="0.3">
      <c r="C117" s="322"/>
      <c r="D117" s="322"/>
      <c r="E117" s="315"/>
      <c r="F117" s="323"/>
      <c r="G117" s="28"/>
      <c r="H117" s="28"/>
      <c r="O117" s="145">
        <v>47</v>
      </c>
    </row>
    <row r="118" spans="3:24" x14ac:dyDescent="0.3">
      <c r="C118" s="322"/>
      <c r="D118" s="322"/>
      <c r="E118" s="315"/>
      <c r="F118" s="324"/>
      <c r="G118" s="28"/>
      <c r="H118" s="28"/>
      <c r="O118" s="145">
        <v>48</v>
      </c>
    </row>
    <row r="119" spans="3:24" x14ac:dyDescent="0.3">
      <c r="C119" s="322"/>
      <c r="D119" s="322"/>
      <c r="E119" s="315"/>
      <c r="F119" s="323"/>
      <c r="G119" s="28"/>
      <c r="H119" s="28"/>
      <c r="O119" s="145">
        <v>49</v>
      </c>
    </row>
    <row r="120" spans="3:24" x14ac:dyDescent="0.3">
      <c r="C120" s="322"/>
      <c r="D120" s="322"/>
      <c r="E120" s="315"/>
      <c r="F120" s="324"/>
      <c r="G120" s="28"/>
      <c r="H120" s="28"/>
      <c r="O120" s="145">
        <v>50</v>
      </c>
    </row>
    <row r="121" spans="3:24" x14ac:dyDescent="0.3">
      <c r="C121" s="322"/>
      <c r="D121" s="322"/>
      <c r="E121" s="315"/>
      <c r="F121" s="323"/>
      <c r="G121" s="28"/>
      <c r="H121" s="28"/>
      <c r="O121" s="145">
        <v>51</v>
      </c>
    </row>
    <row r="122" spans="3:24" x14ac:dyDescent="0.3">
      <c r="C122" s="322"/>
      <c r="D122" s="322"/>
      <c r="E122" s="315"/>
      <c r="F122" s="324"/>
      <c r="G122" s="28"/>
      <c r="H122" s="28"/>
      <c r="O122" s="145">
        <v>52</v>
      </c>
    </row>
    <row r="123" spans="3:24" x14ac:dyDescent="0.3">
      <c r="C123" s="322"/>
      <c r="D123" s="322"/>
      <c r="E123" s="315"/>
      <c r="F123" s="323"/>
      <c r="G123" s="28"/>
      <c r="H123" s="28"/>
    </row>
    <row r="124" spans="3:24" x14ac:dyDescent="0.3">
      <c r="C124" s="322"/>
      <c r="D124" s="322"/>
      <c r="E124" s="315"/>
      <c r="F124" s="324"/>
      <c r="G124" s="28"/>
      <c r="H124" s="28"/>
    </row>
    <row r="125" spans="3:24" x14ac:dyDescent="0.3">
      <c r="C125" s="322"/>
      <c r="D125" s="322"/>
      <c r="E125" s="315"/>
      <c r="F125" s="323"/>
      <c r="G125" s="28"/>
      <c r="H125" s="28"/>
    </row>
    <row r="126" spans="3:24" x14ac:dyDescent="0.3">
      <c r="C126" s="322"/>
      <c r="D126" s="322"/>
      <c r="E126" s="315"/>
      <c r="F126" s="324"/>
      <c r="G126" s="28"/>
      <c r="H126" s="28"/>
    </row>
  </sheetData>
  <mergeCells count="77">
    <mergeCell ref="F83:F84"/>
    <mergeCell ref="F103:F104"/>
    <mergeCell ref="F105:F106"/>
    <mergeCell ref="F109:F110"/>
    <mergeCell ref="F99:F100"/>
    <mergeCell ref="F101:F102"/>
    <mergeCell ref="F107:F108"/>
    <mergeCell ref="F89:F90"/>
    <mergeCell ref="F85:F86"/>
    <mergeCell ref="F87:F88"/>
    <mergeCell ref="H7:H8"/>
    <mergeCell ref="G7:G8"/>
    <mergeCell ref="F27:F28"/>
    <mergeCell ref="F29:F30"/>
    <mergeCell ref="C7:F7"/>
    <mergeCell ref="C9:C126"/>
    <mergeCell ref="F121:F122"/>
    <mergeCell ref="F123:F124"/>
    <mergeCell ref="F125:F126"/>
    <mergeCell ref="E9:E126"/>
    <mergeCell ref="F91:F92"/>
    <mergeCell ref="F93:F94"/>
    <mergeCell ref="F95:F96"/>
    <mergeCell ref="F97:F98"/>
    <mergeCell ref="F41:F42"/>
    <mergeCell ref="F33:F34"/>
    <mergeCell ref="D9:D126"/>
    <mergeCell ref="F111:F112"/>
    <mergeCell ref="F113:F114"/>
    <mergeCell ref="F115:F116"/>
    <mergeCell ref="F117:F118"/>
    <mergeCell ref="F119:F120"/>
    <mergeCell ref="F45:F46"/>
    <mergeCell ref="F47:F48"/>
    <mergeCell ref="F49:F50"/>
    <mergeCell ref="F51:F52"/>
    <mergeCell ref="F35:F36"/>
    <mergeCell ref="F37:F38"/>
    <mergeCell ref="F39:F40"/>
    <mergeCell ref="F61:F62"/>
    <mergeCell ref="F79:F80"/>
    <mergeCell ref="F81:F82"/>
    <mergeCell ref="J62:J63"/>
    <mergeCell ref="J65:J66"/>
    <mergeCell ref="F9:F10"/>
    <mergeCell ref="F11:F12"/>
    <mergeCell ref="F13:F14"/>
    <mergeCell ref="F15:F16"/>
    <mergeCell ref="F17:F18"/>
    <mergeCell ref="F19:F20"/>
    <mergeCell ref="F21:F22"/>
    <mergeCell ref="F23:F24"/>
    <mergeCell ref="J95:J96"/>
    <mergeCell ref="J68:J69"/>
    <mergeCell ref="J71:J72"/>
    <mergeCell ref="J74:J75"/>
    <mergeCell ref="J77:J78"/>
    <mergeCell ref="J80:J81"/>
    <mergeCell ref="J83:J84"/>
    <mergeCell ref="J86:J87"/>
    <mergeCell ref="J89:J90"/>
    <mergeCell ref="J92:J93"/>
    <mergeCell ref="F73:F74"/>
    <mergeCell ref="F75:F76"/>
    <mergeCell ref="F77:F78"/>
    <mergeCell ref="F25:F26"/>
    <mergeCell ref="F31:F32"/>
    <mergeCell ref="F71:F72"/>
    <mergeCell ref="F63:F64"/>
    <mergeCell ref="F65:F66"/>
    <mergeCell ref="F67:F68"/>
    <mergeCell ref="F69:F70"/>
    <mergeCell ref="F43:F44"/>
    <mergeCell ref="F53:F54"/>
    <mergeCell ref="F55:F56"/>
    <mergeCell ref="F57:F58"/>
    <mergeCell ref="F59:F60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V75"/>
  <sheetViews>
    <sheetView topLeftCell="A41" zoomScale="85" zoomScaleNormal="85" workbookViewId="0">
      <selection activeCell="S20" sqref="S20"/>
    </sheetView>
  </sheetViews>
  <sheetFormatPr defaultColWidth="8.875" defaultRowHeight="16.5" x14ac:dyDescent="0.3"/>
  <cols>
    <col min="1" max="2" width="8.875" style="25"/>
    <col min="3" max="7" width="11.625" style="26" customWidth="1"/>
    <col min="8" max="8" width="15.375" style="25" customWidth="1"/>
    <col min="9" max="9" width="12.875" style="26" customWidth="1"/>
    <col min="10" max="11" width="8.875" style="25"/>
    <col min="12" max="12" width="6.125" style="25" customWidth="1"/>
    <col min="13" max="13" width="10.875" style="25" customWidth="1"/>
    <col min="14" max="14" width="8.875" style="25"/>
    <col min="15" max="19" width="12.125" style="25" customWidth="1"/>
    <col min="20" max="20" width="8.875" style="25"/>
    <col min="21" max="21" width="12.5" style="25" bestFit="1" customWidth="1"/>
    <col min="22" max="16384" width="8.875" style="25"/>
  </cols>
  <sheetData>
    <row r="3" spans="2:22" x14ac:dyDescent="0.3">
      <c r="M3" s="135"/>
      <c r="N3" s="136"/>
      <c r="O3" s="136"/>
      <c r="P3" s="136"/>
      <c r="Q3" s="136"/>
      <c r="R3" s="136"/>
      <c r="S3" s="136"/>
      <c r="T3" s="136"/>
      <c r="U3" s="342"/>
      <c r="V3" s="332"/>
    </row>
    <row r="4" spans="2:22" x14ac:dyDescent="0.3">
      <c r="M4" s="136"/>
      <c r="N4" s="136"/>
      <c r="O4" s="136"/>
      <c r="P4" s="136"/>
      <c r="Q4" s="136"/>
      <c r="R4" s="136"/>
      <c r="S4" s="135"/>
      <c r="T4" s="135"/>
    </row>
    <row r="5" spans="2:22" x14ac:dyDescent="0.3">
      <c r="M5" s="135"/>
      <c r="N5" s="136"/>
      <c r="O5" s="136"/>
      <c r="P5" s="177"/>
      <c r="Q5" s="136"/>
      <c r="R5" s="177"/>
      <c r="S5" s="135"/>
      <c r="T5" s="135"/>
    </row>
    <row r="8" spans="2:22" x14ac:dyDescent="0.3">
      <c r="B8" s="314" t="s">
        <v>275</v>
      </c>
      <c r="C8" s="314"/>
      <c r="D8" s="314"/>
      <c r="E8" s="314"/>
      <c r="F8" s="314"/>
      <c r="G8" s="314"/>
      <c r="H8" s="28" t="s">
        <v>276</v>
      </c>
      <c r="I8" s="314" t="s">
        <v>277</v>
      </c>
      <c r="M8" s="27"/>
      <c r="N8" s="28" t="s">
        <v>1277</v>
      </c>
      <c r="O8" s="28" t="s">
        <v>1278</v>
      </c>
      <c r="P8" s="28" t="s">
        <v>1276</v>
      </c>
      <c r="Q8" s="133" t="s">
        <v>946</v>
      </c>
      <c r="R8" s="133" t="s">
        <v>945</v>
      </c>
      <c r="S8" s="133" t="s">
        <v>944</v>
      </c>
      <c r="T8" s="175"/>
      <c r="U8" s="342"/>
      <c r="V8" s="342"/>
    </row>
    <row r="9" spans="2:22" x14ac:dyDescent="0.3">
      <c r="B9" s="27" t="s">
        <v>278</v>
      </c>
      <c r="C9" s="35" t="s">
        <v>852</v>
      </c>
      <c r="D9" s="35" t="s">
        <v>943</v>
      </c>
      <c r="E9" s="35" t="s">
        <v>942</v>
      </c>
      <c r="F9" s="35" t="s">
        <v>941</v>
      </c>
      <c r="G9" s="35" t="s">
        <v>940</v>
      </c>
      <c r="H9" s="28" t="s">
        <v>1279</v>
      </c>
      <c r="I9" s="314"/>
      <c r="M9" s="28" t="s">
        <v>939</v>
      </c>
      <c r="N9" s="28">
        <v>1</v>
      </c>
      <c r="O9" s="28">
        <v>6</v>
      </c>
      <c r="P9" s="28">
        <v>6</v>
      </c>
      <c r="Q9" s="28">
        <v>6</v>
      </c>
      <c r="R9" s="28">
        <v>6</v>
      </c>
      <c r="S9" s="133">
        <v>6</v>
      </c>
    </row>
    <row r="10" spans="2:22" ht="15" customHeight="1" x14ac:dyDescent="0.3">
      <c r="B10" s="320">
        <v>0</v>
      </c>
      <c r="C10" s="325">
        <v>14</v>
      </c>
      <c r="D10" s="323">
        <v>0</v>
      </c>
      <c r="E10" s="178"/>
      <c r="F10" s="28">
        <v>0</v>
      </c>
      <c r="G10" s="28" t="s">
        <v>949</v>
      </c>
      <c r="H10" s="27"/>
      <c r="I10" s="28" t="s">
        <v>736</v>
      </c>
      <c r="M10" s="27"/>
      <c r="N10" s="28" t="s">
        <v>938</v>
      </c>
      <c r="O10" s="28" t="s">
        <v>935</v>
      </c>
      <c r="P10" s="55" t="s">
        <v>163</v>
      </c>
      <c r="Q10" s="55" t="s">
        <v>937</v>
      </c>
      <c r="R10" s="55" t="s">
        <v>936</v>
      </c>
      <c r="S10" s="55" t="s">
        <v>1231</v>
      </c>
    </row>
    <row r="11" spans="2:22" ht="15" customHeight="1" x14ac:dyDescent="0.3">
      <c r="B11" s="315"/>
      <c r="C11" s="326"/>
      <c r="D11" s="339"/>
      <c r="E11" s="178"/>
      <c r="F11" s="28">
        <v>1</v>
      </c>
      <c r="G11" s="133" t="s">
        <v>1280</v>
      </c>
      <c r="H11" s="27"/>
      <c r="I11" s="28" t="s">
        <v>733</v>
      </c>
    </row>
    <row r="12" spans="2:22" ht="15" customHeight="1" x14ac:dyDescent="0.3">
      <c r="B12" s="315"/>
      <c r="C12" s="326"/>
      <c r="D12" s="339"/>
      <c r="E12" s="178"/>
      <c r="F12" s="28"/>
      <c r="G12" s="28"/>
      <c r="H12" s="27"/>
      <c r="I12" s="28"/>
    </row>
    <row r="13" spans="2:22" ht="15" customHeight="1" x14ac:dyDescent="0.3">
      <c r="B13" s="315"/>
      <c r="C13" s="326"/>
      <c r="D13" s="339"/>
      <c r="E13" s="178"/>
      <c r="F13" s="28">
        <v>23</v>
      </c>
      <c r="G13" s="133" t="s">
        <v>1280</v>
      </c>
      <c r="H13" s="27"/>
      <c r="I13" s="28" t="s">
        <v>924</v>
      </c>
      <c r="M13" s="176" t="s">
        <v>1524</v>
      </c>
      <c r="N13" s="28"/>
      <c r="P13" s="136"/>
      <c r="Q13" s="136"/>
    </row>
    <row r="14" spans="2:22" ht="15" customHeight="1" x14ac:dyDescent="0.3">
      <c r="B14" s="315"/>
      <c r="C14" s="326"/>
      <c r="D14" s="324"/>
      <c r="E14" s="178"/>
      <c r="F14" s="28"/>
      <c r="G14" s="28"/>
      <c r="H14" s="27"/>
      <c r="I14" s="28"/>
      <c r="M14" s="28">
        <v>0</v>
      </c>
      <c r="N14" s="167" t="s">
        <v>1525</v>
      </c>
      <c r="P14" s="136"/>
      <c r="Q14" s="136"/>
    </row>
    <row r="15" spans="2:22" ht="15" customHeight="1" x14ac:dyDescent="0.3">
      <c r="B15" s="315"/>
      <c r="C15" s="326"/>
      <c r="D15" s="323">
        <v>1</v>
      </c>
      <c r="E15" s="178"/>
      <c r="F15" s="28">
        <v>0</v>
      </c>
      <c r="G15" s="133" t="s">
        <v>1280</v>
      </c>
      <c r="H15" s="27"/>
      <c r="I15" s="28" t="s">
        <v>670</v>
      </c>
      <c r="M15" s="28">
        <v>1</v>
      </c>
      <c r="N15" s="28" t="s">
        <v>736</v>
      </c>
      <c r="P15" s="136"/>
      <c r="Q15" s="136"/>
    </row>
    <row r="16" spans="2:22" ht="15" customHeight="1" x14ac:dyDescent="0.3">
      <c r="B16" s="315"/>
      <c r="C16" s="326"/>
      <c r="D16" s="339"/>
      <c r="E16" s="178"/>
      <c r="F16" s="28">
        <v>1</v>
      </c>
      <c r="G16" s="133" t="s">
        <v>1281</v>
      </c>
      <c r="H16" s="27"/>
      <c r="I16" s="28" t="s">
        <v>313</v>
      </c>
      <c r="M16" s="28">
        <v>2</v>
      </c>
      <c r="N16" s="28" t="s">
        <v>297</v>
      </c>
      <c r="P16" s="136"/>
      <c r="Q16" s="136"/>
    </row>
    <row r="17" spans="2:22" ht="15" customHeight="1" x14ac:dyDescent="0.3">
      <c r="B17" s="315"/>
      <c r="C17" s="326"/>
      <c r="D17" s="339"/>
      <c r="E17" s="178"/>
      <c r="F17" s="28"/>
      <c r="G17" s="28"/>
      <c r="H17" s="27"/>
      <c r="I17" s="28"/>
      <c r="M17" s="28">
        <v>3</v>
      </c>
      <c r="N17" s="28" t="s">
        <v>298</v>
      </c>
      <c r="P17" s="136"/>
      <c r="Q17" s="136"/>
    </row>
    <row r="18" spans="2:22" ht="15" customHeight="1" x14ac:dyDescent="0.3">
      <c r="B18" s="315"/>
      <c r="C18" s="326"/>
      <c r="D18" s="339"/>
      <c r="E18" s="178"/>
      <c r="F18" s="28">
        <v>23</v>
      </c>
      <c r="G18" s="133" t="s">
        <v>1281</v>
      </c>
      <c r="H18" s="27"/>
      <c r="I18" s="28" t="s">
        <v>915</v>
      </c>
      <c r="M18" s="28">
        <v>4</v>
      </c>
      <c r="N18" s="28" t="s">
        <v>299</v>
      </c>
    </row>
    <row r="19" spans="2:22" ht="15" customHeight="1" x14ac:dyDescent="0.3">
      <c r="B19" s="315"/>
      <c r="C19" s="326"/>
      <c r="D19" s="324"/>
      <c r="E19" s="178"/>
      <c r="F19" s="28"/>
      <c r="G19" s="28"/>
      <c r="H19" s="27"/>
      <c r="I19" s="28"/>
      <c r="M19" s="28">
        <v>5</v>
      </c>
      <c r="N19" s="28" t="s">
        <v>300</v>
      </c>
    </row>
    <row r="20" spans="2:22" ht="15" customHeight="1" x14ac:dyDescent="0.3">
      <c r="B20" s="315"/>
      <c r="C20" s="326"/>
      <c r="D20" s="323">
        <v>2</v>
      </c>
      <c r="E20" s="178"/>
      <c r="F20" s="28">
        <v>0</v>
      </c>
      <c r="G20" s="133" t="s">
        <v>1281</v>
      </c>
      <c r="H20" s="27"/>
      <c r="I20" s="28" t="s">
        <v>832</v>
      </c>
      <c r="M20" s="28">
        <v>6</v>
      </c>
      <c r="N20" s="28" t="s">
        <v>301</v>
      </c>
    </row>
    <row r="21" spans="2:22" ht="15" customHeight="1" x14ac:dyDescent="0.3">
      <c r="B21" s="315"/>
      <c r="C21" s="326"/>
      <c r="D21" s="339"/>
      <c r="E21" s="178"/>
      <c r="F21" s="28">
        <v>1</v>
      </c>
      <c r="G21" s="133" t="s">
        <v>1281</v>
      </c>
      <c r="H21" s="27"/>
      <c r="I21" s="28" t="s">
        <v>914</v>
      </c>
      <c r="M21" s="28">
        <v>7</v>
      </c>
      <c r="N21" s="28" t="s">
        <v>302</v>
      </c>
      <c r="P21" s="133" t="s">
        <v>935</v>
      </c>
      <c r="Q21" s="133" t="s">
        <v>934</v>
      </c>
      <c r="R21" s="27"/>
      <c r="T21" s="135"/>
      <c r="U21" s="135"/>
      <c r="V21" s="135"/>
    </row>
    <row r="22" spans="2:22" ht="15" customHeight="1" x14ac:dyDescent="0.3">
      <c r="B22" s="315"/>
      <c r="C22" s="326"/>
      <c r="D22" s="339"/>
      <c r="E22" s="178"/>
      <c r="F22" s="28"/>
      <c r="G22" s="28"/>
      <c r="H22" s="27"/>
      <c r="I22" s="28"/>
      <c r="M22" s="28">
        <v>8</v>
      </c>
      <c r="N22" s="28" t="s">
        <v>303</v>
      </c>
      <c r="P22" s="27">
        <v>0</v>
      </c>
      <c r="Q22" s="133" t="s">
        <v>933</v>
      </c>
      <c r="R22" s="133" t="s">
        <v>932</v>
      </c>
      <c r="T22" s="135"/>
      <c r="U22" s="136"/>
      <c r="V22" s="136"/>
    </row>
    <row r="23" spans="2:22" ht="15" customHeight="1" x14ac:dyDescent="0.3">
      <c r="B23" s="315"/>
      <c r="C23" s="326"/>
      <c r="D23" s="339"/>
      <c r="E23" s="178"/>
      <c r="F23" s="28">
        <v>16</v>
      </c>
      <c r="G23" s="133" t="s">
        <v>1281</v>
      </c>
      <c r="H23" s="27"/>
      <c r="I23" s="176" t="s">
        <v>1422</v>
      </c>
      <c r="M23" s="28">
        <v>9</v>
      </c>
      <c r="N23" s="28" t="s">
        <v>304</v>
      </c>
      <c r="P23" s="27">
        <v>1</v>
      </c>
      <c r="Q23" s="133"/>
      <c r="R23" s="133"/>
      <c r="T23" s="135"/>
      <c r="U23" s="136"/>
      <c r="V23" s="136"/>
    </row>
    <row r="24" spans="2:22" ht="15" customHeight="1" x14ac:dyDescent="0.3">
      <c r="B24" s="315"/>
      <c r="C24" s="326"/>
      <c r="D24" s="339"/>
      <c r="E24" s="178"/>
      <c r="F24" s="28">
        <v>17</v>
      </c>
      <c r="G24" s="133" t="s">
        <v>1281</v>
      </c>
      <c r="H24" s="27"/>
      <c r="I24" s="176" t="s">
        <v>1423</v>
      </c>
      <c r="M24" s="28">
        <v>10</v>
      </c>
      <c r="N24" s="28" t="s">
        <v>305</v>
      </c>
      <c r="P24" s="27">
        <v>2</v>
      </c>
      <c r="Q24" s="133"/>
      <c r="R24" s="133"/>
      <c r="T24" s="135"/>
      <c r="U24" s="136"/>
      <c r="V24" s="136"/>
    </row>
    <row r="25" spans="2:22" ht="15" customHeight="1" x14ac:dyDescent="0.3">
      <c r="B25" s="315"/>
      <c r="C25" s="326"/>
      <c r="D25" s="324"/>
      <c r="E25" s="178"/>
      <c r="F25" s="28"/>
      <c r="G25" s="28"/>
      <c r="H25" s="27"/>
      <c r="I25" s="28"/>
      <c r="M25" s="28">
        <v>11</v>
      </c>
      <c r="N25" s="28" t="s">
        <v>306</v>
      </c>
      <c r="P25" s="27">
        <v>3</v>
      </c>
      <c r="Q25" s="133"/>
      <c r="R25" s="133"/>
      <c r="T25" s="135"/>
      <c r="U25" s="136"/>
      <c r="V25" s="136"/>
    </row>
    <row r="26" spans="2:22" ht="15" customHeight="1" x14ac:dyDescent="0.3">
      <c r="B26" s="315"/>
      <c r="C26" s="326"/>
      <c r="D26" s="178"/>
      <c r="E26" s="178"/>
      <c r="F26" s="28"/>
      <c r="G26" s="28"/>
      <c r="H26" s="27"/>
      <c r="I26" s="28"/>
      <c r="M26" s="28">
        <v>12</v>
      </c>
      <c r="N26" s="28" t="s">
        <v>307</v>
      </c>
      <c r="P26" s="27">
        <v>4</v>
      </c>
      <c r="Q26" s="133" t="s">
        <v>931</v>
      </c>
      <c r="R26" s="27" t="s">
        <v>928</v>
      </c>
      <c r="T26" s="135"/>
      <c r="U26" s="136"/>
      <c r="V26" s="135"/>
    </row>
    <row r="27" spans="2:22" ht="15" customHeight="1" x14ac:dyDescent="0.3">
      <c r="B27" s="315"/>
      <c r="C27" s="326"/>
      <c r="D27" s="178"/>
      <c r="E27" s="178"/>
      <c r="F27" s="28"/>
      <c r="G27" s="28"/>
      <c r="H27" s="27"/>
      <c r="I27" s="28"/>
      <c r="M27" s="28">
        <v>13</v>
      </c>
      <c r="N27" s="28" t="s">
        <v>308</v>
      </c>
      <c r="P27" s="27">
        <v>5</v>
      </c>
      <c r="Q27" s="133" t="s">
        <v>930</v>
      </c>
      <c r="R27" s="27" t="s">
        <v>928</v>
      </c>
      <c r="T27" s="135"/>
      <c r="U27" s="136"/>
      <c r="V27" s="135"/>
    </row>
    <row r="28" spans="2:22" ht="15" customHeight="1" x14ac:dyDescent="0.3">
      <c r="B28" s="315"/>
      <c r="C28" s="326"/>
      <c r="D28" s="178"/>
      <c r="E28" s="178"/>
      <c r="F28" s="28"/>
      <c r="G28" s="28"/>
      <c r="H28" s="27"/>
      <c r="I28" s="28"/>
      <c r="M28" s="28">
        <v>14</v>
      </c>
      <c r="N28" s="28" t="s">
        <v>309</v>
      </c>
      <c r="P28" s="27">
        <v>6</v>
      </c>
      <c r="Q28" s="133" t="s">
        <v>929</v>
      </c>
      <c r="R28" s="27" t="s">
        <v>928</v>
      </c>
      <c r="T28" s="135"/>
      <c r="U28" s="136"/>
      <c r="V28" s="135"/>
    </row>
    <row r="29" spans="2:22" ht="15" customHeight="1" x14ac:dyDescent="0.3">
      <c r="B29" s="315"/>
      <c r="C29" s="327"/>
      <c r="D29" s="178"/>
      <c r="E29" s="178"/>
      <c r="F29" s="28"/>
      <c r="G29" s="28"/>
      <c r="H29" s="27"/>
      <c r="I29" s="28"/>
      <c r="M29" s="28">
        <v>15</v>
      </c>
      <c r="N29" s="28" t="s">
        <v>310</v>
      </c>
      <c r="P29" s="27">
        <v>7</v>
      </c>
      <c r="Q29" s="133" t="s">
        <v>927</v>
      </c>
      <c r="R29" s="27" t="s">
        <v>916</v>
      </c>
      <c r="T29" s="135"/>
      <c r="U29" s="136"/>
      <c r="V29" s="135"/>
    </row>
    <row r="30" spans="2:22" ht="15" customHeight="1" x14ac:dyDescent="0.3">
      <c r="M30" s="28">
        <v>16</v>
      </c>
      <c r="N30" s="28" t="s">
        <v>311</v>
      </c>
      <c r="P30" s="27">
        <v>8</v>
      </c>
      <c r="Q30" s="133" t="s">
        <v>926</v>
      </c>
      <c r="R30" s="27" t="s">
        <v>925</v>
      </c>
      <c r="T30" s="135"/>
      <c r="U30" s="136"/>
      <c r="V30" s="135"/>
    </row>
    <row r="31" spans="2:22" ht="15" customHeight="1" x14ac:dyDescent="0.3">
      <c r="M31" s="28">
        <v>17</v>
      </c>
      <c r="N31" s="28" t="s">
        <v>312</v>
      </c>
      <c r="P31" s="27">
        <v>9</v>
      </c>
      <c r="Q31" s="133" t="s">
        <v>923</v>
      </c>
      <c r="R31" s="27" t="s">
        <v>916</v>
      </c>
      <c r="T31" s="135"/>
      <c r="U31" s="136"/>
      <c r="V31" s="135"/>
    </row>
    <row r="32" spans="2:22" ht="15" customHeight="1" x14ac:dyDescent="0.3">
      <c r="M32" s="28">
        <v>18</v>
      </c>
      <c r="N32" s="28" t="s">
        <v>694</v>
      </c>
      <c r="P32" s="27">
        <v>10</v>
      </c>
      <c r="Q32" s="133" t="s">
        <v>922</v>
      </c>
      <c r="R32" s="27" t="s">
        <v>916</v>
      </c>
      <c r="T32" s="135"/>
      <c r="U32" s="136"/>
      <c r="V32" s="135"/>
    </row>
    <row r="33" spans="13:22" ht="15" customHeight="1" x14ac:dyDescent="0.3">
      <c r="M33" s="28">
        <v>19</v>
      </c>
      <c r="N33" s="28" t="s">
        <v>690</v>
      </c>
      <c r="P33" s="27">
        <v>11</v>
      </c>
      <c r="Q33" s="133" t="s">
        <v>921</v>
      </c>
      <c r="R33" s="27" t="s">
        <v>916</v>
      </c>
      <c r="T33" s="135"/>
      <c r="U33" s="136"/>
      <c r="V33" s="135"/>
    </row>
    <row r="34" spans="13:22" ht="15" customHeight="1" x14ac:dyDescent="0.3">
      <c r="M34" s="28">
        <v>20</v>
      </c>
      <c r="N34" s="28" t="s">
        <v>687</v>
      </c>
      <c r="P34" s="27">
        <v>12</v>
      </c>
      <c r="Q34" s="133" t="s">
        <v>920</v>
      </c>
      <c r="R34" s="27" t="s">
        <v>916</v>
      </c>
      <c r="T34" s="135"/>
      <c r="U34" s="136"/>
      <c r="V34" s="135"/>
    </row>
    <row r="35" spans="13:22" ht="15" customHeight="1" x14ac:dyDescent="0.3">
      <c r="M35" s="28">
        <v>21</v>
      </c>
      <c r="N35" s="28" t="s">
        <v>683</v>
      </c>
      <c r="P35" s="27">
        <v>13</v>
      </c>
      <c r="Q35" s="133" t="s">
        <v>919</v>
      </c>
      <c r="R35" s="27" t="s">
        <v>916</v>
      </c>
      <c r="T35" s="135"/>
      <c r="U35" s="136"/>
      <c r="V35" s="135"/>
    </row>
    <row r="36" spans="13:22" ht="15" customHeight="1" x14ac:dyDescent="0.3">
      <c r="M36" s="28">
        <v>22</v>
      </c>
      <c r="N36" s="28" t="s">
        <v>680</v>
      </c>
      <c r="P36" s="27">
        <v>14</v>
      </c>
      <c r="Q36" s="133" t="s">
        <v>918</v>
      </c>
      <c r="R36" s="27" t="s">
        <v>916</v>
      </c>
      <c r="T36" s="135"/>
      <c r="U36" s="136"/>
      <c r="V36" s="135"/>
    </row>
    <row r="37" spans="13:22" ht="15" customHeight="1" x14ac:dyDescent="0.3">
      <c r="M37" s="28">
        <v>23</v>
      </c>
      <c r="N37" s="28" t="s">
        <v>677</v>
      </c>
      <c r="P37" s="27">
        <v>15</v>
      </c>
      <c r="Q37" s="133" t="s">
        <v>917</v>
      </c>
      <c r="R37" s="27" t="s">
        <v>916</v>
      </c>
      <c r="T37" s="135"/>
      <c r="U37" s="136"/>
      <c r="V37" s="135"/>
    </row>
    <row r="38" spans="13:22" ht="15" customHeight="1" x14ac:dyDescent="0.3">
      <c r="M38" s="28">
        <v>24</v>
      </c>
      <c r="N38" s="28" t="s">
        <v>674</v>
      </c>
      <c r="P38" s="27">
        <v>16</v>
      </c>
      <c r="Q38" s="27" t="s">
        <v>1248</v>
      </c>
      <c r="R38" s="27" t="s">
        <v>1275</v>
      </c>
    </row>
    <row r="39" spans="13:22" ht="15" customHeight="1" x14ac:dyDescent="0.3">
      <c r="M39" s="28">
        <v>25</v>
      </c>
      <c r="N39" s="28" t="s">
        <v>670</v>
      </c>
      <c r="P39" s="27">
        <v>17</v>
      </c>
      <c r="Q39" s="27" t="s">
        <v>1249</v>
      </c>
      <c r="R39" s="27" t="s">
        <v>1275</v>
      </c>
    </row>
    <row r="40" spans="13:22" ht="15" customHeight="1" x14ac:dyDescent="0.3">
      <c r="M40" s="28">
        <v>26</v>
      </c>
      <c r="N40" s="28" t="s">
        <v>313</v>
      </c>
      <c r="P40" s="27">
        <v>18</v>
      </c>
      <c r="Q40" s="27" t="s">
        <v>1250</v>
      </c>
      <c r="R40" s="27" t="s">
        <v>1275</v>
      </c>
    </row>
    <row r="41" spans="13:22" ht="15" customHeight="1" x14ac:dyDescent="0.3">
      <c r="M41" s="28">
        <v>27</v>
      </c>
      <c r="N41" s="28" t="s">
        <v>314</v>
      </c>
      <c r="P41" s="27">
        <v>19</v>
      </c>
      <c r="Q41" s="27" t="s">
        <v>1251</v>
      </c>
      <c r="R41" s="27" t="s">
        <v>1275</v>
      </c>
    </row>
    <row r="42" spans="13:22" ht="15" customHeight="1" x14ac:dyDescent="0.3">
      <c r="M42" s="28">
        <v>28</v>
      </c>
      <c r="N42" s="28" t="s">
        <v>315</v>
      </c>
      <c r="P42" s="27">
        <v>20</v>
      </c>
      <c r="Q42" s="27" t="s">
        <v>1252</v>
      </c>
      <c r="R42" s="27" t="s">
        <v>1275</v>
      </c>
    </row>
    <row r="43" spans="13:22" ht="15" customHeight="1" x14ac:dyDescent="0.3">
      <c r="M43" s="28">
        <v>29</v>
      </c>
      <c r="N43" s="28" t="s">
        <v>316</v>
      </c>
      <c r="P43" s="27">
        <v>21</v>
      </c>
      <c r="Q43" s="27" t="s">
        <v>1253</v>
      </c>
      <c r="R43" s="27" t="s">
        <v>1275</v>
      </c>
    </row>
    <row r="44" spans="13:22" ht="15" customHeight="1" x14ac:dyDescent="0.3">
      <c r="M44" s="28">
        <v>30</v>
      </c>
      <c r="N44" s="28" t="s">
        <v>317</v>
      </c>
      <c r="P44" s="27">
        <v>22</v>
      </c>
      <c r="Q44" s="27" t="s">
        <v>1254</v>
      </c>
      <c r="R44" s="27" t="s">
        <v>1275</v>
      </c>
    </row>
    <row r="45" spans="13:22" ht="15" customHeight="1" x14ac:dyDescent="0.3">
      <c r="M45" s="28">
        <v>31</v>
      </c>
      <c r="N45" s="28" t="s">
        <v>318</v>
      </c>
      <c r="P45" s="27">
        <v>23</v>
      </c>
      <c r="Q45" s="27" t="s">
        <v>1255</v>
      </c>
      <c r="R45" s="27" t="s">
        <v>1275</v>
      </c>
    </row>
    <row r="46" spans="13:22" ht="15" customHeight="1" x14ac:dyDescent="0.3">
      <c r="M46" s="28">
        <v>32</v>
      </c>
      <c r="N46" s="28" t="s">
        <v>319</v>
      </c>
      <c r="P46" s="27">
        <v>24</v>
      </c>
      <c r="Q46" s="27" t="s">
        <v>1256</v>
      </c>
      <c r="R46" s="27" t="s">
        <v>1275</v>
      </c>
    </row>
    <row r="47" spans="13:22" ht="15" customHeight="1" x14ac:dyDescent="0.3">
      <c r="M47" s="28">
        <v>33</v>
      </c>
      <c r="N47" s="28" t="s">
        <v>320</v>
      </c>
      <c r="P47" s="27">
        <v>25</v>
      </c>
      <c r="Q47" s="27" t="s">
        <v>1257</v>
      </c>
      <c r="R47" s="27" t="s">
        <v>1275</v>
      </c>
    </row>
    <row r="48" spans="13:22" ht="15" customHeight="1" x14ac:dyDescent="0.3">
      <c r="M48" s="28">
        <v>34</v>
      </c>
      <c r="N48" s="28" t="s">
        <v>321</v>
      </c>
      <c r="P48" s="27">
        <v>26</v>
      </c>
      <c r="Q48" s="27" t="s">
        <v>1258</v>
      </c>
      <c r="R48" s="27" t="s">
        <v>1275</v>
      </c>
    </row>
    <row r="49" spans="13:18" ht="15" customHeight="1" x14ac:dyDescent="0.3">
      <c r="M49" s="28">
        <v>35</v>
      </c>
      <c r="N49" s="28" t="s">
        <v>322</v>
      </c>
      <c r="P49" s="27">
        <v>27</v>
      </c>
      <c r="Q49" s="27" t="s">
        <v>1259</v>
      </c>
      <c r="R49" s="27" t="s">
        <v>1275</v>
      </c>
    </row>
    <row r="50" spans="13:18" ht="15" customHeight="1" x14ac:dyDescent="0.3">
      <c r="M50" s="28">
        <v>36</v>
      </c>
      <c r="N50" s="28" t="s">
        <v>323</v>
      </c>
      <c r="P50" s="27">
        <v>28</v>
      </c>
      <c r="Q50" s="27" t="s">
        <v>1260</v>
      </c>
      <c r="R50" s="27" t="s">
        <v>1275</v>
      </c>
    </row>
    <row r="51" spans="13:18" ht="15" customHeight="1" x14ac:dyDescent="0.3">
      <c r="M51" s="28">
        <v>37</v>
      </c>
      <c r="N51" s="28" t="s">
        <v>324</v>
      </c>
      <c r="P51" s="27">
        <v>29</v>
      </c>
      <c r="Q51" s="27" t="s">
        <v>1261</v>
      </c>
      <c r="R51" s="27" t="s">
        <v>1275</v>
      </c>
    </row>
    <row r="52" spans="13:18" ht="15" customHeight="1" x14ac:dyDescent="0.3">
      <c r="M52" s="28">
        <v>38</v>
      </c>
      <c r="N52" s="28" t="s">
        <v>325</v>
      </c>
      <c r="P52" s="27">
        <v>30</v>
      </c>
      <c r="Q52" s="27" t="s">
        <v>1262</v>
      </c>
      <c r="R52" s="27" t="s">
        <v>1275</v>
      </c>
    </row>
    <row r="53" spans="13:18" ht="15" customHeight="1" x14ac:dyDescent="0.3">
      <c r="M53" s="28">
        <v>39</v>
      </c>
      <c r="N53" s="28" t="s">
        <v>326</v>
      </c>
      <c r="P53" s="27">
        <v>31</v>
      </c>
      <c r="Q53" s="27" t="s">
        <v>1263</v>
      </c>
      <c r="R53" s="27" t="s">
        <v>1275</v>
      </c>
    </row>
    <row r="54" spans="13:18" ht="15" customHeight="1" x14ac:dyDescent="0.3">
      <c r="M54" s="28">
        <v>40</v>
      </c>
      <c r="N54" s="28" t="s">
        <v>327</v>
      </c>
      <c r="P54" s="27">
        <v>32</v>
      </c>
      <c r="Q54" s="27" t="s">
        <v>1264</v>
      </c>
      <c r="R54" s="27" t="s">
        <v>1275</v>
      </c>
    </row>
    <row r="55" spans="13:18" ht="15" customHeight="1" x14ac:dyDescent="0.3">
      <c r="M55" s="28">
        <v>41</v>
      </c>
      <c r="N55" s="28" t="s">
        <v>328</v>
      </c>
      <c r="P55" s="27">
        <v>33</v>
      </c>
      <c r="Q55" s="27" t="s">
        <v>1265</v>
      </c>
      <c r="R55" s="27" t="s">
        <v>1275</v>
      </c>
    </row>
    <row r="56" spans="13:18" ht="15" customHeight="1" x14ac:dyDescent="0.3">
      <c r="M56" s="28">
        <v>42</v>
      </c>
      <c r="N56" s="28" t="s">
        <v>639</v>
      </c>
      <c r="P56" s="27">
        <v>34</v>
      </c>
      <c r="Q56" s="27" t="s">
        <v>1266</v>
      </c>
      <c r="R56" s="27" t="s">
        <v>1275</v>
      </c>
    </row>
    <row r="57" spans="13:18" ht="15" customHeight="1" x14ac:dyDescent="0.3">
      <c r="M57" s="28">
        <v>43</v>
      </c>
      <c r="N57" s="28" t="s">
        <v>636</v>
      </c>
      <c r="P57" s="27">
        <v>35</v>
      </c>
      <c r="Q57" s="27" t="s">
        <v>1267</v>
      </c>
      <c r="R57" s="27" t="s">
        <v>1275</v>
      </c>
    </row>
    <row r="58" spans="13:18" ht="15" customHeight="1" x14ac:dyDescent="0.3">
      <c r="M58" s="28">
        <v>44</v>
      </c>
      <c r="N58" s="28" t="s">
        <v>634</v>
      </c>
      <c r="P58" s="27">
        <v>36</v>
      </c>
      <c r="Q58" s="27" t="s">
        <v>1268</v>
      </c>
      <c r="R58" s="27" t="s">
        <v>1275</v>
      </c>
    </row>
    <row r="59" spans="13:18" ht="15" customHeight="1" x14ac:dyDescent="0.3">
      <c r="M59" s="28">
        <v>45</v>
      </c>
      <c r="N59" s="28" t="s">
        <v>632</v>
      </c>
      <c r="P59" s="27">
        <v>37</v>
      </c>
      <c r="Q59" s="27" t="s">
        <v>1269</v>
      </c>
      <c r="R59" s="27" t="s">
        <v>1275</v>
      </c>
    </row>
    <row r="60" spans="13:18" ht="15" customHeight="1" x14ac:dyDescent="0.3">
      <c r="M60" s="28">
        <v>46</v>
      </c>
      <c r="N60" s="28" t="s">
        <v>631</v>
      </c>
      <c r="P60" s="27">
        <v>38</v>
      </c>
      <c r="Q60" s="27" t="s">
        <v>1270</v>
      </c>
      <c r="R60" s="27" t="s">
        <v>1275</v>
      </c>
    </row>
    <row r="61" spans="13:18" ht="15" customHeight="1" x14ac:dyDescent="0.3">
      <c r="M61" s="28">
        <v>47</v>
      </c>
      <c r="N61" s="28" t="s">
        <v>630</v>
      </c>
      <c r="P61" s="27">
        <v>39</v>
      </c>
      <c r="Q61" s="27" t="s">
        <v>1271</v>
      </c>
      <c r="R61" s="27" t="s">
        <v>1275</v>
      </c>
    </row>
    <row r="62" spans="13:18" ht="15" customHeight="1" x14ac:dyDescent="0.3">
      <c r="N62" s="28" t="s">
        <v>629</v>
      </c>
      <c r="P62" s="27">
        <v>40</v>
      </c>
      <c r="Q62" s="27" t="s">
        <v>1272</v>
      </c>
      <c r="R62" s="27" t="s">
        <v>1275</v>
      </c>
    </row>
    <row r="63" spans="13:18" ht="15" customHeight="1" x14ac:dyDescent="0.3">
      <c r="P63" s="27">
        <v>41</v>
      </c>
      <c r="Q63" s="27" t="s">
        <v>1273</v>
      </c>
      <c r="R63" s="27" t="s">
        <v>1275</v>
      </c>
    </row>
    <row r="64" spans="13:18" ht="15" customHeight="1" x14ac:dyDescent="0.3">
      <c r="P64" s="27">
        <v>42</v>
      </c>
      <c r="Q64" s="27" t="s">
        <v>1274</v>
      </c>
      <c r="R64" s="27" t="s">
        <v>1275</v>
      </c>
    </row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</sheetData>
  <mergeCells count="9">
    <mergeCell ref="U3:V3"/>
    <mergeCell ref="U8:V8"/>
    <mergeCell ref="I8:I9"/>
    <mergeCell ref="B8:G8"/>
    <mergeCell ref="B10:B29"/>
    <mergeCell ref="C10:C29"/>
    <mergeCell ref="D10:D14"/>
    <mergeCell ref="D15:D19"/>
    <mergeCell ref="D20:D25"/>
  </mergeCells>
  <phoneticPr fontId="17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8:S141"/>
  <sheetViews>
    <sheetView topLeftCell="A81" zoomScale="70" zoomScaleNormal="70" workbookViewId="0">
      <selection activeCell="I153" sqref="I153"/>
    </sheetView>
  </sheetViews>
  <sheetFormatPr defaultColWidth="8.875" defaultRowHeight="16.5" x14ac:dyDescent="0.3"/>
  <cols>
    <col min="1" max="2" width="8.875" style="25"/>
    <col min="3" max="6" width="11.625" style="26" customWidth="1"/>
    <col min="7" max="7" width="15.375" style="25" customWidth="1"/>
    <col min="8" max="8" width="12.875" style="26" customWidth="1"/>
    <col min="9" max="9" width="20.125" style="25" customWidth="1"/>
    <col min="10" max="16384" width="8.875" style="25"/>
  </cols>
  <sheetData>
    <row r="8" spans="2:8" x14ac:dyDescent="0.3">
      <c r="B8" s="332" t="s">
        <v>275</v>
      </c>
      <c r="C8" s="332"/>
      <c r="D8" s="332"/>
      <c r="E8" s="332"/>
      <c r="F8" s="343"/>
      <c r="G8" s="28" t="s">
        <v>276</v>
      </c>
      <c r="H8" s="314" t="s">
        <v>277</v>
      </c>
    </row>
    <row r="9" spans="2:8" x14ac:dyDescent="0.3">
      <c r="B9" s="27" t="s">
        <v>989</v>
      </c>
      <c r="C9" s="28" t="s">
        <v>988</v>
      </c>
      <c r="D9" s="28" t="s">
        <v>987</v>
      </c>
      <c r="E9" s="28" t="s">
        <v>986</v>
      </c>
      <c r="F9" s="28" t="s">
        <v>985</v>
      </c>
      <c r="G9" s="28" t="s">
        <v>984</v>
      </c>
      <c r="H9" s="314"/>
    </row>
    <row r="10" spans="2:8" ht="16.5" customHeight="1" x14ac:dyDescent="0.3">
      <c r="B10" s="321">
        <v>0</v>
      </c>
      <c r="C10" s="320">
        <v>59</v>
      </c>
      <c r="D10" s="337">
        <v>0</v>
      </c>
      <c r="E10" s="28">
        <v>0</v>
      </c>
      <c r="F10" s="28" t="s">
        <v>959</v>
      </c>
      <c r="G10" s="345" t="s">
        <v>296</v>
      </c>
      <c r="H10" s="28" t="s">
        <v>577</v>
      </c>
    </row>
    <row r="11" spans="2:8" ht="16.5" customHeight="1" x14ac:dyDescent="0.3">
      <c r="B11" s="322"/>
      <c r="C11" s="315"/>
      <c r="D11" s="338"/>
      <c r="E11" s="28">
        <v>1</v>
      </c>
      <c r="F11" s="28" t="s">
        <v>959</v>
      </c>
      <c r="G11" s="332"/>
      <c r="H11" s="28" t="s">
        <v>574</v>
      </c>
    </row>
    <row r="12" spans="2:8" ht="16.5" customHeight="1" x14ac:dyDescent="0.3">
      <c r="B12" s="322"/>
      <c r="C12" s="315"/>
      <c r="D12" s="338"/>
      <c r="E12" s="28">
        <v>2</v>
      </c>
      <c r="F12" s="28" t="s">
        <v>949</v>
      </c>
      <c r="G12" s="332"/>
      <c r="H12" s="28" t="s">
        <v>571</v>
      </c>
    </row>
    <row r="13" spans="2:8" ht="16.5" customHeight="1" x14ac:dyDescent="0.3">
      <c r="B13" s="322"/>
      <c r="C13" s="315"/>
      <c r="D13" s="338"/>
      <c r="E13" s="28">
        <v>3</v>
      </c>
      <c r="F13" s="28" t="s">
        <v>949</v>
      </c>
      <c r="G13" s="332"/>
      <c r="H13" s="28" t="s">
        <v>568</v>
      </c>
    </row>
    <row r="14" spans="2:8" ht="16.5" customHeight="1" x14ac:dyDescent="0.3">
      <c r="B14" s="322"/>
      <c r="C14" s="315"/>
      <c r="D14" s="338"/>
      <c r="E14" s="28">
        <v>4</v>
      </c>
      <c r="F14" s="28" t="s">
        <v>949</v>
      </c>
      <c r="G14" s="332"/>
      <c r="H14" s="28" t="s">
        <v>565</v>
      </c>
    </row>
    <row r="15" spans="2:8" ht="16.5" customHeight="1" x14ac:dyDescent="0.3">
      <c r="B15" s="322"/>
      <c r="C15" s="315"/>
      <c r="D15" s="338"/>
      <c r="E15" s="28">
        <v>5</v>
      </c>
      <c r="F15" s="28" t="s">
        <v>949</v>
      </c>
      <c r="G15" s="332"/>
      <c r="H15" s="28" t="s">
        <v>562</v>
      </c>
    </row>
    <row r="16" spans="2:8" ht="16.5" customHeight="1" x14ac:dyDescent="0.3">
      <c r="B16" s="322"/>
      <c r="C16" s="315"/>
      <c r="D16" s="338"/>
      <c r="E16" s="28">
        <v>6</v>
      </c>
      <c r="F16" s="28" t="s">
        <v>949</v>
      </c>
      <c r="G16" s="332"/>
      <c r="H16" s="28" t="s">
        <v>559</v>
      </c>
    </row>
    <row r="17" spans="2:19" ht="16.5" customHeight="1" x14ac:dyDescent="0.3">
      <c r="B17" s="322"/>
      <c r="C17" s="315"/>
      <c r="D17" s="338"/>
      <c r="E17" s="28">
        <v>7</v>
      </c>
      <c r="F17" s="28" t="s">
        <v>949</v>
      </c>
      <c r="G17" s="332"/>
      <c r="H17" s="28" t="s">
        <v>556</v>
      </c>
    </row>
    <row r="18" spans="2:19" ht="16.5" customHeight="1" x14ac:dyDescent="0.3">
      <c r="B18" s="322"/>
      <c r="C18" s="315"/>
      <c r="D18" s="338"/>
      <c r="E18" s="28">
        <v>8</v>
      </c>
      <c r="F18" s="28" t="s">
        <v>949</v>
      </c>
      <c r="G18" s="332"/>
      <c r="H18" s="28" t="s">
        <v>553</v>
      </c>
    </row>
    <row r="19" spans="2:19" ht="16.5" customHeight="1" x14ac:dyDescent="0.3">
      <c r="B19" s="322"/>
      <c r="C19" s="315"/>
      <c r="D19" s="338"/>
      <c r="E19" s="28">
        <v>9</v>
      </c>
      <c r="F19" s="28" t="s">
        <v>949</v>
      </c>
      <c r="G19" s="332"/>
      <c r="H19" s="28" t="s">
        <v>550</v>
      </c>
    </row>
    <row r="20" spans="2:19" ht="16.5" customHeight="1" x14ac:dyDescent="0.3">
      <c r="B20" s="322"/>
      <c r="C20" s="315"/>
      <c r="D20" s="338"/>
      <c r="E20" s="28">
        <v>10</v>
      </c>
      <c r="F20" s="28" t="s">
        <v>949</v>
      </c>
      <c r="G20" s="332"/>
      <c r="H20" s="28" t="s">
        <v>547</v>
      </c>
    </row>
    <row r="21" spans="2:19" ht="16.5" customHeight="1" x14ac:dyDescent="0.3">
      <c r="B21" s="322"/>
      <c r="C21" s="315"/>
      <c r="D21" s="338"/>
      <c r="E21" s="28">
        <v>11</v>
      </c>
      <c r="F21" s="28" t="s">
        <v>949</v>
      </c>
      <c r="G21" s="332"/>
      <c r="H21" s="28" t="s">
        <v>544</v>
      </c>
    </row>
    <row r="22" spans="2:19" ht="16.5" customHeight="1" x14ac:dyDescent="0.3">
      <c r="B22" s="322"/>
      <c r="C22" s="315"/>
      <c r="D22" s="338"/>
      <c r="E22" s="28">
        <v>12</v>
      </c>
      <c r="F22" s="28" t="s">
        <v>949</v>
      </c>
      <c r="G22" s="332"/>
      <c r="H22" s="28" t="s">
        <v>541</v>
      </c>
    </row>
    <row r="23" spans="2:19" ht="16.5" customHeight="1" x14ac:dyDescent="0.3">
      <c r="B23" s="322"/>
      <c r="C23" s="315"/>
      <c r="D23" s="338"/>
      <c r="E23" s="28">
        <v>13</v>
      </c>
      <c r="F23" s="28" t="s">
        <v>949</v>
      </c>
      <c r="G23" s="332"/>
      <c r="H23" s="28" t="s">
        <v>538</v>
      </c>
    </row>
    <row r="24" spans="2:19" ht="16.5" customHeight="1" x14ac:dyDescent="0.3">
      <c r="B24" s="322"/>
      <c r="C24" s="315"/>
      <c r="D24" s="338"/>
      <c r="E24" s="28">
        <v>14</v>
      </c>
      <c r="F24" s="28" t="s">
        <v>949</v>
      </c>
      <c r="G24" s="332"/>
      <c r="H24" s="28" t="s">
        <v>535</v>
      </c>
    </row>
    <row r="25" spans="2:19" ht="16.5" customHeight="1" x14ac:dyDescent="0.3">
      <c r="B25" s="322"/>
      <c r="C25" s="315"/>
      <c r="D25" s="338"/>
      <c r="E25" s="28">
        <v>15</v>
      </c>
      <c r="F25" s="28" t="s">
        <v>949</v>
      </c>
      <c r="G25" s="332"/>
      <c r="H25" s="28" t="s">
        <v>532</v>
      </c>
    </row>
    <row r="26" spans="2:19" ht="16.5" customHeight="1" x14ac:dyDescent="0.3">
      <c r="B26" s="322"/>
      <c r="C26" s="315"/>
      <c r="D26" s="338"/>
      <c r="E26" s="28">
        <v>16</v>
      </c>
      <c r="F26" s="28" t="s">
        <v>949</v>
      </c>
      <c r="G26" s="332"/>
      <c r="H26" s="28" t="s">
        <v>529</v>
      </c>
    </row>
    <row r="27" spans="2:19" ht="16.5" customHeight="1" x14ac:dyDescent="0.3">
      <c r="B27" s="322"/>
      <c r="C27" s="315"/>
      <c r="D27" s="338"/>
      <c r="E27" s="28">
        <v>17</v>
      </c>
      <c r="F27" s="28" t="s">
        <v>949</v>
      </c>
      <c r="G27" s="332"/>
      <c r="H27" s="28" t="s">
        <v>526</v>
      </c>
      <c r="N27" s="25">
        <v>1</v>
      </c>
    </row>
    <row r="28" spans="2:19" ht="16.5" customHeight="1" x14ac:dyDescent="0.3">
      <c r="B28" s="322"/>
      <c r="C28" s="315"/>
      <c r="D28" s="338"/>
      <c r="E28" s="28">
        <v>18</v>
      </c>
      <c r="F28" s="28" t="s">
        <v>949</v>
      </c>
      <c r="G28" s="332"/>
      <c r="H28" s="28" t="s">
        <v>523</v>
      </c>
      <c r="N28" s="25">
        <v>2</v>
      </c>
      <c r="R28" s="25">
        <v>7</v>
      </c>
      <c r="S28" s="25">
        <v>0</v>
      </c>
    </row>
    <row r="29" spans="2:19" ht="16.5" customHeight="1" x14ac:dyDescent="0.3">
      <c r="B29" s="322"/>
      <c r="C29" s="315"/>
      <c r="D29" s="338"/>
      <c r="E29" s="28">
        <v>19</v>
      </c>
      <c r="F29" s="28" t="s">
        <v>949</v>
      </c>
      <c r="G29" s="332"/>
      <c r="H29" s="28" t="s">
        <v>520</v>
      </c>
      <c r="N29" s="25">
        <v>3</v>
      </c>
      <c r="R29" s="25">
        <f>R28+8</f>
        <v>15</v>
      </c>
      <c r="S29" s="25">
        <f>S28+8</f>
        <v>8</v>
      </c>
    </row>
    <row r="30" spans="2:19" ht="16.5" customHeight="1" x14ac:dyDescent="0.3">
      <c r="B30" s="322"/>
      <c r="C30" s="315"/>
      <c r="D30" s="338"/>
      <c r="E30" s="28">
        <v>20</v>
      </c>
      <c r="F30" s="28" t="s">
        <v>949</v>
      </c>
      <c r="G30" s="332"/>
      <c r="H30" s="28" t="s">
        <v>517</v>
      </c>
      <c r="N30" s="25">
        <v>4</v>
      </c>
      <c r="R30" s="25">
        <f t="shared" ref="R30:R31" si="0">R29+8</f>
        <v>23</v>
      </c>
      <c r="S30" s="25">
        <f t="shared" ref="S30:S31" si="1">S29+8</f>
        <v>16</v>
      </c>
    </row>
    <row r="31" spans="2:19" ht="16.5" customHeight="1" x14ac:dyDescent="0.3">
      <c r="B31" s="322"/>
      <c r="C31" s="315"/>
      <c r="D31" s="338"/>
      <c r="E31" s="28">
        <v>21</v>
      </c>
      <c r="F31" s="28" t="s">
        <v>949</v>
      </c>
      <c r="G31" s="332"/>
      <c r="H31" s="28" t="s">
        <v>514</v>
      </c>
      <c r="N31" s="25">
        <v>5</v>
      </c>
      <c r="R31" s="25">
        <f t="shared" si="0"/>
        <v>31</v>
      </c>
      <c r="S31" s="25">
        <f t="shared" si="1"/>
        <v>24</v>
      </c>
    </row>
    <row r="32" spans="2:19" ht="16.5" customHeight="1" x14ac:dyDescent="0.3">
      <c r="B32" s="322"/>
      <c r="C32" s="315"/>
      <c r="D32" s="338"/>
      <c r="E32" s="28">
        <v>22</v>
      </c>
      <c r="F32" s="28" t="s">
        <v>949</v>
      </c>
      <c r="G32" s="332"/>
      <c r="H32" s="28" t="s">
        <v>511</v>
      </c>
      <c r="N32" s="25">
        <v>6</v>
      </c>
    </row>
    <row r="33" spans="2:14" ht="16.5" customHeight="1" x14ac:dyDescent="0.3">
      <c r="B33" s="322"/>
      <c r="C33" s="315"/>
      <c r="D33" s="338"/>
      <c r="E33" s="28">
        <v>23</v>
      </c>
      <c r="F33" s="28" t="s">
        <v>949</v>
      </c>
      <c r="G33" s="332"/>
      <c r="H33" s="28" t="s">
        <v>508</v>
      </c>
      <c r="N33" s="25">
        <v>7</v>
      </c>
    </row>
    <row r="34" spans="2:14" ht="16.5" customHeight="1" x14ac:dyDescent="0.3">
      <c r="B34" s="322"/>
      <c r="C34" s="315"/>
      <c r="D34" s="338"/>
      <c r="E34" s="28">
        <v>24</v>
      </c>
      <c r="F34" s="28" t="s">
        <v>949</v>
      </c>
      <c r="G34" s="332"/>
      <c r="H34" s="28" t="s">
        <v>505</v>
      </c>
      <c r="N34" s="25">
        <v>8</v>
      </c>
    </row>
    <row r="35" spans="2:14" ht="16.5" customHeight="1" x14ac:dyDescent="0.3">
      <c r="B35" s="322"/>
      <c r="C35" s="315"/>
      <c r="D35" s="338"/>
      <c r="E35" s="28">
        <v>25</v>
      </c>
      <c r="F35" s="28" t="s">
        <v>949</v>
      </c>
      <c r="G35" s="332"/>
      <c r="H35" s="28" t="s">
        <v>502</v>
      </c>
      <c r="N35" s="25">
        <v>9</v>
      </c>
    </row>
    <row r="36" spans="2:14" ht="16.5" customHeight="1" x14ac:dyDescent="0.3">
      <c r="B36" s="322"/>
      <c r="C36" s="315"/>
      <c r="D36" s="338"/>
      <c r="E36" s="28">
        <v>26</v>
      </c>
      <c r="F36" s="28" t="s">
        <v>949</v>
      </c>
      <c r="G36" s="332"/>
      <c r="H36" s="28" t="s">
        <v>499</v>
      </c>
      <c r="N36" s="25">
        <v>10</v>
      </c>
    </row>
    <row r="37" spans="2:14" ht="16.5" customHeight="1" x14ac:dyDescent="0.3">
      <c r="B37" s="322"/>
      <c r="C37" s="315"/>
      <c r="D37" s="338"/>
      <c r="E37" s="28">
        <v>27</v>
      </c>
      <c r="F37" s="28" t="s">
        <v>949</v>
      </c>
      <c r="G37" s="332"/>
      <c r="H37" s="28" t="s">
        <v>496</v>
      </c>
      <c r="N37" s="25">
        <v>11</v>
      </c>
    </row>
    <row r="38" spans="2:14" ht="16.5" customHeight="1" x14ac:dyDescent="0.3">
      <c r="B38" s="322"/>
      <c r="C38" s="315"/>
      <c r="D38" s="338"/>
      <c r="E38" s="28">
        <v>28</v>
      </c>
      <c r="F38" s="28" t="s">
        <v>949</v>
      </c>
      <c r="G38" s="332"/>
      <c r="H38" s="28" t="s">
        <v>493</v>
      </c>
      <c r="N38" s="25">
        <v>12</v>
      </c>
    </row>
    <row r="39" spans="2:14" ht="16.5" customHeight="1" x14ac:dyDescent="0.3">
      <c r="B39" s="322"/>
      <c r="C39" s="315"/>
      <c r="D39" s="338"/>
      <c r="E39" s="28">
        <v>29</v>
      </c>
      <c r="F39" s="28" t="s">
        <v>949</v>
      </c>
      <c r="G39" s="332"/>
      <c r="H39" s="28" t="s">
        <v>490</v>
      </c>
      <c r="N39" s="25">
        <v>13</v>
      </c>
    </row>
    <row r="40" spans="2:14" ht="16.5" customHeight="1" x14ac:dyDescent="0.3">
      <c r="B40" s="322"/>
      <c r="C40" s="315"/>
      <c r="D40" s="338"/>
      <c r="E40" s="28">
        <v>30</v>
      </c>
      <c r="F40" s="28" t="s">
        <v>949</v>
      </c>
      <c r="G40" s="332"/>
      <c r="H40" s="28" t="s">
        <v>487</v>
      </c>
      <c r="N40" s="25">
        <v>14</v>
      </c>
    </row>
    <row r="41" spans="2:14" ht="16.5" customHeight="1" x14ac:dyDescent="0.3">
      <c r="B41" s="322"/>
      <c r="C41" s="315"/>
      <c r="D41" s="338"/>
      <c r="E41" s="28">
        <v>31</v>
      </c>
      <c r="F41" s="28" t="s">
        <v>949</v>
      </c>
      <c r="G41" s="332"/>
      <c r="H41" s="28" t="s">
        <v>484</v>
      </c>
      <c r="N41" s="25">
        <v>15</v>
      </c>
    </row>
    <row r="42" spans="2:14" ht="16.5" customHeight="1" x14ac:dyDescent="0.3">
      <c r="B42" s="322"/>
      <c r="C42" s="315"/>
      <c r="D42" s="338"/>
      <c r="E42" s="28">
        <v>32</v>
      </c>
      <c r="F42" s="28" t="s">
        <v>949</v>
      </c>
      <c r="G42" s="332"/>
      <c r="H42" s="28" t="s">
        <v>982</v>
      </c>
      <c r="N42" s="25">
        <v>16</v>
      </c>
    </row>
    <row r="43" spans="2:14" ht="16.5" customHeight="1" x14ac:dyDescent="0.3">
      <c r="B43" s="322"/>
      <c r="C43" s="315"/>
      <c r="D43" s="338"/>
      <c r="E43" s="28">
        <v>33</v>
      </c>
      <c r="F43" s="28" t="s">
        <v>949</v>
      </c>
      <c r="G43" s="332"/>
      <c r="H43" s="28" t="s">
        <v>981</v>
      </c>
      <c r="N43" s="25">
        <v>17</v>
      </c>
    </row>
    <row r="44" spans="2:14" ht="16.5" customHeight="1" x14ac:dyDescent="0.3">
      <c r="B44" s="322"/>
      <c r="C44" s="315"/>
      <c r="D44" s="338"/>
      <c r="E44" s="28">
        <v>34</v>
      </c>
      <c r="F44" s="28" t="s">
        <v>949</v>
      </c>
      <c r="G44" s="332"/>
      <c r="H44" s="28" t="s">
        <v>980</v>
      </c>
      <c r="N44" s="25">
        <v>18</v>
      </c>
    </row>
    <row r="45" spans="2:14" ht="16.5" customHeight="1" x14ac:dyDescent="0.3">
      <c r="B45" s="322"/>
      <c r="C45" s="315"/>
      <c r="D45" s="338"/>
      <c r="E45" s="28">
        <v>35</v>
      </c>
      <c r="F45" s="28" t="s">
        <v>949</v>
      </c>
      <c r="G45" s="332"/>
      <c r="H45" s="28" t="s">
        <v>979</v>
      </c>
      <c r="N45" s="25">
        <v>19</v>
      </c>
    </row>
    <row r="46" spans="2:14" ht="16.5" customHeight="1" x14ac:dyDescent="0.3">
      <c r="B46" s="322"/>
      <c r="C46" s="315"/>
      <c r="D46" s="338"/>
      <c r="E46" s="28">
        <v>36</v>
      </c>
      <c r="F46" s="28" t="s">
        <v>949</v>
      </c>
      <c r="G46" s="332"/>
      <c r="H46" s="28" t="s">
        <v>978</v>
      </c>
      <c r="N46" s="25">
        <v>20</v>
      </c>
    </row>
    <row r="47" spans="2:14" ht="16.5" customHeight="1" x14ac:dyDescent="0.3">
      <c r="B47" s="322"/>
      <c r="C47" s="315"/>
      <c r="D47" s="338"/>
      <c r="E47" s="28">
        <v>37</v>
      </c>
      <c r="F47" s="28" t="s">
        <v>949</v>
      </c>
      <c r="G47" s="332"/>
      <c r="H47" s="28" t="s">
        <v>977</v>
      </c>
      <c r="N47" s="25">
        <v>21</v>
      </c>
    </row>
    <row r="48" spans="2:14" ht="16.5" customHeight="1" x14ac:dyDescent="0.3">
      <c r="B48" s="322"/>
      <c r="C48" s="315"/>
      <c r="D48" s="338"/>
      <c r="E48" s="28">
        <v>38</v>
      </c>
      <c r="F48" s="28" t="s">
        <v>949</v>
      </c>
      <c r="G48" s="332"/>
      <c r="H48" s="28" t="s">
        <v>976</v>
      </c>
      <c r="N48" s="25">
        <v>22</v>
      </c>
    </row>
    <row r="49" spans="2:14" ht="16.5" customHeight="1" x14ac:dyDescent="0.3">
      <c r="B49" s="322"/>
      <c r="C49" s="315"/>
      <c r="D49" s="338"/>
      <c r="E49" s="28">
        <v>39</v>
      </c>
      <c r="F49" s="28" t="s">
        <v>949</v>
      </c>
      <c r="G49" s="332"/>
      <c r="H49" s="28" t="s">
        <v>975</v>
      </c>
      <c r="N49" s="25">
        <v>23</v>
      </c>
    </row>
    <row r="50" spans="2:14" ht="16.5" customHeight="1" x14ac:dyDescent="0.3">
      <c r="B50" s="322"/>
      <c r="C50" s="315"/>
      <c r="D50" s="338"/>
      <c r="E50" s="28">
        <v>40</v>
      </c>
      <c r="F50" s="28" t="s">
        <v>949</v>
      </c>
      <c r="G50" s="332"/>
      <c r="H50" s="28" t="s">
        <v>974</v>
      </c>
      <c r="N50" s="25">
        <v>24</v>
      </c>
    </row>
    <row r="51" spans="2:14" ht="16.5" customHeight="1" x14ac:dyDescent="0.3">
      <c r="B51" s="322"/>
      <c r="C51" s="315"/>
      <c r="D51" s="338"/>
      <c r="E51" s="28">
        <v>41</v>
      </c>
      <c r="F51" s="28" t="s">
        <v>949</v>
      </c>
      <c r="G51" s="332"/>
      <c r="H51" s="28" t="s">
        <v>973</v>
      </c>
      <c r="N51" s="25">
        <v>25</v>
      </c>
    </row>
    <row r="52" spans="2:14" ht="16.5" customHeight="1" x14ac:dyDescent="0.3">
      <c r="B52" s="322"/>
      <c r="C52" s="315"/>
      <c r="D52" s="338"/>
      <c r="E52" s="28">
        <v>42</v>
      </c>
      <c r="F52" s="28" t="s">
        <v>949</v>
      </c>
      <c r="G52" s="332"/>
      <c r="H52" s="28" t="s">
        <v>972</v>
      </c>
      <c r="N52" s="25">
        <v>26</v>
      </c>
    </row>
    <row r="53" spans="2:14" ht="16.5" customHeight="1" x14ac:dyDescent="0.3">
      <c r="B53" s="322"/>
      <c r="C53" s="315"/>
      <c r="D53" s="338"/>
      <c r="E53" s="28">
        <v>43</v>
      </c>
      <c r="F53" s="28" t="s">
        <v>949</v>
      </c>
      <c r="G53" s="332"/>
      <c r="H53" s="28" t="s">
        <v>971</v>
      </c>
      <c r="N53" s="25">
        <v>27</v>
      </c>
    </row>
    <row r="54" spans="2:14" ht="16.5" customHeight="1" x14ac:dyDescent="0.3">
      <c r="B54" s="322"/>
      <c r="C54" s="315"/>
      <c r="D54" s="338"/>
      <c r="E54" s="28">
        <v>44</v>
      </c>
      <c r="F54" s="28" t="s">
        <v>949</v>
      </c>
      <c r="G54" s="332"/>
      <c r="H54" s="28" t="s">
        <v>970</v>
      </c>
      <c r="N54" s="25">
        <v>28</v>
      </c>
    </row>
    <row r="55" spans="2:14" ht="16.5" customHeight="1" x14ac:dyDescent="0.3">
      <c r="B55" s="322"/>
      <c r="C55" s="315"/>
      <c r="D55" s="338"/>
      <c r="E55" s="28">
        <v>45</v>
      </c>
      <c r="F55" s="28" t="s">
        <v>949</v>
      </c>
      <c r="G55" s="332"/>
      <c r="H55" s="28" t="s">
        <v>969</v>
      </c>
      <c r="N55" s="25">
        <v>29</v>
      </c>
    </row>
    <row r="56" spans="2:14" ht="16.5" customHeight="1" x14ac:dyDescent="0.3">
      <c r="B56" s="322"/>
      <c r="C56" s="315"/>
      <c r="D56" s="338"/>
      <c r="E56" s="28">
        <v>46</v>
      </c>
      <c r="F56" s="28" t="s">
        <v>949</v>
      </c>
      <c r="G56" s="332"/>
      <c r="H56" s="28" t="s">
        <v>968</v>
      </c>
      <c r="N56" s="25">
        <v>30</v>
      </c>
    </row>
    <row r="57" spans="2:14" ht="16.5" customHeight="1" x14ac:dyDescent="0.3">
      <c r="B57" s="322"/>
      <c r="C57" s="315"/>
      <c r="D57" s="338"/>
      <c r="E57" s="28">
        <v>47</v>
      </c>
      <c r="F57" s="28" t="s">
        <v>949</v>
      </c>
      <c r="G57" s="332"/>
      <c r="H57" s="28" t="s">
        <v>967</v>
      </c>
      <c r="N57" s="25">
        <v>31</v>
      </c>
    </row>
    <row r="58" spans="2:14" ht="16.5" customHeight="1" x14ac:dyDescent="0.3">
      <c r="B58" s="322"/>
      <c r="C58" s="315"/>
      <c r="D58" s="338"/>
      <c r="E58" s="28">
        <v>48</v>
      </c>
      <c r="F58" s="28" t="s">
        <v>949</v>
      </c>
      <c r="G58" s="332"/>
      <c r="H58" s="28" t="s">
        <v>966</v>
      </c>
      <c r="N58" s="25">
        <v>32</v>
      </c>
    </row>
    <row r="59" spans="2:14" ht="16.5" customHeight="1" x14ac:dyDescent="0.3">
      <c r="B59" s="322"/>
      <c r="C59" s="315"/>
      <c r="D59" s="338"/>
      <c r="E59" s="28">
        <v>49</v>
      </c>
      <c r="F59" s="28" t="s">
        <v>949</v>
      </c>
      <c r="G59" s="332"/>
      <c r="H59" s="28" t="s">
        <v>965</v>
      </c>
    </row>
    <row r="60" spans="2:14" ht="16.5" customHeight="1" x14ac:dyDescent="0.3">
      <c r="B60" s="322"/>
      <c r="C60" s="315"/>
      <c r="D60" s="338"/>
      <c r="E60" s="28">
        <v>50</v>
      </c>
      <c r="F60" s="28" t="s">
        <v>949</v>
      </c>
      <c r="G60" s="332"/>
      <c r="H60" s="28" t="s">
        <v>964</v>
      </c>
    </row>
    <row r="61" spans="2:14" ht="16.5" customHeight="1" x14ac:dyDescent="0.3">
      <c r="B61" s="322"/>
      <c r="C61" s="315"/>
      <c r="D61" s="338"/>
      <c r="E61" s="28">
        <v>51</v>
      </c>
      <c r="F61" s="28" t="s">
        <v>949</v>
      </c>
      <c r="G61" s="332"/>
      <c r="H61" s="28" t="s">
        <v>963</v>
      </c>
    </row>
    <row r="62" spans="2:14" ht="16.5" customHeight="1" x14ac:dyDescent="0.3">
      <c r="B62" s="322"/>
      <c r="C62" s="315"/>
      <c r="D62" s="338"/>
      <c r="E62" s="28">
        <v>52</v>
      </c>
      <c r="F62" s="28" t="s">
        <v>949</v>
      </c>
      <c r="G62" s="332"/>
      <c r="H62" s="28" t="s">
        <v>962</v>
      </c>
    </row>
    <row r="63" spans="2:14" ht="16.5" customHeight="1" x14ac:dyDescent="0.3">
      <c r="B63" s="322"/>
      <c r="C63" s="315"/>
      <c r="D63" s="338"/>
      <c r="E63" s="28">
        <v>53</v>
      </c>
      <c r="F63" s="28" t="s">
        <v>949</v>
      </c>
      <c r="G63" s="332"/>
      <c r="H63" s="28" t="s">
        <v>961</v>
      </c>
    </row>
    <row r="64" spans="2:14" ht="16.5" customHeight="1" x14ac:dyDescent="0.3">
      <c r="B64" s="322"/>
      <c r="C64" s="315"/>
      <c r="D64" s="338"/>
      <c r="E64" s="51"/>
      <c r="F64" s="51"/>
      <c r="G64" s="332"/>
      <c r="H64" s="49"/>
    </row>
    <row r="65" spans="2:9" ht="16.5" customHeight="1" x14ac:dyDescent="0.3">
      <c r="B65" s="322"/>
      <c r="C65" s="315"/>
      <c r="D65" s="338"/>
      <c r="E65" s="48"/>
      <c r="F65" s="48"/>
      <c r="G65" s="332"/>
      <c r="H65" s="46"/>
    </row>
    <row r="66" spans="2:9" ht="16.5" customHeight="1" x14ac:dyDescent="0.3">
      <c r="B66" s="322"/>
      <c r="C66" s="315"/>
      <c r="D66" s="338"/>
      <c r="E66" s="28">
        <v>118</v>
      </c>
      <c r="F66" s="28" t="s">
        <v>959</v>
      </c>
      <c r="G66" s="332"/>
      <c r="H66" s="28" t="s">
        <v>960</v>
      </c>
    </row>
    <row r="67" spans="2:9" ht="16.5" customHeight="1" x14ac:dyDescent="0.3">
      <c r="B67" s="322"/>
      <c r="C67" s="315"/>
      <c r="D67" s="338"/>
      <c r="E67" s="28">
        <v>119</v>
      </c>
      <c r="F67" s="28" t="s">
        <v>959</v>
      </c>
      <c r="G67" s="332"/>
      <c r="H67" s="28" t="s">
        <v>958</v>
      </c>
    </row>
    <row r="68" spans="2:9" ht="16.5" customHeight="1" x14ac:dyDescent="0.3">
      <c r="B68" s="322"/>
      <c r="C68" s="315"/>
      <c r="D68" s="338"/>
      <c r="E68" s="28">
        <v>120</v>
      </c>
      <c r="F68" s="28" t="s">
        <v>949</v>
      </c>
      <c r="G68" s="332"/>
      <c r="H68" s="28" t="s">
        <v>957</v>
      </c>
    </row>
    <row r="69" spans="2:9" ht="16.5" customHeight="1" x14ac:dyDescent="0.3">
      <c r="B69" s="322"/>
      <c r="C69" s="315"/>
      <c r="D69" s="338"/>
      <c r="E69" s="28">
        <v>121</v>
      </c>
      <c r="F69" s="28" t="s">
        <v>949</v>
      </c>
      <c r="G69" s="332"/>
      <c r="H69" s="28" t="s">
        <v>956</v>
      </c>
    </row>
    <row r="70" spans="2:9" ht="16.5" customHeight="1" x14ac:dyDescent="0.3">
      <c r="B70" s="322"/>
      <c r="C70" s="315"/>
      <c r="D70" s="338"/>
      <c r="E70" s="28">
        <v>122</v>
      </c>
      <c r="F70" s="28" t="s">
        <v>949</v>
      </c>
      <c r="G70" s="332"/>
      <c r="H70" s="28" t="s">
        <v>955</v>
      </c>
    </row>
    <row r="71" spans="2:9" ht="16.5" customHeight="1" x14ac:dyDescent="0.3">
      <c r="B71" s="322"/>
      <c r="C71" s="315"/>
      <c r="D71" s="338"/>
      <c r="E71" s="28">
        <v>123</v>
      </c>
      <c r="F71" s="28" t="s">
        <v>949</v>
      </c>
      <c r="G71" s="332"/>
      <c r="H71" s="28" t="s">
        <v>954</v>
      </c>
    </row>
    <row r="72" spans="2:9" ht="16.5" customHeight="1" x14ac:dyDescent="0.3">
      <c r="B72" s="322"/>
      <c r="C72" s="315"/>
      <c r="D72" s="338"/>
      <c r="E72" s="28">
        <v>124</v>
      </c>
      <c r="F72" s="28" t="s">
        <v>949</v>
      </c>
      <c r="G72" s="332"/>
      <c r="H72" s="28" t="s">
        <v>953</v>
      </c>
    </row>
    <row r="73" spans="2:9" ht="16.5" customHeight="1" x14ac:dyDescent="0.3">
      <c r="B73" s="322"/>
      <c r="C73" s="315"/>
      <c r="D73" s="338"/>
      <c r="E73" s="28">
        <v>125</v>
      </c>
      <c r="F73" s="28" t="s">
        <v>949</v>
      </c>
      <c r="G73" s="332"/>
      <c r="H73" s="28" t="s">
        <v>952</v>
      </c>
    </row>
    <row r="74" spans="2:9" ht="20.25" customHeight="1" x14ac:dyDescent="0.3">
      <c r="B74" s="322"/>
      <c r="C74" s="315"/>
      <c r="D74" s="338"/>
      <c r="E74" s="42">
        <v>126</v>
      </c>
      <c r="F74" s="42" t="s">
        <v>949</v>
      </c>
      <c r="G74" s="332"/>
      <c r="H74" s="31" t="s">
        <v>951</v>
      </c>
      <c r="I74" s="56" t="s">
        <v>950</v>
      </c>
    </row>
    <row r="75" spans="2:9" ht="20.25" customHeight="1" x14ac:dyDescent="0.3">
      <c r="B75" s="322"/>
      <c r="C75" s="315"/>
      <c r="D75" s="344"/>
      <c r="E75" s="31">
        <v>127</v>
      </c>
      <c r="F75" s="31" t="s">
        <v>949</v>
      </c>
      <c r="G75" s="341"/>
      <c r="H75" s="31" t="s">
        <v>948</v>
      </c>
      <c r="I75" s="56" t="s">
        <v>947</v>
      </c>
    </row>
    <row r="76" spans="2:9" x14ac:dyDescent="0.3">
      <c r="B76" s="322"/>
      <c r="C76" s="315"/>
      <c r="D76" s="337">
        <v>1</v>
      </c>
      <c r="E76" s="28">
        <v>0</v>
      </c>
      <c r="F76" s="28" t="s">
        <v>959</v>
      </c>
      <c r="G76" s="345" t="s">
        <v>983</v>
      </c>
      <c r="H76" s="28" t="s">
        <v>577</v>
      </c>
    </row>
    <row r="77" spans="2:9" x14ac:dyDescent="0.3">
      <c r="B77" s="322"/>
      <c r="C77" s="315"/>
      <c r="D77" s="338"/>
      <c r="E77" s="28">
        <v>1</v>
      </c>
      <c r="F77" s="28" t="s">
        <v>959</v>
      </c>
      <c r="G77" s="332"/>
      <c r="H77" s="28" t="s">
        <v>574</v>
      </c>
    </row>
    <row r="78" spans="2:9" x14ac:dyDescent="0.3">
      <c r="B78" s="322"/>
      <c r="C78" s="315"/>
      <c r="D78" s="338"/>
      <c r="E78" s="28">
        <v>2</v>
      </c>
      <c r="F78" s="28" t="s">
        <v>949</v>
      </c>
      <c r="G78" s="332"/>
      <c r="H78" s="28" t="s">
        <v>571</v>
      </c>
    </row>
    <row r="79" spans="2:9" x14ac:dyDescent="0.3">
      <c r="B79" s="322"/>
      <c r="C79" s="315"/>
      <c r="D79" s="338"/>
      <c r="E79" s="28">
        <v>3</v>
      </c>
      <c r="F79" s="28" t="s">
        <v>949</v>
      </c>
      <c r="G79" s="332"/>
      <c r="H79" s="28" t="s">
        <v>568</v>
      </c>
    </row>
    <row r="80" spans="2:9" x14ac:dyDescent="0.3">
      <c r="B80" s="322"/>
      <c r="C80" s="315"/>
      <c r="D80" s="338"/>
      <c r="E80" s="28">
        <v>4</v>
      </c>
      <c r="F80" s="28" t="s">
        <v>949</v>
      </c>
      <c r="G80" s="332"/>
      <c r="H80" s="28" t="s">
        <v>565</v>
      </c>
    </row>
    <row r="81" spans="2:8" x14ac:dyDescent="0.3">
      <c r="B81" s="322"/>
      <c r="C81" s="315"/>
      <c r="D81" s="338"/>
      <c r="E81" s="28">
        <v>5</v>
      </c>
      <c r="F81" s="28" t="s">
        <v>949</v>
      </c>
      <c r="G81" s="332"/>
      <c r="H81" s="28" t="s">
        <v>562</v>
      </c>
    </row>
    <row r="82" spans="2:8" x14ac:dyDescent="0.3">
      <c r="B82" s="322"/>
      <c r="C82" s="315"/>
      <c r="D82" s="338"/>
      <c r="E82" s="28">
        <v>6</v>
      </c>
      <c r="F82" s="28" t="s">
        <v>949</v>
      </c>
      <c r="G82" s="332"/>
      <c r="H82" s="28" t="s">
        <v>559</v>
      </c>
    </row>
    <row r="83" spans="2:8" x14ac:dyDescent="0.3">
      <c r="B83" s="322"/>
      <c r="C83" s="315"/>
      <c r="D83" s="338"/>
      <c r="E83" s="28">
        <v>7</v>
      </c>
      <c r="F83" s="28" t="s">
        <v>949</v>
      </c>
      <c r="G83" s="332"/>
      <c r="H83" s="28" t="s">
        <v>556</v>
      </c>
    </row>
    <row r="84" spans="2:8" x14ac:dyDescent="0.3">
      <c r="B84" s="322"/>
      <c r="C84" s="315"/>
      <c r="D84" s="338"/>
      <c r="E84" s="28">
        <v>8</v>
      </c>
      <c r="F84" s="28" t="s">
        <v>949</v>
      </c>
      <c r="G84" s="332"/>
      <c r="H84" s="28" t="s">
        <v>553</v>
      </c>
    </row>
    <row r="85" spans="2:8" x14ac:dyDescent="0.3">
      <c r="B85" s="322"/>
      <c r="C85" s="315"/>
      <c r="D85" s="338"/>
      <c r="E85" s="28">
        <v>9</v>
      </c>
      <c r="F85" s="28" t="s">
        <v>949</v>
      </c>
      <c r="G85" s="332"/>
      <c r="H85" s="28" t="s">
        <v>550</v>
      </c>
    </row>
    <row r="86" spans="2:8" x14ac:dyDescent="0.3">
      <c r="B86" s="322"/>
      <c r="C86" s="315"/>
      <c r="D86" s="338"/>
      <c r="E86" s="28">
        <v>10</v>
      </c>
      <c r="F86" s="28" t="s">
        <v>949</v>
      </c>
      <c r="G86" s="332"/>
      <c r="H86" s="28" t="s">
        <v>547</v>
      </c>
    </row>
    <row r="87" spans="2:8" x14ac:dyDescent="0.3">
      <c r="B87" s="322"/>
      <c r="C87" s="315"/>
      <c r="D87" s="338"/>
      <c r="E87" s="28">
        <v>11</v>
      </c>
      <c r="F87" s="28" t="s">
        <v>949</v>
      </c>
      <c r="G87" s="332"/>
      <c r="H87" s="28" t="s">
        <v>544</v>
      </c>
    </row>
    <row r="88" spans="2:8" x14ac:dyDescent="0.3">
      <c r="B88" s="322"/>
      <c r="C88" s="315"/>
      <c r="D88" s="338"/>
      <c r="E88" s="28">
        <v>12</v>
      </c>
      <c r="F88" s="28" t="s">
        <v>949</v>
      </c>
      <c r="G88" s="332"/>
      <c r="H88" s="28" t="s">
        <v>541</v>
      </c>
    </row>
    <row r="89" spans="2:8" x14ac:dyDescent="0.3">
      <c r="B89" s="322"/>
      <c r="C89" s="315"/>
      <c r="D89" s="338"/>
      <c r="E89" s="28">
        <v>13</v>
      </c>
      <c r="F89" s="28" t="s">
        <v>949</v>
      </c>
      <c r="G89" s="332"/>
      <c r="H89" s="28" t="s">
        <v>538</v>
      </c>
    </row>
    <row r="90" spans="2:8" x14ac:dyDescent="0.3">
      <c r="B90" s="322"/>
      <c r="C90" s="315"/>
      <c r="D90" s="338"/>
      <c r="E90" s="28">
        <v>14</v>
      </c>
      <c r="F90" s="28" t="s">
        <v>949</v>
      </c>
      <c r="G90" s="332"/>
      <c r="H90" s="28" t="s">
        <v>535</v>
      </c>
    </row>
    <row r="91" spans="2:8" x14ac:dyDescent="0.3">
      <c r="B91" s="322"/>
      <c r="C91" s="315"/>
      <c r="D91" s="338"/>
      <c r="E91" s="28">
        <v>15</v>
      </c>
      <c r="F91" s="28" t="s">
        <v>949</v>
      </c>
      <c r="G91" s="332"/>
      <c r="H91" s="28" t="s">
        <v>532</v>
      </c>
    </row>
    <row r="92" spans="2:8" x14ac:dyDescent="0.3">
      <c r="B92" s="322"/>
      <c r="C92" s="315"/>
      <c r="D92" s="338"/>
      <c r="E92" s="28">
        <v>16</v>
      </c>
      <c r="F92" s="28" t="s">
        <v>949</v>
      </c>
      <c r="G92" s="332"/>
      <c r="H92" s="28" t="s">
        <v>529</v>
      </c>
    </row>
    <row r="93" spans="2:8" x14ac:dyDescent="0.3">
      <c r="B93" s="322"/>
      <c r="C93" s="315"/>
      <c r="D93" s="338"/>
      <c r="E93" s="28">
        <v>17</v>
      </c>
      <c r="F93" s="28" t="s">
        <v>949</v>
      </c>
      <c r="G93" s="332"/>
      <c r="H93" s="28" t="s">
        <v>526</v>
      </c>
    </row>
    <row r="94" spans="2:8" x14ac:dyDescent="0.3">
      <c r="B94" s="322"/>
      <c r="C94" s="315"/>
      <c r="D94" s="338"/>
      <c r="E94" s="28">
        <v>18</v>
      </c>
      <c r="F94" s="28" t="s">
        <v>949</v>
      </c>
      <c r="G94" s="332"/>
      <c r="H94" s="28" t="s">
        <v>523</v>
      </c>
    </row>
    <row r="95" spans="2:8" x14ac:dyDescent="0.3">
      <c r="B95" s="322"/>
      <c r="C95" s="315"/>
      <c r="D95" s="338"/>
      <c r="E95" s="28">
        <v>19</v>
      </c>
      <c r="F95" s="28" t="s">
        <v>949</v>
      </c>
      <c r="G95" s="332"/>
      <c r="H95" s="28" t="s">
        <v>520</v>
      </c>
    </row>
    <row r="96" spans="2:8" x14ac:dyDescent="0.3">
      <c r="B96" s="322"/>
      <c r="C96" s="315"/>
      <c r="D96" s="338"/>
      <c r="E96" s="28">
        <v>20</v>
      </c>
      <c r="F96" s="28" t="s">
        <v>949</v>
      </c>
      <c r="G96" s="332"/>
      <c r="H96" s="28" t="s">
        <v>517</v>
      </c>
    </row>
    <row r="97" spans="2:8" x14ac:dyDescent="0.3">
      <c r="B97" s="322"/>
      <c r="C97" s="315"/>
      <c r="D97" s="338"/>
      <c r="E97" s="28">
        <v>21</v>
      </c>
      <c r="F97" s="28" t="s">
        <v>949</v>
      </c>
      <c r="G97" s="332"/>
      <c r="H97" s="28" t="s">
        <v>514</v>
      </c>
    </row>
    <row r="98" spans="2:8" x14ac:dyDescent="0.3">
      <c r="B98" s="322"/>
      <c r="C98" s="315"/>
      <c r="D98" s="338"/>
      <c r="E98" s="28">
        <v>22</v>
      </c>
      <c r="F98" s="28" t="s">
        <v>949</v>
      </c>
      <c r="G98" s="332"/>
      <c r="H98" s="28" t="s">
        <v>511</v>
      </c>
    </row>
    <row r="99" spans="2:8" x14ac:dyDescent="0.3">
      <c r="B99" s="322"/>
      <c r="C99" s="315"/>
      <c r="D99" s="338"/>
      <c r="E99" s="28">
        <v>23</v>
      </c>
      <c r="F99" s="28" t="s">
        <v>949</v>
      </c>
      <c r="G99" s="332"/>
      <c r="H99" s="28" t="s">
        <v>508</v>
      </c>
    </row>
    <row r="100" spans="2:8" x14ac:dyDescent="0.3">
      <c r="B100" s="322"/>
      <c r="C100" s="315"/>
      <c r="D100" s="338"/>
      <c r="E100" s="28">
        <v>24</v>
      </c>
      <c r="F100" s="28" t="s">
        <v>949</v>
      </c>
      <c r="G100" s="332"/>
      <c r="H100" s="28" t="s">
        <v>505</v>
      </c>
    </row>
    <row r="101" spans="2:8" x14ac:dyDescent="0.3">
      <c r="B101" s="322"/>
      <c r="C101" s="315"/>
      <c r="D101" s="338"/>
      <c r="E101" s="28">
        <v>25</v>
      </c>
      <c r="F101" s="28" t="s">
        <v>949</v>
      </c>
      <c r="G101" s="332"/>
      <c r="H101" s="28" t="s">
        <v>502</v>
      </c>
    </row>
    <row r="102" spans="2:8" x14ac:dyDescent="0.3">
      <c r="B102" s="322"/>
      <c r="C102" s="315"/>
      <c r="D102" s="338"/>
      <c r="E102" s="28">
        <v>26</v>
      </c>
      <c r="F102" s="28" t="s">
        <v>949</v>
      </c>
      <c r="G102" s="332"/>
      <c r="H102" s="28" t="s">
        <v>499</v>
      </c>
    </row>
    <row r="103" spans="2:8" x14ac:dyDescent="0.3">
      <c r="B103" s="322"/>
      <c r="C103" s="315"/>
      <c r="D103" s="338"/>
      <c r="E103" s="28">
        <v>27</v>
      </c>
      <c r="F103" s="28" t="s">
        <v>949</v>
      </c>
      <c r="G103" s="332"/>
      <c r="H103" s="28" t="s">
        <v>496</v>
      </c>
    </row>
    <row r="104" spans="2:8" x14ac:dyDescent="0.3">
      <c r="B104" s="322"/>
      <c r="C104" s="315"/>
      <c r="D104" s="338"/>
      <c r="E104" s="28">
        <v>28</v>
      </c>
      <c r="F104" s="28" t="s">
        <v>949</v>
      </c>
      <c r="G104" s="332"/>
      <c r="H104" s="28" t="s">
        <v>493</v>
      </c>
    </row>
    <row r="105" spans="2:8" x14ac:dyDescent="0.3">
      <c r="B105" s="322"/>
      <c r="C105" s="315"/>
      <c r="D105" s="338"/>
      <c r="E105" s="28">
        <v>29</v>
      </c>
      <c r="F105" s="28" t="s">
        <v>949</v>
      </c>
      <c r="G105" s="332"/>
      <c r="H105" s="28" t="s">
        <v>490</v>
      </c>
    </row>
    <row r="106" spans="2:8" x14ac:dyDescent="0.3">
      <c r="B106" s="322"/>
      <c r="C106" s="315"/>
      <c r="D106" s="338"/>
      <c r="E106" s="28">
        <v>30</v>
      </c>
      <c r="F106" s="28" t="s">
        <v>949</v>
      </c>
      <c r="G106" s="332"/>
      <c r="H106" s="28" t="s">
        <v>487</v>
      </c>
    </row>
    <row r="107" spans="2:8" x14ac:dyDescent="0.3">
      <c r="B107" s="322"/>
      <c r="C107" s="315"/>
      <c r="D107" s="338"/>
      <c r="E107" s="28">
        <v>31</v>
      </c>
      <c r="F107" s="28" t="s">
        <v>949</v>
      </c>
      <c r="G107" s="332"/>
      <c r="H107" s="28" t="s">
        <v>484</v>
      </c>
    </row>
    <row r="108" spans="2:8" x14ac:dyDescent="0.3">
      <c r="B108" s="322"/>
      <c r="C108" s="315"/>
      <c r="D108" s="338"/>
      <c r="E108" s="28">
        <v>32</v>
      </c>
      <c r="F108" s="28" t="s">
        <v>949</v>
      </c>
      <c r="G108" s="332"/>
      <c r="H108" s="28" t="s">
        <v>982</v>
      </c>
    </row>
    <row r="109" spans="2:8" x14ac:dyDescent="0.3">
      <c r="B109" s="322"/>
      <c r="C109" s="315"/>
      <c r="D109" s="338"/>
      <c r="E109" s="28">
        <v>33</v>
      </c>
      <c r="F109" s="28" t="s">
        <v>949</v>
      </c>
      <c r="G109" s="332"/>
      <c r="H109" s="28" t="s">
        <v>981</v>
      </c>
    </row>
    <row r="110" spans="2:8" x14ac:dyDescent="0.3">
      <c r="B110" s="322"/>
      <c r="C110" s="315"/>
      <c r="D110" s="338"/>
      <c r="E110" s="28">
        <v>34</v>
      </c>
      <c r="F110" s="28" t="s">
        <v>949</v>
      </c>
      <c r="G110" s="332"/>
      <c r="H110" s="28" t="s">
        <v>980</v>
      </c>
    </row>
    <row r="111" spans="2:8" x14ac:dyDescent="0.3">
      <c r="B111" s="322"/>
      <c r="C111" s="315"/>
      <c r="D111" s="338"/>
      <c r="E111" s="28">
        <v>35</v>
      </c>
      <c r="F111" s="28" t="s">
        <v>949</v>
      </c>
      <c r="G111" s="332"/>
      <c r="H111" s="28" t="s">
        <v>979</v>
      </c>
    </row>
    <row r="112" spans="2:8" x14ac:dyDescent="0.3">
      <c r="B112" s="322"/>
      <c r="C112" s="315"/>
      <c r="D112" s="338"/>
      <c r="E112" s="28">
        <v>36</v>
      </c>
      <c r="F112" s="28" t="s">
        <v>949</v>
      </c>
      <c r="G112" s="332"/>
      <c r="H112" s="28" t="s">
        <v>978</v>
      </c>
    </row>
    <row r="113" spans="2:8" x14ac:dyDescent="0.3">
      <c r="B113" s="322"/>
      <c r="C113" s="315"/>
      <c r="D113" s="338"/>
      <c r="E113" s="28">
        <v>37</v>
      </c>
      <c r="F113" s="28" t="s">
        <v>949</v>
      </c>
      <c r="G113" s="332"/>
      <c r="H113" s="28" t="s">
        <v>977</v>
      </c>
    </row>
    <row r="114" spans="2:8" x14ac:dyDescent="0.3">
      <c r="B114" s="322"/>
      <c r="C114" s="315"/>
      <c r="D114" s="338"/>
      <c r="E114" s="28">
        <v>38</v>
      </c>
      <c r="F114" s="28" t="s">
        <v>949</v>
      </c>
      <c r="G114" s="332"/>
      <c r="H114" s="28" t="s">
        <v>976</v>
      </c>
    </row>
    <row r="115" spans="2:8" x14ac:dyDescent="0.3">
      <c r="B115" s="322"/>
      <c r="C115" s="315"/>
      <c r="D115" s="338"/>
      <c r="E115" s="28">
        <v>39</v>
      </c>
      <c r="F115" s="28" t="s">
        <v>949</v>
      </c>
      <c r="G115" s="332"/>
      <c r="H115" s="28" t="s">
        <v>975</v>
      </c>
    </row>
    <row r="116" spans="2:8" x14ac:dyDescent="0.3">
      <c r="B116" s="322"/>
      <c r="C116" s="315"/>
      <c r="D116" s="338"/>
      <c r="E116" s="28">
        <v>40</v>
      </c>
      <c r="F116" s="28" t="s">
        <v>949</v>
      </c>
      <c r="G116" s="332"/>
      <c r="H116" s="28" t="s">
        <v>974</v>
      </c>
    </row>
    <row r="117" spans="2:8" x14ac:dyDescent="0.3">
      <c r="B117" s="322"/>
      <c r="C117" s="315"/>
      <c r="D117" s="338"/>
      <c r="E117" s="28">
        <v>41</v>
      </c>
      <c r="F117" s="28" t="s">
        <v>949</v>
      </c>
      <c r="G117" s="332"/>
      <c r="H117" s="28" t="s">
        <v>973</v>
      </c>
    </row>
    <row r="118" spans="2:8" x14ac:dyDescent="0.3">
      <c r="B118" s="322"/>
      <c r="C118" s="315"/>
      <c r="D118" s="338"/>
      <c r="E118" s="28">
        <v>42</v>
      </c>
      <c r="F118" s="28" t="s">
        <v>949</v>
      </c>
      <c r="G118" s="332"/>
      <c r="H118" s="28" t="s">
        <v>972</v>
      </c>
    </row>
    <row r="119" spans="2:8" x14ac:dyDescent="0.3">
      <c r="B119" s="322"/>
      <c r="C119" s="315"/>
      <c r="D119" s="338"/>
      <c r="E119" s="28">
        <v>43</v>
      </c>
      <c r="F119" s="28" t="s">
        <v>949</v>
      </c>
      <c r="G119" s="332"/>
      <c r="H119" s="28" t="s">
        <v>971</v>
      </c>
    </row>
    <row r="120" spans="2:8" x14ac:dyDescent="0.3">
      <c r="B120" s="322"/>
      <c r="C120" s="315"/>
      <c r="D120" s="338"/>
      <c r="E120" s="28">
        <v>44</v>
      </c>
      <c r="F120" s="28" t="s">
        <v>949</v>
      </c>
      <c r="G120" s="332"/>
      <c r="H120" s="28" t="s">
        <v>970</v>
      </c>
    </row>
    <row r="121" spans="2:8" x14ac:dyDescent="0.3">
      <c r="B121" s="322"/>
      <c r="C121" s="315"/>
      <c r="D121" s="338"/>
      <c r="E121" s="28">
        <v>45</v>
      </c>
      <c r="F121" s="28" t="s">
        <v>949</v>
      </c>
      <c r="G121" s="332"/>
      <c r="H121" s="28" t="s">
        <v>969</v>
      </c>
    </row>
    <row r="122" spans="2:8" x14ac:dyDescent="0.3">
      <c r="B122" s="322"/>
      <c r="C122" s="315"/>
      <c r="D122" s="338"/>
      <c r="E122" s="28">
        <v>46</v>
      </c>
      <c r="F122" s="28" t="s">
        <v>949</v>
      </c>
      <c r="G122" s="332"/>
      <c r="H122" s="28" t="s">
        <v>968</v>
      </c>
    </row>
    <row r="123" spans="2:8" x14ac:dyDescent="0.3">
      <c r="B123" s="322"/>
      <c r="C123" s="315"/>
      <c r="D123" s="338"/>
      <c r="E123" s="28">
        <v>47</v>
      </c>
      <c r="F123" s="28" t="s">
        <v>949</v>
      </c>
      <c r="G123" s="332"/>
      <c r="H123" s="28" t="s">
        <v>967</v>
      </c>
    </row>
    <row r="124" spans="2:8" x14ac:dyDescent="0.3">
      <c r="B124" s="322"/>
      <c r="C124" s="315"/>
      <c r="D124" s="338"/>
      <c r="E124" s="28">
        <v>48</v>
      </c>
      <c r="F124" s="28" t="s">
        <v>949</v>
      </c>
      <c r="G124" s="332"/>
      <c r="H124" s="28" t="s">
        <v>966</v>
      </c>
    </row>
    <row r="125" spans="2:8" x14ac:dyDescent="0.3">
      <c r="B125" s="322"/>
      <c r="C125" s="315"/>
      <c r="D125" s="338"/>
      <c r="E125" s="28">
        <v>49</v>
      </c>
      <c r="F125" s="28" t="s">
        <v>949</v>
      </c>
      <c r="G125" s="332"/>
      <c r="H125" s="28" t="s">
        <v>965</v>
      </c>
    </row>
    <row r="126" spans="2:8" x14ac:dyDescent="0.3">
      <c r="B126" s="322"/>
      <c r="C126" s="315"/>
      <c r="D126" s="338"/>
      <c r="E126" s="28">
        <v>50</v>
      </c>
      <c r="F126" s="28" t="s">
        <v>949</v>
      </c>
      <c r="G126" s="332"/>
      <c r="H126" s="28" t="s">
        <v>964</v>
      </c>
    </row>
    <row r="127" spans="2:8" x14ac:dyDescent="0.3">
      <c r="B127" s="322"/>
      <c r="C127" s="315"/>
      <c r="D127" s="338"/>
      <c r="E127" s="28">
        <v>51</v>
      </c>
      <c r="F127" s="28" t="s">
        <v>949</v>
      </c>
      <c r="G127" s="332"/>
      <c r="H127" s="28" t="s">
        <v>963</v>
      </c>
    </row>
    <row r="128" spans="2:8" x14ac:dyDescent="0.3">
      <c r="B128" s="322"/>
      <c r="C128" s="315"/>
      <c r="D128" s="338"/>
      <c r="E128" s="28">
        <v>52</v>
      </c>
      <c r="F128" s="28" t="s">
        <v>949</v>
      </c>
      <c r="G128" s="332"/>
      <c r="H128" s="28" t="s">
        <v>962</v>
      </c>
    </row>
    <row r="129" spans="2:9" x14ac:dyDescent="0.3">
      <c r="B129" s="322"/>
      <c r="C129" s="315"/>
      <c r="D129" s="338"/>
      <c r="E129" s="28">
        <v>53</v>
      </c>
      <c r="F129" s="28" t="s">
        <v>949</v>
      </c>
      <c r="G129" s="332"/>
      <c r="H129" s="28" t="s">
        <v>961</v>
      </c>
    </row>
    <row r="130" spans="2:9" x14ac:dyDescent="0.3">
      <c r="B130" s="322"/>
      <c r="C130" s="315"/>
      <c r="D130" s="338"/>
      <c r="E130" s="51"/>
      <c r="F130" s="51"/>
      <c r="G130" s="332"/>
      <c r="H130" s="49"/>
    </row>
    <row r="131" spans="2:9" x14ac:dyDescent="0.3">
      <c r="B131" s="322"/>
      <c r="C131" s="315"/>
      <c r="D131" s="338"/>
      <c r="E131" s="48"/>
      <c r="F131" s="48"/>
      <c r="G131" s="332"/>
      <c r="H131" s="46"/>
    </row>
    <row r="132" spans="2:9" x14ac:dyDescent="0.3">
      <c r="B132" s="322"/>
      <c r="C132" s="315"/>
      <c r="D132" s="338"/>
      <c r="E132" s="28">
        <v>118</v>
      </c>
      <c r="F132" s="28" t="s">
        <v>959</v>
      </c>
      <c r="G132" s="332"/>
      <c r="H132" s="28" t="s">
        <v>960</v>
      </c>
    </row>
    <row r="133" spans="2:9" x14ac:dyDescent="0.3">
      <c r="B133" s="322"/>
      <c r="C133" s="315"/>
      <c r="D133" s="338"/>
      <c r="E133" s="28">
        <v>119</v>
      </c>
      <c r="F133" s="28" t="s">
        <v>959</v>
      </c>
      <c r="G133" s="332"/>
      <c r="H133" s="28" t="s">
        <v>958</v>
      </c>
    </row>
    <row r="134" spans="2:9" x14ac:dyDescent="0.3">
      <c r="B134" s="322"/>
      <c r="C134" s="315"/>
      <c r="D134" s="338"/>
      <c r="E134" s="28">
        <v>120</v>
      </c>
      <c r="F134" s="28" t="s">
        <v>949</v>
      </c>
      <c r="G134" s="332"/>
      <c r="H134" s="28" t="s">
        <v>957</v>
      </c>
    </row>
    <row r="135" spans="2:9" x14ac:dyDescent="0.3">
      <c r="B135" s="322"/>
      <c r="C135" s="315"/>
      <c r="D135" s="338"/>
      <c r="E135" s="28">
        <v>121</v>
      </c>
      <c r="F135" s="28" t="s">
        <v>949</v>
      </c>
      <c r="G135" s="332"/>
      <c r="H135" s="28" t="s">
        <v>956</v>
      </c>
    </row>
    <row r="136" spans="2:9" x14ac:dyDescent="0.3">
      <c r="B136" s="322"/>
      <c r="C136" s="315"/>
      <c r="D136" s="338"/>
      <c r="E136" s="28">
        <v>122</v>
      </c>
      <c r="F136" s="28" t="s">
        <v>949</v>
      </c>
      <c r="G136" s="332"/>
      <c r="H136" s="28" t="s">
        <v>955</v>
      </c>
    </row>
    <row r="137" spans="2:9" x14ac:dyDescent="0.3">
      <c r="B137" s="322"/>
      <c r="C137" s="315"/>
      <c r="D137" s="338"/>
      <c r="E137" s="28">
        <v>123</v>
      </c>
      <c r="F137" s="28" t="s">
        <v>949</v>
      </c>
      <c r="G137" s="332"/>
      <c r="H137" s="28" t="s">
        <v>954</v>
      </c>
    </row>
    <row r="138" spans="2:9" x14ac:dyDescent="0.3">
      <c r="B138" s="322"/>
      <c r="C138" s="315"/>
      <c r="D138" s="338"/>
      <c r="E138" s="28">
        <v>124</v>
      </c>
      <c r="F138" s="28" t="s">
        <v>949</v>
      </c>
      <c r="G138" s="332"/>
      <c r="H138" s="28" t="s">
        <v>953</v>
      </c>
    </row>
    <row r="139" spans="2:9" x14ac:dyDescent="0.3">
      <c r="B139" s="322"/>
      <c r="C139" s="315"/>
      <c r="D139" s="338"/>
      <c r="E139" s="28">
        <v>125</v>
      </c>
      <c r="F139" s="28" t="s">
        <v>949</v>
      </c>
      <c r="G139" s="332"/>
      <c r="H139" s="28" t="s">
        <v>952</v>
      </c>
    </row>
    <row r="140" spans="2:9" ht="20.25" x14ac:dyDescent="0.3">
      <c r="B140" s="322"/>
      <c r="C140" s="315"/>
      <c r="D140" s="338"/>
      <c r="E140" s="42">
        <v>126</v>
      </c>
      <c r="F140" s="42" t="s">
        <v>949</v>
      </c>
      <c r="G140" s="332"/>
      <c r="H140" s="31" t="s">
        <v>951</v>
      </c>
      <c r="I140" s="56" t="s">
        <v>950</v>
      </c>
    </row>
    <row r="141" spans="2:9" ht="20.25" x14ac:dyDescent="0.3">
      <c r="B141" s="322"/>
      <c r="C141" s="315"/>
      <c r="D141" s="344"/>
      <c r="E141" s="31">
        <v>127</v>
      </c>
      <c r="F141" s="31" t="s">
        <v>949</v>
      </c>
      <c r="G141" s="341"/>
      <c r="H141" s="31" t="s">
        <v>948</v>
      </c>
      <c r="I141" s="56" t="s">
        <v>947</v>
      </c>
    </row>
  </sheetData>
  <mergeCells count="8">
    <mergeCell ref="H8:H9"/>
    <mergeCell ref="B8:F8"/>
    <mergeCell ref="D76:D141"/>
    <mergeCell ref="G10:G75"/>
    <mergeCell ref="G76:G141"/>
    <mergeCell ref="C10:C141"/>
    <mergeCell ref="B10:B141"/>
    <mergeCell ref="D10:D75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O43"/>
  <sheetViews>
    <sheetView zoomScale="85" zoomScaleNormal="85" workbookViewId="0">
      <selection activeCell="G43" sqref="G43"/>
    </sheetView>
  </sheetViews>
  <sheetFormatPr defaultColWidth="8.875" defaultRowHeight="16.5" x14ac:dyDescent="0.3"/>
  <cols>
    <col min="1" max="3" width="8.875" style="25"/>
    <col min="4" max="4" width="9.125" style="25" customWidth="1"/>
    <col min="5" max="5" width="6.125" style="25" bestFit="1" customWidth="1"/>
    <col min="6" max="6" width="5.125" style="25" bestFit="1" customWidth="1"/>
    <col min="7" max="7" width="25.375" style="25" customWidth="1"/>
    <col min="8" max="8" width="8.875" style="26"/>
    <col min="9" max="11" width="8.875" style="25"/>
    <col min="12" max="12" width="6.125" style="25" bestFit="1" customWidth="1"/>
    <col min="13" max="13" width="5.625" style="25" customWidth="1"/>
    <col min="14" max="14" width="28" style="25" customWidth="1"/>
    <col min="15" max="16384" width="8.875" style="25"/>
  </cols>
  <sheetData>
    <row r="3" spans="3:15" x14ac:dyDescent="0.3">
      <c r="D3" s="332" t="s">
        <v>1003</v>
      </c>
      <c r="E3" s="332"/>
      <c r="F3" s="332"/>
      <c r="G3" s="332"/>
      <c r="K3" s="332" t="s">
        <v>1002</v>
      </c>
      <c r="L3" s="332"/>
      <c r="M3" s="332"/>
      <c r="N3" s="332"/>
    </row>
    <row r="5" spans="3:15" x14ac:dyDescent="0.3">
      <c r="C5" s="314" t="s">
        <v>275</v>
      </c>
      <c r="D5" s="314"/>
      <c r="E5" s="314"/>
      <c r="F5" s="314"/>
      <c r="G5" s="314" t="s">
        <v>276</v>
      </c>
      <c r="H5" s="314" t="s">
        <v>939</v>
      </c>
      <c r="J5" s="314" t="s">
        <v>275</v>
      </c>
      <c r="K5" s="314"/>
      <c r="L5" s="314"/>
      <c r="M5" s="314"/>
      <c r="N5" s="314" t="s">
        <v>276</v>
      </c>
      <c r="O5" s="314" t="s">
        <v>939</v>
      </c>
    </row>
    <row r="6" spans="3:15" x14ac:dyDescent="0.3">
      <c r="C6" s="28" t="s">
        <v>278</v>
      </c>
      <c r="D6" s="28" t="s">
        <v>997</v>
      </c>
      <c r="E6" s="28" t="s">
        <v>996</v>
      </c>
      <c r="F6" s="164" t="s">
        <v>1471</v>
      </c>
      <c r="G6" s="314"/>
      <c r="H6" s="314"/>
      <c r="J6" s="27" t="s">
        <v>278</v>
      </c>
      <c r="K6" s="28" t="s">
        <v>997</v>
      </c>
      <c r="L6" s="28" t="s">
        <v>996</v>
      </c>
      <c r="M6" s="164" t="s">
        <v>1471</v>
      </c>
      <c r="N6" s="314"/>
      <c r="O6" s="314"/>
    </row>
    <row r="7" spans="3:15" x14ac:dyDescent="0.3">
      <c r="C7" s="316">
        <v>0</v>
      </c>
      <c r="D7" s="316">
        <v>4</v>
      </c>
      <c r="E7" s="316">
        <v>0</v>
      </c>
      <c r="F7" s="28">
        <v>0</v>
      </c>
      <c r="G7" s="28" t="s">
        <v>1001</v>
      </c>
      <c r="H7" s="28">
        <v>8</v>
      </c>
      <c r="J7" s="315">
        <v>0</v>
      </c>
      <c r="K7" s="327">
        <v>5</v>
      </c>
      <c r="L7" s="327">
        <v>0</v>
      </c>
      <c r="M7" s="35">
        <v>0</v>
      </c>
      <c r="N7" s="28" t="s">
        <v>1000</v>
      </c>
      <c r="O7" s="28">
        <v>8</v>
      </c>
    </row>
    <row r="8" spans="3:15" x14ac:dyDescent="0.3">
      <c r="C8" s="316"/>
      <c r="D8" s="316"/>
      <c r="E8" s="316"/>
      <c r="F8" s="28">
        <v>1</v>
      </c>
      <c r="G8" s="28" t="s">
        <v>1001</v>
      </c>
      <c r="H8" s="28">
        <v>8</v>
      </c>
      <c r="J8" s="315"/>
      <c r="K8" s="316"/>
      <c r="L8" s="316"/>
      <c r="M8" s="28">
        <v>1</v>
      </c>
      <c r="N8" s="28" t="s">
        <v>1000</v>
      </c>
      <c r="O8" s="28">
        <v>8</v>
      </c>
    </row>
    <row r="9" spans="3:15" x14ac:dyDescent="0.3">
      <c r="C9" s="316"/>
      <c r="D9" s="316"/>
      <c r="E9" s="316"/>
      <c r="F9" s="28">
        <v>2</v>
      </c>
      <c r="G9" s="28" t="s">
        <v>1001</v>
      </c>
      <c r="H9" s="28">
        <v>8</v>
      </c>
      <c r="J9" s="315"/>
      <c r="K9" s="316"/>
      <c r="L9" s="316"/>
      <c r="M9" s="28">
        <v>2</v>
      </c>
      <c r="N9" s="28" t="s">
        <v>1000</v>
      </c>
      <c r="O9" s="28">
        <v>8</v>
      </c>
    </row>
    <row r="10" spans="3:15" x14ac:dyDescent="0.3">
      <c r="C10" s="316"/>
      <c r="D10" s="316"/>
      <c r="E10" s="316"/>
      <c r="F10" s="28">
        <v>3</v>
      </c>
      <c r="G10" s="28" t="s">
        <v>1001</v>
      </c>
      <c r="H10" s="28">
        <v>8</v>
      </c>
      <c r="J10" s="315"/>
      <c r="K10" s="316"/>
      <c r="L10" s="316"/>
      <c r="M10" s="28">
        <v>3</v>
      </c>
      <c r="N10" s="28" t="s">
        <v>1000</v>
      </c>
      <c r="O10" s="28">
        <v>8</v>
      </c>
    </row>
    <row r="11" spans="3:15" x14ac:dyDescent="0.3">
      <c r="C11" s="316"/>
      <c r="D11" s="316"/>
      <c r="E11" s="316"/>
      <c r="F11" s="28">
        <v>4</v>
      </c>
      <c r="G11" s="28" t="s">
        <v>1001</v>
      </c>
      <c r="H11" s="28">
        <v>8</v>
      </c>
      <c r="J11" s="315"/>
      <c r="K11" s="316"/>
      <c r="L11" s="316"/>
      <c r="M11" s="28">
        <v>4</v>
      </c>
      <c r="N11" s="28" t="s">
        <v>1000</v>
      </c>
      <c r="O11" s="28">
        <v>8</v>
      </c>
    </row>
    <row r="12" spans="3:15" x14ac:dyDescent="0.3">
      <c r="C12" s="316"/>
      <c r="D12" s="316"/>
      <c r="E12" s="316"/>
      <c r="F12" s="28">
        <v>5</v>
      </c>
      <c r="G12" s="28" t="s">
        <v>1001</v>
      </c>
      <c r="H12" s="28">
        <v>8</v>
      </c>
      <c r="J12" s="315"/>
      <c r="K12" s="316"/>
      <c r="L12" s="316"/>
      <c r="M12" s="28">
        <v>5</v>
      </c>
      <c r="N12" s="28" t="s">
        <v>1000</v>
      </c>
      <c r="O12" s="28">
        <v>8</v>
      </c>
    </row>
    <row r="13" spans="3:15" x14ac:dyDescent="0.3">
      <c r="C13" s="316"/>
      <c r="D13" s="316"/>
      <c r="E13" s="316"/>
      <c r="F13" s="28">
        <v>6</v>
      </c>
      <c r="G13" s="28" t="s">
        <v>1001</v>
      </c>
      <c r="H13" s="28">
        <v>8</v>
      </c>
      <c r="J13" s="315"/>
      <c r="K13" s="316"/>
      <c r="L13" s="316"/>
      <c r="M13" s="28">
        <v>6</v>
      </c>
      <c r="N13" s="28" t="s">
        <v>1000</v>
      </c>
      <c r="O13" s="28">
        <v>8</v>
      </c>
    </row>
    <row r="14" spans="3:15" x14ac:dyDescent="0.3">
      <c r="C14" s="316"/>
      <c r="D14" s="316"/>
      <c r="E14" s="316"/>
      <c r="F14" s="28">
        <v>7</v>
      </c>
      <c r="G14" s="28" t="s">
        <v>1001</v>
      </c>
      <c r="H14" s="28">
        <v>8</v>
      </c>
      <c r="J14" s="315"/>
      <c r="K14" s="316"/>
      <c r="L14" s="316"/>
      <c r="M14" s="28">
        <v>7</v>
      </c>
      <c r="N14" s="28" t="s">
        <v>1000</v>
      </c>
      <c r="O14" s="28">
        <v>8</v>
      </c>
    </row>
    <row r="15" spans="3:15" x14ac:dyDescent="0.3">
      <c r="C15" s="316"/>
      <c r="D15" s="316"/>
      <c r="E15" s="316"/>
      <c r="F15" s="28">
        <v>8</v>
      </c>
      <c r="G15" s="155" t="s">
        <v>992</v>
      </c>
      <c r="H15" s="28">
        <v>8</v>
      </c>
      <c r="J15" s="315"/>
      <c r="K15" s="316"/>
      <c r="L15" s="316"/>
      <c r="M15" s="28">
        <v>8</v>
      </c>
      <c r="N15" s="155" t="s">
        <v>999</v>
      </c>
      <c r="O15" s="28">
        <v>8</v>
      </c>
    </row>
    <row r="16" spans="3:15" x14ac:dyDescent="0.3">
      <c r="C16" s="316"/>
      <c r="D16" s="316"/>
      <c r="E16" s="316"/>
      <c r="F16" s="28">
        <v>9</v>
      </c>
      <c r="G16" s="155" t="s">
        <v>992</v>
      </c>
      <c r="H16" s="28">
        <v>8</v>
      </c>
      <c r="J16" s="315"/>
      <c r="K16" s="316"/>
      <c r="L16" s="316"/>
      <c r="M16" s="28">
        <v>9</v>
      </c>
      <c r="N16" s="155" t="s">
        <v>999</v>
      </c>
      <c r="O16" s="28">
        <v>8</v>
      </c>
    </row>
    <row r="17" spans="3:15" x14ac:dyDescent="0.3">
      <c r="C17" s="316"/>
      <c r="D17" s="316"/>
      <c r="E17" s="316"/>
      <c r="F17" s="28">
        <v>10</v>
      </c>
      <c r="G17" s="155" t="s">
        <v>991</v>
      </c>
      <c r="H17" s="28">
        <v>8</v>
      </c>
      <c r="J17" s="315"/>
      <c r="K17" s="316"/>
      <c r="L17" s="316"/>
      <c r="M17" s="28">
        <v>10</v>
      </c>
      <c r="N17" s="155" t="s">
        <v>991</v>
      </c>
      <c r="O17" s="28">
        <v>8</v>
      </c>
    </row>
    <row r="18" spans="3:15" x14ac:dyDescent="0.3">
      <c r="C18" s="316"/>
      <c r="D18" s="316"/>
      <c r="E18" s="316"/>
      <c r="F18" s="28">
        <v>11</v>
      </c>
      <c r="G18" s="155" t="s">
        <v>991</v>
      </c>
      <c r="H18" s="28">
        <v>8</v>
      </c>
      <c r="J18" s="315"/>
      <c r="K18" s="316"/>
      <c r="L18" s="316"/>
      <c r="M18" s="28">
        <v>11</v>
      </c>
      <c r="N18" s="155" t="s">
        <v>991</v>
      </c>
      <c r="O18" s="28">
        <v>8</v>
      </c>
    </row>
    <row r="19" spans="3:15" x14ac:dyDescent="0.3">
      <c r="C19" s="316"/>
      <c r="D19" s="316"/>
      <c r="E19" s="316"/>
      <c r="F19" s="28">
        <v>12</v>
      </c>
      <c r="G19" s="155" t="s">
        <v>991</v>
      </c>
      <c r="H19" s="28">
        <v>8</v>
      </c>
      <c r="J19" s="315"/>
      <c r="K19" s="316"/>
      <c r="L19" s="316"/>
      <c r="M19" s="28">
        <v>12</v>
      </c>
      <c r="N19" s="155" t="s">
        <v>991</v>
      </c>
      <c r="O19" s="28">
        <v>8</v>
      </c>
    </row>
    <row r="20" spans="3:15" x14ac:dyDescent="0.3">
      <c r="C20" s="316"/>
      <c r="D20" s="316"/>
      <c r="E20" s="316"/>
      <c r="F20" s="28">
        <v>13</v>
      </c>
      <c r="G20" s="155" t="s">
        <v>991</v>
      </c>
      <c r="H20" s="28">
        <v>8</v>
      </c>
      <c r="J20" s="315"/>
      <c r="K20" s="316"/>
      <c r="L20" s="316"/>
      <c r="M20" s="28">
        <v>13</v>
      </c>
      <c r="N20" s="155" t="s">
        <v>991</v>
      </c>
      <c r="O20" s="28">
        <v>8</v>
      </c>
    </row>
    <row r="21" spans="3:15" x14ac:dyDescent="0.3">
      <c r="C21" s="316"/>
      <c r="D21" s="316"/>
      <c r="E21" s="316"/>
      <c r="F21" s="28">
        <v>14</v>
      </c>
      <c r="G21" s="155" t="s">
        <v>991</v>
      </c>
      <c r="H21" s="28">
        <v>8</v>
      </c>
      <c r="J21" s="315"/>
      <c r="K21" s="316"/>
      <c r="L21" s="316"/>
      <c r="M21" s="28">
        <v>14</v>
      </c>
      <c r="N21" s="155" t="s">
        <v>991</v>
      </c>
      <c r="O21" s="28">
        <v>8</v>
      </c>
    </row>
    <row r="22" spans="3:15" x14ac:dyDescent="0.3">
      <c r="C22" s="316"/>
      <c r="D22" s="316"/>
      <c r="E22" s="316"/>
      <c r="F22" s="28">
        <v>15</v>
      </c>
      <c r="G22" s="155" t="s">
        <v>990</v>
      </c>
      <c r="H22" s="28">
        <v>8</v>
      </c>
      <c r="J22" s="315"/>
      <c r="K22" s="316"/>
      <c r="L22" s="316"/>
      <c r="M22" s="28">
        <v>15</v>
      </c>
      <c r="N22" s="155" t="s">
        <v>990</v>
      </c>
      <c r="O22" s="28">
        <v>8</v>
      </c>
    </row>
    <row r="23" spans="3:15" x14ac:dyDescent="0.3">
      <c r="F23" s="26"/>
    </row>
    <row r="24" spans="3:15" x14ac:dyDescent="0.3">
      <c r="F24" s="26"/>
    </row>
    <row r="25" spans="3:15" x14ac:dyDescent="0.3">
      <c r="C25" s="57" t="s">
        <v>998</v>
      </c>
      <c r="D25" s="57">
        <v>11</v>
      </c>
      <c r="F25" s="26"/>
    </row>
    <row r="26" spans="3:15" x14ac:dyDescent="0.3">
      <c r="C26" s="314" t="s">
        <v>275</v>
      </c>
      <c r="D26" s="314"/>
      <c r="E26" s="314"/>
      <c r="F26" s="314"/>
      <c r="G26" s="314" t="s">
        <v>276</v>
      </c>
      <c r="H26" s="314" t="s">
        <v>939</v>
      </c>
    </row>
    <row r="27" spans="3:15" x14ac:dyDescent="0.3">
      <c r="C27" s="27" t="s">
        <v>278</v>
      </c>
      <c r="D27" s="28" t="s">
        <v>997</v>
      </c>
      <c r="E27" s="28" t="s">
        <v>996</v>
      </c>
      <c r="F27" s="164" t="s">
        <v>1471</v>
      </c>
      <c r="G27" s="314"/>
      <c r="H27" s="314"/>
    </row>
    <row r="28" spans="3:15" x14ac:dyDescent="0.3">
      <c r="C28" s="316">
        <v>0</v>
      </c>
      <c r="D28" s="316">
        <v>4</v>
      </c>
      <c r="E28" s="316">
        <v>0</v>
      </c>
      <c r="F28" s="28">
        <v>0</v>
      </c>
      <c r="G28" s="28" t="s">
        <v>994</v>
      </c>
      <c r="H28" s="28">
        <v>8</v>
      </c>
    </row>
    <row r="29" spans="3:15" x14ac:dyDescent="0.3">
      <c r="C29" s="316"/>
      <c r="D29" s="316"/>
      <c r="E29" s="316"/>
      <c r="F29" s="28">
        <v>1</v>
      </c>
      <c r="G29" s="155" t="s">
        <v>993</v>
      </c>
      <c r="H29" s="28">
        <v>8</v>
      </c>
    </row>
    <row r="30" spans="3:15" x14ac:dyDescent="0.3">
      <c r="C30" s="316"/>
      <c r="D30" s="316"/>
      <c r="E30" s="316"/>
      <c r="F30" s="28">
        <v>2</v>
      </c>
      <c r="G30" s="155" t="s">
        <v>993</v>
      </c>
      <c r="H30" s="28">
        <v>8</v>
      </c>
    </row>
    <row r="31" spans="3:15" x14ac:dyDescent="0.3">
      <c r="C31" s="316"/>
      <c r="D31" s="316"/>
      <c r="E31" s="316"/>
      <c r="F31" s="28">
        <v>3</v>
      </c>
      <c r="G31" s="155" t="s">
        <v>993</v>
      </c>
      <c r="H31" s="28">
        <v>8</v>
      </c>
    </row>
    <row r="32" spans="3:15" x14ac:dyDescent="0.3">
      <c r="C32" s="316"/>
      <c r="D32" s="316"/>
      <c r="E32" s="316"/>
      <c r="F32" s="28">
        <v>4</v>
      </c>
      <c r="G32" s="28">
        <v>0</v>
      </c>
      <c r="H32" s="28">
        <v>8</v>
      </c>
    </row>
    <row r="33" spans="3:8" x14ac:dyDescent="0.3">
      <c r="C33" s="316"/>
      <c r="D33" s="316"/>
      <c r="E33" s="316"/>
      <c r="F33" s="28">
        <v>5</v>
      </c>
      <c r="G33" s="28">
        <v>0</v>
      </c>
      <c r="H33" s="28">
        <v>8</v>
      </c>
    </row>
    <row r="34" spans="3:8" x14ac:dyDescent="0.3">
      <c r="C34" s="316"/>
      <c r="D34" s="316"/>
      <c r="E34" s="316"/>
      <c r="F34" s="28">
        <v>6</v>
      </c>
      <c r="G34" s="28">
        <v>0</v>
      </c>
      <c r="H34" s="28">
        <v>8</v>
      </c>
    </row>
    <row r="35" spans="3:8" x14ac:dyDescent="0.3">
      <c r="C35" s="316"/>
      <c r="D35" s="316"/>
      <c r="E35" s="316"/>
      <c r="F35" s="28">
        <v>7</v>
      </c>
      <c r="G35" s="28">
        <v>0</v>
      </c>
      <c r="H35" s="28">
        <v>8</v>
      </c>
    </row>
    <row r="36" spans="3:8" x14ac:dyDescent="0.3">
      <c r="C36" s="316"/>
      <c r="D36" s="316"/>
      <c r="E36" s="316"/>
      <c r="F36" s="28">
        <v>8</v>
      </c>
      <c r="G36" s="155" t="s">
        <v>992</v>
      </c>
      <c r="H36" s="28">
        <v>8</v>
      </c>
    </row>
    <row r="37" spans="3:8" x14ac:dyDescent="0.3">
      <c r="C37" s="316"/>
      <c r="D37" s="316"/>
      <c r="E37" s="316"/>
      <c r="F37" s="28">
        <v>9</v>
      </c>
      <c r="G37" s="155" t="s">
        <v>992</v>
      </c>
      <c r="H37" s="28">
        <v>8</v>
      </c>
    </row>
    <row r="38" spans="3:8" x14ac:dyDescent="0.3">
      <c r="C38" s="316"/>
      <c r="D38" s="316"/>
      <c r="E38" s="316"/>
      <c r="F38" s="28">
        <v>10</v>
      </c>
      <c r="G38" s="155" t="s">
        <v>991</v>
      </c>
      <c r="H38" s="28">
        <v>8</v>
      </c>
    </row>
    <row r="39" spans="3:8" x14ac:dyDescent="0.3">
      <c r="C39" s="316"/>
      <c r="D39" s="316"/>
      <c r="E39" s="316"/>
      <c r="F39" s="28">
        <v>11</v>
      </c>
      <c r="G39" s="155" t="s">
        <v>991</v>
      </c>
      <c r="H39" s="28">
        <v>8</v>
      </c>
    </row>
    <row r="40" spans="3:8" x14ac:dyDescent="0.3">
      <c r="C40" s="316"/>
      <c r="D40" s="316"/>
      <c r="E40" s="316"/>
      <c r="F40" s="28">
        <v>12</v>
      </c>
      <c r="G40" s="155" t="s">
        <v>991</v>
      </c>
      <c r="H40" s="28">
        <v>8</v>
      </c>
    </row>
    <row r="41" spans="3:8" x14ac:dyDescent="0.3">
      <c r="C41" s="316"/>
      <c r="D41" s="316"/>
      <c r="E41" s="316"/>
      <c r="F41" s="28">
        <v>13</v>
      </c>
      <c r="G41" s="155" t="s">
        <v>991</v>
      </c>
      <c r="H41" s="28">
        <v>8</v>
      </c>
    </row>
    <row r="42" spans="3:8" x14ac:dyDescent="0.3">
      <c r="C42" s="316"/>
      <c r="D42" s="316"/>
      <c r="E42" s="316"/>
      <c r="F42" s="28">
        <v>14</v>
      </c>
      <c r="G42" s="155" t="s">
        <v>991</v>
      </c>
      <c r="H42" s="28">
        <v>8</v>
      </c>
    </row>
    <row r="43" spans="3:8" x14ac:dyDescent="0.3">
      <c r="C43" s="316"/>
      <c r="D43" s="316"/>
      <c r="E43" s="316"/>
      <c r="F43" s="28">
        <v>15</v>
      </c>
      <c r="G43" s="155" t="s">
        <v>990</v>
      </c>
      <c r="H43" s="28">
        <v>8</v>
      </c>
    </row>
  </sheetData>
  <mergeCells count="20">
    <mergeCell ref="D3:G3"/>
    <mergeCell ref="K3:N3"/>
    <mergeCell ref="H5:H6"/>
    <mergeCell ref="O5:O6"/>
    <mergeCell ref="D7:D22"/>
    <mergeCell ref="E7:E22"/>
    <mergeCell ref="G5:G6"/>
    <mergeCell ref="N5:N6"/>
    <mergeCell ref="K7:K22"/>
    <mergeCell ref="L7:L22"/>
    <mergeCell ref="D28:D43"/>
    <mergeCell ref="E28:E43"/>
    <mergeCell ref="C26:F26"/>
    <mergeCell ref="C28:C43"/>
    <mergeCell ref="J5:M5"/>
    <mergeCell ref="C5:F5"/>
    <mergeCell ref="C7:C22"/>
    <mergeCell ref="J7:J22"/>
    <mergeCell ref="G26:G27"/>
    <mergeCell ref="H26:H27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3"/>
  <sheetViews>
    <sheetView zoomScaleNormal="100" workbookViewId="0">
      <selection activeCell="O31" sqref="O31"/>
    </sheetView>
  </sheetViews>
  <sheetFormatPr defaultColWidth="8.875" defaultRowHeight="16.5" x14ac:dyDescent="0.3"/>
  <cols>
    <col min="1" max="2" width="8.875" style="25"/>
    <col min="3" max="3" width="7" style="25" customWidth="1"/>
    <col min="4" max="4" width="15.375" style="25" customWidth="1"/>
    <col min="5" max="7" width="8.875" style="25"/>
    <col min="8" max="8" width="12.375" style="25" customWidth="1"/>
    <col min="9" max="9" width="7.375" style="25" customWidth="1"/>
    <col min="10" max="10" width="15.75" style="25" bestFit="1" customWidth="1"/>
    <col min="11" max="16384" width="8.875" style="25"/>
  </cols>
  <sheetData>
    <row r="1" spans="1:10" x14ac:dyDescent="0.3">
      <c r="A1" s="25" t="s">
        <v>1074</v>
      </c>
      <c r="H1" s="26"/>
    </row>
    <row r="2" spans="1:10" x14ac:dyDescent="0.3">
      <c r="H2" s="26"/>
    </row>
    <row r="3" spans="1:10" x14ac:dyDescent="0.3">
      <c r="H3" s="26"/>
    </row>
    <row r="4" spans="1:10" x14ac:dyDescent="0.3">
      <c r="H4" s="26"/>
    </row>
    <row r="5" spans="1:10" x14ac:dyDescent="0.3">
      <c r="H5" s="26"/>
    </row>
    <row r="6" spans="1:10" x14ac:dyDescent="0.3">
      <c r="D6" s="66" t="s">
        <v>275</v>
      </c>
      <c r="E6" s="50"/>
      <c r="F6" s="345" t="s">
        <v>276</v>
      </c>
      <c r="G6" s="346"/>
      <c r="H6" s="52" t="s">
        <v>1073</v>
      </c>
      <c r="J6" s="180" t="s">
        <v>1533</v>
      </c>
    </row>
    <row r="7" spans="1:10" x14ac:dyDescent="0.3">
      <c r="B7" s="27" t="s">
        <v>278</v>
      </c>
      <c r="C7" s="167" t="s">
        <v>1509</v>
      </c>
      <c r="D7" s="164" t="s">
        <v>1510</v>
      </c>
      <c r="E7" s="28" t="s">
        <v>1072</v>
      </c>
      <c r="F7" s="168" t="s">
        <v>1507</v>
      </c>
      <c r="G7" s="169" t="s">
        <v>1508</v>
      </c>
      <c r="H7" s="35"/>
    </row>
    <row r="8" spans="1:10" ht="15" customHeight="1" x14ac:dyDescent="0.3">
      <c r="B8" s="325">
        <v>1</v>
      </c>
      <c r="C8" s="325">
        <v>1</v>
      </c>
      <c r="D8" s="325">
        <v>0</v>
      </c>
      <c r="E8" s="28">
        <v>0</v>
      </c>
      <c r="F8" s="165">
        <v>4</v>
      </c>
      <c r="G8" s="28">
        <v>4</v>
      </c>
      <c r="H8" s="165" t="s">
        <v>848</v>
      </c>
    </row>
    <row r="9" spans="1:10" ht="15" customHeight="1" x14ac:dyDescent="0.3">
      <c r="B9" s="326"/>
      <c r="C9" s="326"/>
      <c r="D9" s="326"/>
      <c r="E9" s="28">
        <v>1</v>
      </c>
      <c r="F9" s="165">
        <v>4</v>
      </c>
      <c r="G9" s="165">
        <v>4</v>
      </c>
      <c r="H9" s="165" t="s">
        <v>839</v>
      </c>
    </row>
    <row r="10" spans="1:10" ht="15" customHeight="1" x14ac:dyDescent="0.3">
      <c r="B10" s="326"/>
      <c r="C10" s="326"/>
      <c r="D10" s="326"/>
      <c r="E10" s="28">
        <v>2</v>
      </c>
      <c r="F10" s="165">
        <v>4</v>
      </c>
      <c r="G10" s="165">
        <v>4</v>
      </c>
      <c r="H10" s="165" t="s">
        <v>828</v>
      </c>
    </row>
    <row r="11" spans="1:10" ht="15" customHeight="1" x14ac:dyDescent="0.3">
      <c r="B11" s="326"/>
      <c r="C11" s="326"/>
      <c r="D11" s="326"/>
      <c r="E11" s="28">
        <v>3</v>
      </c>
      <c r="F11" s="165">
        <v>4</v>
      </c>
      <c r="G11" s="165">
        <v>4</v>
      </c>
      <c r="H11" s="165" t="s">
        <v>819</v>
      </c>
      <c r="J11" s="26"/>
    </row>
    <row r="12" spans="1:10" ht="15" customHeight="1" x14ac:dyDescent="0.3">
      <c r="B12" s="326"/>
      <c r="C12" s="326"/>
      <c r="D12" s="326"/>
      <c r="E12" s="28">
        <v>4</v>
      </c>
      <c r="F12" s="165">
        <v>4</v>
      </c>
      <c r="G12" s="165">
        <v>4</v>
      </c>
      <c r="H12" s="165" t="s">
        <v>813</v>
      </c>
      <c r="J12" s="26"/>
    </row>
    <row r="13" spans="1:10" ht="15" customHeight="1" x14ac:dyDescent="0.3">
      <c r="B13" s="326"/>
      <c r="C13" s="326"/>
      <c r="D13" s="326"/>
      <c r="E13" s="28">
        <v>5</v>
      </c>
      <c r="F13" s="165">
        <v>4</v>
      </c>
      <c r="G13" s="165">
        <v>4</v>
      </c>
      <c r="H13" s="165" t="s">
        <v>808</v>
      </c>
      <c r="J13" s="26"/>
    </row>
    <row r="14" spans="1:10" ht="15" customHeight="1" x14ac:dyDescent="0.3">
      <c r="B14" s="326"/>
      <c r="C14" s="326"/>
      <c r="D14" s="326"/>
      <c r="E14" s="28">
        <v>6</v>
      </c>
      <c r="F14" s="165">
        <v>4</v>
      </c>
      <c r="G14" s="165">
        <v>4</v>
      </c>
      <c r="H14" s="165" t="s">
        <v>802</v>
      </c>
      <c r="J14" s="26"/>
    </row>
    <row r="15" spans="1:10" ht="15" customHeight="1" x14ac:dyDescent="0.3">
      <c r="B15" s="326"/>
      <c r="C15" s="326"/>
      <c r="D15" s="326"/>
      <c r="E15" s="28">
        <v>7</v>
      </c>
      <c r="F15" s="165">
        <v>4</v>
      </c>
      <c r="G15" s="165">
        <v>4</v>
      </c>
      <c r="H15" s="165" t="s">
        <v>795</v>
      </c>
      <c r="J15" s="26"/>
    </row>
    <row r="16" spans="1:10" ht="15" customHeight="1" x14ac:dyDescent="0.3">
      <c r="B16" s="326"/>
      <c r="C16" s="326"/>
      <c r="D16" s="326"/>
      <c r="E16" s="28">
        <v>8</v>
      </c>
      <c r="F16" s="165">
        <v>4</v>
      </c>
      <c r="G16" s="165">
        <v>4</v>
      </c>
      <c r="H16" s="165" t="s">
        <v>788</v>
      </c>
      <c r="J16" s="26"/>
    </row>
    <row r="17" spans="2:10" ht="15" customHeight="1" x14ac:dyDescent="0.3">
      <c r="B17" s="326"/>
      <c r="C17" s="326"/>
      <c r="D17" s="326"/>
      <c r="E17" s="28">
        <v>9</v>
      </c>
      <c r="F17" s="165">
        <v>4</v>
      </c>
      <c r="G17" s="165">
        <v>4</v>
      </c>
      <c r="H17" s="165" t="s">
        <v>781</v>
      </c>
      <c r="J17" s="26"/>
    </row>
    <row r="18" spans="2:10" ht="15" customHeight="1" x14ac:dyDescent="0.3">
      <c r="B18" s="326"/>
      <c r="C18" s="326"/>
      <c r="D18" s="326"/>
      <c r="E18" s="28">
        <v>10</v>
      </c>
      <c r="F18" s="165">
        <v>4</v>
      </c>
      <c r="G18" s="165">
        <v>4</v>
      </c>
      <c r="H18" s="165" t="s">
        <v>775</v>
      </c>
      <c r="J18" s="26"/>
    </row>
    <row r="19" spans="2:10" ht="15" customHeight="1" x14ac:dyDescent="0.3">
      <c r="B19" s="326"/>
      <c r="C19" s="326"/>
      <c r="D19" s="326"/>
      <c r="E19" s="28">
        <v>11</v>
      </c>
      <c r="F19" s="165">
        <v>4</v>
      </c>
      <c r="G19" s="165">
        <v>4</v>
      </c>
      <c r="H19" s="165" t="s">
        <v>770</v>
      </c>
      <c r="J19" s="26"/>
    </row>
    <row r="20" spans="2:10" ht="15" customHeight="1" x14ac:dyDescent="0.3">
      <c r="B20" s="326"/>
      <c r="C20" s="326"/>
      <c r="D20" s="326"/>
      <c r="E20" s="28">
        <v>12</v>
      </c>
      <c r="F20" s="165">
        <v>4</v>
      </c>
      <c r="G20" s="165">
        <v>4</v>
      </c>
      <c r="H20" s="165" t="s">
        <v>765</v>
      </c>
      <c r="J20" s="26"/>
    </row>
    <row r="21" spans="2:10" ht="15" customHeight="1" x14ac:dyDescent="0.3">
      <c r="B21" s="326"/>
      <c r="C21" s="326"/>
      <c r="D21" s="326"/>
      <c r="E21" s="28">
        <v>13</v>
      </c>
      <c r="F21" s="165">
        <v>4</v>
      </c>
      <c r="G21" s="165">
        <v>4</v>
      </c>
      <c r="H21" s="165" t="s">
        <v>760</v>
      </c>
      <c r="J21" s="26"/>
    </row>
    <row r="22" spans="2:10" ht="15" customHeight="1" x14ac:dyDescent="0.3">
      <c r="B22" s="326"/>
      <c r="C22" s="326"/>
      <c r="D22" s="326"/>
      <c r="E22" s="28">
        <v>14</v>
      </c>
      <c r="F22" s="165">
        <v>4</v>
      </c>
      <c r="G22" s="165">
        <v>4</v>
      </c>
      <c r="H22" s="165" t="s">
        <v>755</v>
      </c>
      <c r="J22" s="26"/>
    </row>
    <row r="23" spans="2:10" ht="15" customHeight="1" x14ac:dyDescent="0.3">
      <c r="B23" s="326"/>
      <c r="C23" s="326"/>
      <c r="D23" s="326"/>
      <c r="E23" s="28">
        <v>15</v>
      </c>
      <c r="F23" s="165">
        <v>4</v>
      </c>
      <c r="G23" s="165">
        <v>4</v>
      </c>
      <c r="H23" s="165" t="s">
        <v>752</v>
      </c>
      <c r="J23" s="26"/>
    </row>
    <row r="24" spans="2:10" ht="15" customHeight="1" x14ac:dyDescent="0.3">
      <c r="B24" s="326"/>
      <c r="C24" s="326"/>
      <c r="D24" s="326"/>
      <c r="E24" s="28">
        <v>16</v>
      </c>
      <c r="F24" s="165">
        <v>4</v>
      </c>
      <c r="G24" s="165">
        <v>4</v>
      </c>
      <c r="H24" s="165" t="s">
        <v>747</v>
      </c>
      <c r="J24" s="26"/>
    </row>
    <row r="25" spans="2:10" ht="15" customHeight="1" x14ac:dyDescent="0.3">
      <c r="B25" s="326"/>
      <c r="C25" s="326"/>
      <c r="D25" s="326"/>
      <c r="E25" s="28">
        <v>17</v>
      </c>
      <c r="F25" s="165">
        <v>4</v>
      </c>
      <c r="G25" s="165">
        <v>4</v>
      </c>
      <c r="H25" s="165" t="s">
        <v>742</v>
      </c>
      <c r="J25" s="26"/>
    </row>
    <row r="26" spans="2:10" ht="15" customHeight="1" x14ac:dyDescent="0.3">
      <c r="B26" s="326"/>
      <c r="C26" s="326"/>
      <c r="D26" s="326"/>
      <c r="E26" s="28">
        <v>18</v>
      </c>
      <c r="F26" s="165">
        <v>4</v>
      </c>
      <c r="G26" s="165">
        <v>4</v>
      </c>
      <c r="H26" s="165" t="s">
        <v>737</v>
      </c>
      <c r="J26" s="26"/>
    </row>
    <row r="27" spans="2:10" ht="15" customHeight="1" x14ac:dyDescent="0.3">
      <c r="B27" s="326"/>
      <c r="C27" s="326"/>
      <c r="D27" s="326"/>
      <c r="E27" s="28">
        <v>19</v>
      </c>
      <c r="F27" s="165">
        <v>4</v>
      </c>
      <c r="G27" s="165">
        <v>4</v>
      </c>
      <c r="H27" s="165" t="s">
        <v>730</v>
      </c>
      <c r="J27" s="26"/>
    </row>
    <row r="28" spans="2:10" ht="15" customHeight="1" x14ac:dyDescent="0.3">
      <c r="B28" s="326"/>
      <c r="C28" s="326"/>
      <c r="D28" s="326"/>
      <c r="E28" s="28">
        <v>20</v>
      </c>
      <c r="F28" s="165">
        <v>4</v>
      </c>
      <c r="G28" s="165">
        <v>4</v>
      </c>
      <c r="H28" s="165" t="s">
        <v>725</v>
      </c>
      <c r="J28" s="26"/>
    </row>
    <row r="29" spans="2:10" ht="15" customHeight="1" x14ac:dyDescent="0.3">
      <c r="B29" s="326"/>
      <c r="C29" s="326"/>
      <c r="D29" s="326"/>
      <c r="E29" s="28">
        <v>21</v>
      </c>
      <c r="F29" s="165">
        <v>4</v>
      </c>
      <c r="G29" s="165">
        <v>4</v>
      </c>
      <c r="H29" s="165" t="s">
        <v>720</v>
      </c>
      <c r="J29" s="26"/>
    </row>
    <row r="30" spans="2:10" ht="15" customHeight="1" x14ac:dyDescent="0.3">
      <c r="B30" s="326"/>
      <c r="C30" s="326"/>
      <c r="D30" s="326"/>
      <c r="E30" s="28">
        <v>22</v>
      </c>
      <c r="F30" s="165">
        <v>4</v>
      </c>
      <c r="G30" s="165">
        <v>4</v>
      </c>
      <c r="H30" s="165" t="s">
        <v>715</v>
      </c>
      <c r="J30" s="26"/>
    </row>
    <row r="31" spans="2:10" ht="15" customHeight="1" x14ac:dyDescent="0.3">
      <c r="B31" s="326"/>
      <c r="C31" s="326"/>
      <c r="D31" s="326"/>
      <c r="E31" s="28">
        <v>23</v>
      </c>
      <c r="F31" s="165">
        <v>4</v>
      </c>
      <c r="G31" s="165">
        <v>4</v>
      </c>
      <c r="H31" s="165" t="s">
        <v>710</v>
      </c>
      <c r="J31" s="26"/>
    </row>
    <row r="32" spans="2:10" ht="15" customHeight="1" x14ac:dyDescent="0.3">
      <c r="B32" s="326"/>
      <c r="C32" s="326"/>
      <c r="D32" s="326"/>
      <c r="E32" s="28">
        <v>24</v>
      </c>
      <c r="F32" s="165">
        <v>4</v>
      </c>
      <c r="G32" s="165">
        <v>4</v>
      </c>
      <c r="H32" s="165" t="s">
        <v>706</v>
      </c>
      <c r="J32" s="26"/>
    </row>
    <row r="33" spans="2:10" ht="15" customHeight="1" x14ac:dyDescent="0.3">
      <c r="B33" s="326"/>
      <c r="C33" s="326"/>
      <c r="D33" s="326"/>
      <c r="E33" s="28">
        <v>25</v>
      </c>
      <c r="F33" s="165">
        <v>4</v>
      </c>
      <c r="G33" s="165">
        <v>4</v>
      </c>
      <c r="H33" s="165" t="s">
        <v>702</v>
      </c>
      <c r="J33" s="26"/>
    </row>
    <row r="34" spans="2:10" ht="15" customHeight="1" x14ac:dyDescent="0.3">
      <c r="B34" s="326"/>
      <c r="C34" s="326"/>
      <c r="D34" s="326"/>
      <c r="E34" s="28">
        <v>26</v>
      </c>
      <c r="F34" s="165">
        <v>4</v>
      </c>
      <c r="G34" s="165">
        <v>4</v>
      </c>
      <c r="H34" s="165" t="s">
        <v>697</v>
      </c>
      <c r="J34" s="26"/>
    </row>
    <row r="35" spans="2:10" ht="15" customHeight="1" x14ac:dyDescent="0.3">
      <c r="B35" s="326"/>
      <c r="C35" s="326"/>
      <c r="D35" s="326"/>
      <c r="E35" s="28">
        <v>27</v>
      </c>
      <c r="F35" s="165">
        <v>4</v>
      </c>
      <c r="G35" s="165">
        <v>4</v>
      </c>
      <c r="H35" s="165" t="s">
        <v>691</v>
      </c>
    </row>
    <row r="36" spans="2:10" ht="15" customHeight="1" x14ac:dyDescent="0.3">
      <c r="B36" s="326"/>
      <c r="C36" s="326"/>
      <c r="D36" s="326"/>
      <c r="E36" s="28">
        <v>28</v>
      </c>
      <c r="F36" s="165">
        <v>4</v>
      </c>
      <c r="G36" s="165">
        <v>4</v>
      </c>
      <c r="H36" s="165" t="s">
        <v>684</v>
      </c>
    </row>
    <row r="37" spans="2:10" ht="15" customHeight="1" x14ac:dyDescent="0.3">
      <c r="B37" s="326"/>
      <c r="C37" s="326"/>
      <c r="D37" s="326"/>
      <c r="E37" s="28">
        <v>29</v>
      </c>
      <c r="F37" s="165">
        <v>4</v>
      </c>
      <c r="G37" s="165">
        <v>4</v>
      </c>
      <c r="H37" s="165" t="s">
        <v>678</v>
      </c>
    </row>
    <row r="38" spans="2:10" ht="15" customHeight="1" x14ac:dyDescent="0.3">
      <c r="B38" s="326"/>
      <c r="C38" s="326"/>
      <c r="D38" s="326"/>
      <c r="E38" s="28">
        <v>30</v>
      </c>
      <c r="F38" s="165">
        <v>4</v>
      </c>
      <c r="G38" s="165">
        <v>4</v>
      </c>
      <c r="H38" s="165" t="s">
        <v>671</v>
      </c>
    </row>
    <row r="39" spans="2:10" ht="15" customHeight="1" x14ac:dyDescent="0.3">
      <c r="B39" s="326"/>
      <c r="C39" s="326"/>
      <c r="D39" s="326"/>
      <c r="E39" s="28">
        <v>31</v>
      </c>
      <c r="F39" s="165">
        <v>4</v>
      </c>
      <c r="G39" s="165">
        <v>4</v>
      </c>
      <c r="H39" s="165" t="s">
        <v>664</v>
      </c>
    </row>
    <row r="40" spans="2:10" ht="15" customHeight="1" x14ac:dyDescent="0.3">
      <c r="B40" s="326"/>
      <c r="C40" s="326"/>
      <c r="D40" s="326"/>
      <c r="E40" s="28">
        <v>32</v>
      </c>
      <c r="F40" s="165">
        <v>4</v>
      </c>
      <c r="G40" s="165">
        <v>4</v>
      </c>
      <c r="H40" s="165" t="s">
        <v>660</v>
      </c>
    </row>
    <row r="41" spans="2:10" ht="15" customHeight="1" x14ac:dyDescent="0.3">
      <c r="B41" s="326"/>
      <c r="C41" s="326"/>
      <c r="D41" s="326"/>
      <c r="E41" s="28">
        <v>33</v>
      </c>
      <c r="F41" s="165">
        <v>4</v>
      </c>
      <c r="G41" s="165">
        <v>4</v>
      </c>
      <c r="H41" s="165" t="s">
        <v>656</v>
      </c>
    </row>
    <row r="42" spans="2:10" ht="15" customHeight="1" x14ac:dyDescent="0.3">
      <c r="B42" s="326"/>
      <c r="C42" s="326"/>
      <c r="D42" s="326"/>
      <c r="E42" s="28">
        <v>34</v>
      </c>
      <c r="F42" s="165">
        <v>4</v>
      </c>
      <c r="G42" s="165">
        <v>4</v>
      </c>
      <c r="H42" s="165" t="s">
        <v>653</v>
      </c>
    </row>
    <row r="43" spans="2:10" ht="15" customHeight="1" x14ac:dyDescent="0.3">
      <c r="B43" s="326"/>
      <c r="C43" s="326"/>
      <c r="D43" s="326"/>
      <c r="E43" s="28">
        <v>35</v>
      </c>
      <c r="F43" s="165">
        <v>4</v>
      </c>
      <c r="G43" s="165">
        <v>4</v>
      </c>
      <c r="H43" s="165" t="s">
        <v>650</v>
      </c>
      <c r="J43" s="26"/>
    </row>
    <row r="44" spans="2:10" ht="15" customHeight="1" x14ac:dyDescent="0.3">
      <c r="B44" s="326"/>
      <c r="C44" s="326"/>
      <c r="D44" s="326"/>
      <c r="E44" s="28">
        <v>36</v>
      </c>
      <c r="F44" s="165">
        <v>4</v>
      </c>
      <c r="G44" s="165">
        <v>4</v>
      </c>
      <c r="H44" s="165" t="s">
        <v>647</v>
      </c>
      <c r="J44" s="26"/>
    </row>
    <row r="45" spans="2:10" ht="15" customHeight="1" x14ac:dyDescent="0.3">
      <c r="B45" s="326"/>
      <c r="C45" s="326"/>
      <c r="D45" s="326"/>
      <c r="E45" s="28">
        <v>37</v>
      </c>
      <c r="F45" s="165">
        <v>4</v>
      </c>
      <c r="G45" s="165">
        <v>4</v>
      </c>
      <c r="H45" s="165" t="s">
        <v>644</v>
      </c>
      <c r="J45" s="26"/>
    </row>
    <row r="46" spans="2:10" ht="15" customHeight="1" x14ac:dyDescent="0.3">
      <c r="B46" s="326"/>
      <c r="C46" s="326"/>
      <c r="D46" s="326"/>
      <c r="E46" s="28">
        <v>38</v>
      </c>
      <c r="F46" s="165">
        <v>4</v>
      </c>
      <c r="G46" s="165">
        <v>4</v>
      </c>
      <c r="H46" s="165" t="s">
        <v>641</v>
      </c>
      <c r="J46" s="26"/>
    </row>
    <row r="47" spans="2:10" ht="15" customHeight="1" x14ac:dyDescent="0.3">
      <c r="B47" s="326"/>
      <c r="C47" s="326"/>
      <c r="D47" s="326"/>
      <c r="E47" s="28">
        <v>39</v>
      </c>
      <c r="F47" s="165">
        <v>4</v>
      </c>
      <c r="G47" s="165">
        <v>4</v>
      </c>
      <c r="H47" s="165" t="s">
        <v>637</v>
      </c>
      <c r="J47" s="26"/>
    </row>
    <row r="48" spans="2:10" ht="15" customHeight="1" x14ac:dyDescent="0.3">
      <c r="B48" s="326"/>
      <c r="C48" s="326"/>
      <c r="D48" s="326"/>
      <c r="E48" s="28">
        <v>40</v>
      </c>
      <c r="F48" s="165">
        <v>4</v>
      </c>
      <c r="G48" s="165">
        <v>4</v>
      </c>
      <c r="H48" s="165" t="s">
        <v>625</v>
      </c>
      <c r="J48" s="26"/>
    </row>
    <row r="49" spans="2:10" ht="15" customHeight="1" x14ac:dyDescent="0.3">
      <c r="B49" s="326"/>
      <c r="C49" s="326"/>
      <c r="D49" s="326"/>
      <c r="E49" s="28">
        <v>41</v>
      </c>
      <c r="F49" s="165">
        <v>4</v>
      </c>
      <c r="G49" s="165">
        <v>4</v>
      </c>
      <c r="H49" s="165" t="s">
        <v>622</v>
      </c>
      <c r="J49" s="26"/>
    </row>
    <row r="50" spans="2:10" ht="15" customHeight="1" x14ac:dyDescent="0.3">
      <c r="B50" s="326"/>
      <c r="C50" s="326"/>
      <c r="D50" s="326"/>
      <c r="E50" s="28">
        <v>42</v>
      </c>
      <c r="F50" s="165">
        <v>4</v>
      </c>
      <c r="G50" s="165">
        <v>4</v>
      </c>
      <c r="H50" s="165" t="s">
        <v>619</v>
      </c>
      <c r="J50" s="26"/>
    </row>
    <row r="51" spans="2:10" ht="15" customHeight="1" x14ac:dyDescent="0.3">
      <c r="B51" s="326"/>
      <c r="C51" s="326"/>
      <c r="D51" s="326"/>
      <c r="E51" s="28">
        <v>43</v>
      </c>
      <c r="F51" s="165">
        <v>4</v>
      </c>
      <c r="G51" s="165">
        <v>4</v>
      </c>
      <c r="H51" s="165" t="s">
        <v>616</v>
      </c>
      <c r="J51" s="26"/>
    </row>
    <row r="52" spans="2:10" ht="15" customHeight="1" x14ac:dyDescent="0.3">
      <c r="B52" s="326"/>
      <c r="C52" s="326"/>
      <c r="D52" s="326"/>
      <c r="E52" s="28">
        <v>44</v>
      </c>
      <c r="F52" s="165">
        <v>4</v>
      </c>
      <c r="G52" s="165">
        <v>4</v>
      </c>
      <c r="H52" s="165" t="s">
        <v>613</v>
      </c>
      <c r="J52" s="26"/>
    </row>
    <row r="53" spans="2:10" ht="15" customHeight="1" x14ac:dyDescent="0.3">
      <c r="B53" s="326"/>
      <c r="C53" s="326"/>
      <c r="D53" s="326"/>
      <c r="E53" s="28">
        <v>45</v>
      </c>
      <c r="F53" s="165">
        <v>4</v>
      </c>
      <c r="G53" s="165">
        <v>4</v>
      </c>
      <c r="H53" s="165" t="s">
        <v>610</v>
      </c>
      <c r="J53" s="26"/>
    </row>
    <row r="54" spans="2:10" ht="15" customHeight="1" x14ac:dyDescent="0.3">
      <c r="B54" s="326"/>
      <c r="C54" s="326"/>
      <c r="D54" s="326"/>
      <c r="E54" s="28">
        <v>46</v>
      </c>
      <c r="F54" s="165">
        <v>4</v>
      </c>
      <c r="G54" s="165">
        <v>4</v>
      </c>
      <c r="H54" s="165" t="s">
        <v>607</v>
      </c>
      <c r="J54" s="26"/>
    </row>
    <row r="55" spans="2:10" ht="15" customHeight="1" x14ac:dyDescent="0.3">
      <c r="B55" s="326"/>
      <c r="C55" s="326"/>
      <c r="D55" s="326"/>
      <c r="E55" s="28">
        <v>47</v>
      </c>
      <c r="F55" s="165">
        <v>4</v>
      </c>
      <c r="G55" s="165">
        <v>4</v>
      </c>
      <c r="H55" s="165" t="s">
        <v>604</v>
      </c>
      <c r="J55" s="26"/>
    </row>
    <row r="56" spans="2:10" ht="15" customHeight="1" x14ac:dyDescent="0.3">
      <c r="B56" s="326"/>
      <c r="C56" s="326"/>
      <c r="D56" s="326"/>
      <c r="E56" s="28">
        <v>48</v>
      </c>
      <c r="F56" s="165">
        <v>4</v>
      </c>
      <c r="G56" s="165">
        <v>4</v>
      </c>
      <c r="H56" s="165" t="s">
        <v>601</v>
      </c>
      <c r="J56" s="26"/>
    </row>
    <row r="57" spans="2:10" ht="15" customHeight="1" x14ac:dyDescent="0.3">
      <c r="B57" s="326"/>
      <c r="C57" s="326"/>
      <c r="D57" s="326"/>
      <c r="E57" s="28">
        <v>49</v>
      </c>
      <c r="F57" s="165">
        <v>4</v>
      </c>
      <c r="G57" s="165">
        <v>4</v>
      </c>
      <c r="H57" s="165" t="s">
        <v>598</v>
      </c>
      <c r="J57" s="26"/>
    </row>
    <row r="58" spans="2:10" ht="15" customHeight="1" x14ac:dyDescent="0.3">
      <c r="B58" s="326"/>
      <c r="C58" s="326"/>
      <c r="D58" s="326"/>
      <c r="E58" s="28">
        <v>50</v>
      </c>
      <c r="F58" s="165">
        <v>4</v>
      </c>
      <c r="G58" s="165">
        <v>4</v>
      </c>
      <c r="H58" s="165" t="s">
        <v>595</v>
      </c>
      <c r="J58" s="26"/>
    </row>
    <row r="59" spans="2:10" ht="15" customHeight="1" x14ac:dyDescent="0.3">
      <c r="B59" s="326"/>
      <c r="C59" s="326"/>
      <c r="D59" s="326"/>
      <c r="E59" s="28">
        <v>51</v>
      </c>
      <c r="F59" s="165">
        <v>4</v>
      </c>
      <c r="G59" s="165">
        <v>4</v>
      </c>
      <c r="H59" s="165" t="s">
        <v>592</v>
      </c>
      <c r="J59" s="26"/>
    </row>
    <row r="60" spans="2:10" ht="15" customHeight="1" x14ac:dyDescent="0.3">
      <c r="B60" s="326"/>
      <c r="C60" s="326"/>
      <c r="D60" s="326"/>
      <c r="E60" s="28">
        <v>52</v>
      </c>
      <c r="F60" s="165">
        <v>4</v>
      </c>
      <c r="G60" s="165">
        <v>4</v>
      </c>
      <c r="H60" s="165" t="s">
        <v>589</v>
      </c>
      <c r="J60" s="26"/>
    </row>
    <row r="61" spans="2:10" ht="15" customHeight="1" x14ac:dyDescent="0.3">
      <c r="B61" s="326"/>
      <c r="C61" s="326"/>
      <c r="D61" s="326"/>
      <c r="E61" s="28">
        <v>53</v>
      </c>
      <c r="F61" s="165">
        <v>4</v>
      </c>
      <c r="G61" s="165">
        <v>4</v>
      </c>
      <c r="H61" s="165" t="s">
        <v>586</v>
      </c>
      <c r="J61" s="26"/>
    </row>
    <row r="62" spans="2:10" ht="15" customHeight="1" x14ac:dyDescent="0.3">
      <c r="B62" s="326"/>
      <c r="C62" s="326"/>
      <c r="D62" s="326"/>
      <c r="E62" s="28">
        <v>54</v>
      </c>
      <c r="F62" s="165">
        <v>4</v>
      </c>
      <c r="G62" s="165">
        <v>4</v>
      </c>
      <c r="H62" s="165" t="s">
        <v>583</v>
      </c>
      <c r="J62" s="26"/>
    </row>
    <row r="63" spans="2:10" ht="15" customHeight="1" x14ac:dyDescent="0.3">
      <c r="B63" s="326"/>
      <c r="C63" s="326"/>
      <c r="D63" s="326"/>
      <c r="E63" s="28">
        <v>55</v>
      </c>
      <c r="F63" s="165">
        <v>4</v>
      </c>
      <c r="G63" s="165">
        <v>4</v>
      </c>
      <c r="H63" s="165" t="s">
        <v>580</v>
      </c>
      <c r="J63" s="26"/>
    </row>
    <row r="64" spans="2:10" ht="15" customHeight="1" x14ac:dyDescent="0.3">
      <c r="B64" s="326"/>
      <c r="C64" s="326"/>
      <c r="D64" s="326"/>
      <c r="E64" s="28">
        <v>56</v>
      </c>
      <c r="F64" s="165">
        <v>4</v>
      </c>
      <c r="G64" s="165">
        <v>4</v>
      </c>
      <c r="H64" s="165" t="s">
        <v>1441</v>
      </c>
      <c r="J64" s="26"/>
    </row>
    <row r="65" spans="2:10" ht="15" customHeight="1" x14ac:dyDescent="0.3">
      <c r="B65" s="326"/>
      <c r="C65" s="326"/>
      <c r="D65" s="326"/>
      <c r="E65" s="28">
        <v>57</v>
      </c>
      <c r="F65" s="165">
        <v>4</v>
      </c>
      <c r="G65" s="165">
        <v>4</v>
      </c>
      <c r="H65" s="165" t="s">
        <v>1442</v>
      </c>
      <c r="J65" s="26"/>
    </row>
    <row r="66" spans="2:10" ht="15" customHeight="1" x14ac:dyDescent="0.3">
      <c r="B66" s="326"/>
      <c r="C66" s="326"/>
      <c r="D66" s="326"/>
      <c r="E66" s="28">
        <v>58</v>
      </c>
      <c r="F66" s="165">
        <v>4</v>
      </c>
      <c r="G66" s="165">
        <v>4</v>
      </c>
      <c r="H66" s="165" t="s">
        <v>1443</v>
      </c>
      <c r="J66" s="26"/>
    </row>
    <row r="67" spans="2:10" ht="15" customHeight="1" x14ac:dyDescent="0.3">
      <c r="B67" s="326"/>
      <c r="C67" s="326"/>
      <c r="D67" s="326"/>
      <c r="E67" s="28">
        <v>59</v>
      </c>
      <c r="F67" s="165">
        <v>4</v>
      </c>
      <c r="G67" s="165">
        <v>4</v>
      </c>
      <c r="H67" s="165" t="s">
        <v>1444</v>
      </c>
    </row>
    <row r="68" spans="2:10" ht="15" customHeight="1" x14ac:dyDescent="0.3">
      <c r="B68" s="326"/>
      <c r="C68" s="326"/>
      <c r="D68" s="326"/>
      <c r="E68" s="28">
        <v>60</v>
      </c>
      <c r="F68" s="165">
        <v>4</v>
      </c>
      <c r="G68" s="165">
        <v>4</v>
      </c>
      <c r="H68" s="165" t="s">
        <v>1445</v>
      </c>
    </row>
    <row r="69" spans="2:10" ht="15" customHeight="1" x14ac:dyDescent="0.3">
      <c r="B69" s="326"/>
      <c r="C69" s="326"/>
      <c r="D69" s="326"/>
      <c r="E69" s="28">
        <v>61</v>
      </c>
      <c r="F69" s="165">
        <v>4</v>
      </c>
      <c r="G69" s="165">
        <v>4</v>
      </c>
      <c r="H69" s="165" t="s">
        <v>1446</v>
      </c>
    </row>
    <row r="70" spans="2:10" ht="15" customHeight="1" x14ac:dyDescent="0.3">
      <c r="B70" s="326"/>
      <c r="C70" s="326"/>
      <c r="D70" s="326"/>
      <c r="E70" s="28">
        <v>62</v>
      </c>
      <c r="F70" s="165">
        <v>4</v>
      </c>
      <c r="G70" s="165">
        <v>4</v>
      </c>
      <c r="H70" s="165" t="s">
        <v>1447</v>
      </c>
    </row>
    <row r="71" spans="2:10" ht="15" customHeight="1" x14ac:dyDescent="0.3">
      <c r="B71" s="326"/>
      <c r="C71" s="326"/>
      <c r="D71" s="326"/>
      <c r="E71" s="28">
        <v>63</v>
      </c>
      <c r="F71" s="165">
        <v>4</v>
      </c>
      <c r="G71" s="165">
        <v>4</v>
      </c>
      <c r="H71" s="165" t="s">
        <v>1448</v>
      </c>
    </row>
    <row r="72" spans="2:10" ht="15" customHeight="1" x14ac:dyDescent="0.3">
      <c r="B72" s="326"/>
      <c r="C72" s="326"/>
      <c r="D72" s="326"/>
      <c r="E72" s="28">
        <v>64</v>
      </c>
      <c r="F72" s="165">
        <v>4</v>
      </c>
      <c r="G72" s="165">
        <v>4</v>
      </c>
      <c r="H72" s="165" t="s">
        <v>1449</v>
      </c>
    </row>
    <row r="73" spans="2:10" ht="15" customHeight="1" x14ac:dyDescent="0.3">
      <c r="B73" s="326"/>
      <c r="C73" s="326"/>
      <c r="D73" s="326"/>
      <c r="E73" s="28">
        <v>65</v>
      </c>
      <c r="F73" s="165">
        <v>4</v>
      </c>
      <c r="G73" s="165">
        <v>4</v>
      </c>
      <c r="H73" s="165" t="s">
        <v>1450</v>
      </c>
    </row>
    <row r="74" spans="2:10" ht="15" customHeight="1" x14ac:dyDescent="0.3">
      <c r="B74" s="326"/>
      <c r="C74" s="326"/>
      <c r="D74" s="326"/>
      <c r="E74" s="28">
        <v>66</v>
      </c>
      <c r="F74" s="165">
        <v>4</v>
      </c>
      <c r="G74" s="165">
        <v>4</v>
      </c>
      <c r="H74" s="165" t="s">
        <v>1451</v>
      </c>
    </row>
    <row r="75" spans="2:10" ht="15" customHeight="1" x14ac:dyDescent="0.3">
      <c r="B75" s="326"/>
      <c r="C75" s="326"/>
      <c r="D75" s="326"/>
      <c r="E75" s="28">
        <v>67</v>
      </c>
      <c r="F75" s="165">
        <v>4</v>
      </c>
      <c r="G75" s="165">
        <v>4</v>
      </c>
      <c r="H75" s="165" t="s">
        <v>1452</v>
      </c>
    </row>
    <row r="76" spans="2:10" ht="15" customHeight="1" x14ac:dyDescent="0.3">
      <c r="B76" s="326"/>
      <c r="C76" s="326"/>
      <c r="D76" s="326"/>
      <c r="E76" s="28">
        <v>68</v>
      </c>
      <c r="F76" s="165">
        <v>4</v>
      </c>
      <c r="G76" s="165">
        <v>4</v>
      </c>
      <c r="H76" s="165" t="s">
        <v>1453</v>
      </c>
    </row>
    <row r="77" spans="2:10" ht="15" customHeight="1" x14ac:dyDescent="0.3">
      <c r="B77" s="326"/>
      <c r="C77" s="326"/>
      <c r="D77" s="326"/>
      <c r="E77" s="165">
        <v>69</v>
      </c>
      <c r="F77" s="165">
        <v>4</v>
      </c>
      <c r="G77" s="165">
        <v>4</v>
      </c>
      <c r="H77" s="165" t="s">
        <v>1454</v>
      </c>
    </row>
    <row r="78" spans="2:10" ht="15" customHeight="1" x14ac:dyDescent="0.3">
      <c r="B78" s="326"/>
      <c r="C78" s="326"/>
      <c r="D78" s="326"/>
      <c r="E78" s="165">
        <v>70</v>
      </c>
      <c r="F78" s="165">
        <v>4</v>
      </c>
      <c r="G78" s="165">
        <v>4</v>
      </c>
      <c r="H78" s="165" t="s">
        <v>1455</v>
      </c>
    </row>
    <row r="79" spans="2:10" ht="15" customHeight="1" x14ac:dyDescent="0.3">
      <c r="B79" s="326"/>
      <c r="C79" s="326"/>
      <c r="D79" s="326"/>
      <c r="E79" s="165">
        <v>71</v>
      </c>
      <c r="F79" s="165">
        <v>4</v>
      </c>
      <c r="G79" s="165">
        <v>4</v>
      </c>
      <c r="H79" s="165" t="s">
        <v>1456</v>
      </c>
    </row>
    <row r="80" spans="2:10" ht="15" customHeight="1" x14ac:dyDescent="0.3">
      <c r="B80" s="326"/>
      <c r="C80" s="326"/>
      <c r="D80" s="326"/>
      <c r="E80" s="165">
        <v>72</v>
      </c>
      <c r="F80" s="165">
        <v>4</v>
      </c>
      <c r="G80" s="165">
        <v>4</v>
      </c>
      <c r="H80" s="165" t="s">
        <v>890</v>
      </c>
    </row>
    <row r="81" spans="2:8" ht="15" customHeight="1" x14ac:dyDescent="0.3">
      <c r="B81" s="326"/>
      <c r="C81" s="326"/>
      <c r="D81" s="326"/>
      <c r="E81" s="165">
        <v>73</v>
      </c>
      <c r="F81" s="165">
        <v>4</v>
      </c>
      <c r="G81" s="165">
        <v>4</v>
      </c>
      <c r="H81" s="143"/>
    </row>
    <row r="82" spans="2:8" ht="15" customHeight="1" x14ac:dyDescent="0.3">
      <c r="B82" s="326"/>
      <c r="C82" s="326"/>
      <c r="D82" s="326"/>
      <c r="E82" s="165">
        <v>74</v>
      </c>
      <c r="F82" s="165">
        <v>4</v>
      </c>
      <c r="G82" s="165">
        <v>4</v>
      </c>
      <c r="H82" s="165" t="s">
        <v>1458</v>
      </c>
    </row>
    <row r="83" spans="2:8" ht="15" customHeight="1" x14ac:dyDescent="0.3">
      <c r="B83" s="326"/>
      <c r="C83" s="326"/>
      <c r="D83" s="326"/>
      <c r="E83" s="165">
        <v>75</v>
      </c>
      <c r="F83" s="165">
        <v>4</v>
      </c>
      <c r="G83" s="165">
        <v>4</v>
      </c>
      <c r="H83" s="165" t="s">
        <v>889</v>
      </c>
    </row>
    <row r="84" spans="2:8" ht="15" customHeight="1" x14ac:dyDescent="0.3">
      <c r="B84" s="326"/>
      <c r="C84" s="326"/>
      <c r="D84" s="326"/>
      <c r="E84" s="165">
        <v>76</v>
      </c>
      <c r="F84" s="165">
        <v>4</v>
      </c>
      <c r="G84" s="165">
        <v>4</v>
      </c>
      <c r="H84" s="165" t="s">
        <v>888</v>
      </c>
    </row>
    <row r="85" spans="2:8" ht="15" customHeight="1" x14ac:dyDescent="0.3">
      <c r="B85" s="326"/>
      <c r="C85" s="326"/>
      <c r="D85" s="326"/>
      <c r="E85" s="165">
        <v>77</v>
      </c>
      <c r="F85" s="165">
        <v>4</v>
      </c>
      <c r="G85" s="165">
        <v>4</v>
      </c>
      <c r="H85" s="165" t="s">
        <v>887</v>
      </c>
    </row>
    <row r="86" spans="2:8" ht="15" customHeight="1" x14ac:dyDescent="0.3">
      <c r="B86" s="326"/>
      <c r="C86" s="326"/>
      <c r="D86" s="326"/>
      <c r="E86" s="165">
        <v>78</v>
      </c>
      <c r="F86" s="165">
        <v>4</v>
      </c>
      <c r="G86" s="165">
        <v>4</v>
      </c>
      <c r="H86" s="165" t="s">
        <v>886</v>
      </c>
    </row>
    <row r="87" spans="2:8" ht="15" customHeight="1" x14ac:dyDescent="0.3">
      <c r="B87" s="326"/>
      <c r="C87" s="326"/>
      <c r="D87" s="326"/>
      <c r="E87" s="165">
        <v>79</v>
      </c>
      <c r="F87" s="165">
        <v>4</v>
      </c>
      <c r="G87" s="165">
        <v>4</v>
      </c>
      <c r="H87" s="165" t="s">
        <v>885</v>
      </c>
    </row>
    <row r="88" spans="2:8" ht="15" customHeight="1" x14ac:dyDescent="0.3">
      <c r="B88" s="326"/>
      <c r="C88" s="326"/>
      <c r="D88" s="326"/>
      <c r="E88" s="165">
        <v>80</v>
      </c>
      <c r="F88" s="165">
        <v>4</v>
      </c>
      <c r="G88" s="165">
        <v>4</v>
      </c>
      <c r="H88" s="165" t="s">
        <v>884</v>
      </c>
    </row>
    <row r="89" spans="2:8" ht="15" customHeight="1" x14ac:dyDescent="0.3">
      <c r="B89" s="326"/>
      <c r="C89" s="326"/>
      <c r="D89" s="326"/>
      <c r="E89" s="165">
        <v>81</v>
      </c>
      <c r="F89" s="165">
        <v>4</v>
      </c>
      <c r="G89" s="165">
        <v>4</v>
      </c>
      <c r="H89" s="165" t="s">
        <v>883</v>
      </c>
    </row>
    <row r="90" spans="2:8" ht="15" customHeight="1" x14ac:dyDescent="0.3">
      <c r="B90" s="326"/>
      <c r="C90" s="326"/>
      <c r="D90" s="326"/>
      <c r="E90" s="165">
        <v>82</v>
      </c>
      <c r="F90" s="165">
        <v>4</v>
      </c>
      <c r="G90" s="165">
        <v>4</v>
      </c>
      <c r="H90" s="165" t="s">
        <v>882</v>
      </c>
    </row>
    <row r="91" spans="2:8" ht="15" customHeight="1" x14ac:dyDescent="0.3">
      <c r="B91" s="326"/>
      <c r="C91" s="326"/>
      <c r="D91" s="326"/>
      <c r="E91" s="165">
        <v>83</v>
      </c>
      <c r="F91" s="165">
        <v>4</v>
      </c>
      <c r="G91" s="165">
        <v>4</v>
      </c>
      <c r="H91" s="165" t="s">
        <v>881</v>
      </c>
    </row>
    <row r="92" spans="2:8" ht="15" customHeight="1" x14ac:dyDescent="0.3">
      <c r="B92" s="326"/>
      <c r="C92" s="326"/>
      <c r="D92" s="326"/>
      <c r="E92" s="165">
        <v>84</v>
      </c>
      <c r="F92" s="165">
        <v>4</v>
      </c>
      <c r="G92" s="165">
        <v>4</v>
      </c>
      <c r="H92" s="165" t="s">
        <v>880</v>
      </c>
    </row>
    <row r="93" spans="2:8" ht="15" customHeight="1" x14ac:dyDescent="0.3">
      <c r="B93" s="326"/>
      <c r="C93" s="326"/>
      <c r="D93" s="326"/>
      <c r="E93" s="165">
        <v>85</v>
      </c>
      <c r="F93" s="165">
        <v>4</v>
      </c>
      <c r="G93" s="165">
        <v>4</v>
      </c>
      <c r="H93" s="165" t="s">
        <v>879</v>
      </c>
    </row>
    <row r="94" spans="2:8" ht="15" customHeight="1" x14ac:dyDescent="0.3">
      <c r="B94" s="326"/>
      <c r="C94" s="326"/>
      <c r="D94" s="326"/>
      <c r="E94" s="165">
        <v>86</v>
      </c>
      <c r="F94" s="165">
        <v>4</v>
      </c>
      <c r="G94" s="165">
        <v>4</v>
      </c>
      <c r="H94" s="165" t="s">
        <v>878</v>
      </c>
    </row>
    <row r="95" spans="2:8" ht="15" customHeight="1" x14ac:dyDescent="0.3">
      <c r="B95" s="326"/>
      <c r="C95" s="326"/>
      <c r="D95" s="326"/>
      <c r="E95" s="165">
        <v>87</v>
      </c>
      <c r="F95" s="165">
        <v>4</v>
      </c>
      <c r="G95" s="165">
        <v>4</v>
      </c>
      <c r="H95" s="165" t="s">
        <v>877</v>
      </c>
    </row>
    <row r="96" spans="2:8" ht="15" customHeight="1" x14ac:dyDescent="0.3">
      <c r="B96" s="326"/>
      <c r="C96" s="326"/>
      <c r="D96" s="326"/>
      <c r="E96" s="165">
        <v>88</v>
      </c>
      <c r="F96" s="165">
        <v>4</v>
      </c>
      <c r="G96" s="165">
        <v>4</v>
      </c>
      <c r="H96" s="165" t="s">
        <v>876</v>
      </c>
    </row>
    <row r="97" spans="2:8" ht="15" customHeight="1" x14ac:dyDescent="0.3">
      <c r="B97" s="326"/>
      <c r="C97" s="326"/>
      <c r="D97" s="326"/>
      <c r="E97" s="165">
        <v>89</v>
      </c>
      <c r="F97" s="165">
        <v>4</v>
      </c>
      <c r="G97" s="165">
        <v>4</v>
      </c>
      <c r="H97" s="165" t="s">
        <v>875</v>
      </c>
    </row>
    <row r="98" spans="2:8" ht="15" customHeight="1" x14ac:dyDescent="0.3">
      <c r="B98" s="326"/>
      <c r="C98" s="326"/>
      <c r="D98" s="326"/>
      <c r="E98" s="165">
        <v>90</v>
      </c>
      <c r="F98" s="165">
        <v>4</v>
      </c>
      <c r="G98" s="165">
        <v>4</v>
      </c>
      <c r="H98" s="165" t="s">
        <v>874</v>
      </c>
    </row>
    <row r="99" spans="2:8" ht="15" customHeight="1" x14ac:dyDescent="0.3">
      <c r="B99" s="326"/>
      <c r="C99" s="326"/>
      <c r="D99" s="326"/>
      <c r="E99" s="165">
        <v>91</v>
      </c>
      <c r="F99" s="165">
        <v>4</v>
      </c>
      <c r="G99" s="165">
        <v>4</v>
      </c>
      <c r="H99" s="165" t="s">
        <v>873</v>
      </c>
    </row>
    <row r="100" spans="2:8" ht="15" customHeight="1" x14ac:dyDescent="0.3">
      <c r="B100" s="326"/>
      <c r="C100" s="326"/>
      <c r="D100" s="326"/>
      <c r="E100" s="165">
        <v>92</v>
      </c>
      <c r="F100" s="165">
        <v>4</v>
      </c>
      <c r="G100" s="165">
        <v>4</v>
      </c>
      <c r="H100" s="165" t="s">
        <v>872</v>
      </c>
    </row>
    <row r="101" spans="2:8" ht="15" customHeight="1" x14ac:dyDescent="0.3">
      <c r="B101" s="326"/>
      <c r="C101" s="326"/>
      <c r="D101" s="326"/>
      <c r="E101" s="165">
        <v>93</v>
      </c>
      <c r="F101" s="165">
        <v>4</v>
      </c>
      <c r="G101" s="165">
        <v>4</v>
      </c>
      <c r="H101" s="165" t="s">
        <v>871</v>
      </c>
    </row>
    <row r="102" spans="2:8" ht="15" customHeight="1" x14ac:dyDescent="0.3">
      <c r="B102" s="326"/>
      <c r="C102" s="326"/>
      <c r="D102" s="326"/>
      <c r="E102" s="165">
        <v>94</v>
      </c>
      <c r="F102" s="165">
        <v>4</v>
      </c>
      <c r="G102" s="165">
        <v>4</v>
      </c>
      <c r="H102" s="165" t="s">
        <v>870</v>
      </c>
    </row>
    <row r="103" spans="2:8" ht="15" customHeight="1" x14ac:dyDescent="0.3">
      <c r="B103" s="326"/>
      <c r="C103" s="326"/>
      <c r="D103" s="326"/>
      <c r="E103" s="165">
        <v>95</v>
      </c>
      <c r="F103" s="165">
        <v>4</v>
      </c>
      <c r="G103" s="165">
        <v>4</v>
      </c>
      <c r="H103" s="165" t="s">
        <v>869</v>
      </c>
    </row>
    <row r="104" spans="2:8" ht="15" customHeight="1" x14ac:dyDescent="0.3">
      <c r="B104" s="326"/>
      <c r="C104" s="326"/>
      <c r="D104" s="326"/>
      <c r="E104" s="165">
        <v>96</v>
      </c>
      <c r="F104" s="165">
        <v>4</v>
      </c>
      <c r="G104" s="165">
        <v>4</v>
      </c>
      <c r="H104" s="165" t="s">
        <v>868</v>
      </c>
    </row>
    <row r="105" spans="2:8" ht="15" customHeight="1" x14ac:dyDescent="0.3">
      <c r="B105" s="326"/>
      <c r="C105" s="326"/>
      <c r="D105" s="326"/>
      <c r="E105" s="165">
        <v>97</v>
      </c>
      <c r="F105" s="165">
        <v>4</v>
      </c>
      <c r="G105" s="165">
        <v>4</v>
      </c>
      <c r="H105" s="165" t="s">
        <v>867</v>
      </c>
    </row>
    <row r="106" spans="2:8" ht="15" customHeight="1" x14ac:dyDescent="0.3">
      <c r="B106" s="326"/>
      <c r="C106" s="326"/>
      <c r="D106" s="326"/>
      <c r="E106" s="165">
        <v>98</v>
      </c>
      <c r="F106" s="165">
        <v>4</v>
      </c>
      <c r="G106" s="165">
        <v>4</v>
      </c>
      <c r="H106" s="165" t="s">
        <v>866</v>
      </c>
    </row>
    <row r="107" spans="2:8" ht="15" customHeight="1" x14ac:dyDescent="0.3">
      <c r="B107" s="326"/>
      <c r="C107" s="326"/>
      <c r="D107" s="326"/>
      <c r="E107" s="165">
        <v>99</v>
      </c>
      <c r="F107" s="165">
        <v>4</v>
      </c>
      <c r="G107" s="165">
        <v>4</v>
      </c>
      <c r="H107" s="165" t="s">
        <v>865</v>
      </c>
    </row>
    <row r="108" spans="2:8" ht="15" customHeight="1" x14ac:dyDescent="0.3">
      <c r="B108" s="326"/>
      <c r="C108" s="326"/>
      <c r="D108" s="326"/>
      <c r="E108" s="165">
        <v>100</v>
      </c>
      <c r="F108" s="165">
        <v>4</v>
      </c>
      <c r="G108" s="165">
        <v>4</v>
      </c>
      <c r="H108" s="165" t="s">
        <v>864</v>
      </c>
    </row>
    <row r="109" spans="2:8" ht="15" customHeight="1" x14ac:dyDescent="0.3">
      <c r="B109" s="326"/>
      <c r="C109" s="326"/>
      <c r="D109" s="326"/>
      <c r="E109" s="165">
        <v>101</v>
      </c>
      <c r="F109" s="165">
        <v>4</v>
      </c>
      <c r="G109" s="165">
        <v>4</v>
      </c>
      <c r="H109" s="165" t="s">
        <v>863</v>
      </c>
    </row>
    <row r="110" spans="2:8" ht="15" customHeight="1" x14ac:dyDescent="0.3">
      <c r="B110" s="326"/>
      <c r="C110" s="326"/>
      <c r="D110" s="326"/>
      <c r="E110" s="165">
        <v>102</v>
      </c>
      <c r="F110" s="165">
        <v>4</v>
      </c>
      <c r="G110" s="165">
        <v>4</v>
      </c>
      <c r="H110" s="165" t="s">
        <v>862</v>
      </c>
    </row>
    <row r="111" spans="2:8" ht="15" customHeight="1" x14ac:dyDescent="0.3">
      <c r="B111" s="326"/>
      <c r="C111" s="326"/>
      <c r="D111" s="326"/>
      <c r="E111" s="165">
        <v>103</v>
      </c>
      <c r="F111" s="165">
        <v>4</v>
      </c>
      <c r="G111" s="165">
        <v>4</v>
      </c>
      <c r="H111" s="165" t="s">
        <v>861</v>
      </c>
    </row>
    <row r="112" spans="2:8" ht="15" customHeight="1" x14ac:dyDescent="0.3">
      <c r="B112" s="326"/>
      <c r="C112" s="326"/>
      <c r="D112" s="326"/>
      <c r="E112" s="165">
        <v>104</v>
      </c>
      <c r="F112" s="165">
        <v>4</v>
      </c>
      <c r="G112" s="165">
        <v>4</v>
      </c>
      <c r="H112" s="165" t="s">
        <v>860</v>
      </c>
    </row>
    <row r="113" spans="2:8" ht="15" customHeight="1" x14ac:dyDescent="0.3">
      <c r="B113" s="326"/>
      <c r="C113" s="326"/>
      <c r="D113" s="326"/>
      <c r="E113" s="165">
        <v>105</v>
      </c>
      <c r="F113" s="165">
        <v>4</v>
      </c>
      <c r="G113" s="165">
        <v>4</v>
      </c>
      <c r="H113" s="165" t="s">
        <v>859</v>
      </c>
    </row>
  </sheetData>
  <mergeCells count="4">
    <mergeCell ref="F6:G6"/>
    <mergeCell ref="B8:B113"/>
    <mergeCell ref="C8:C113"/>
    <mergeCell ref="D8:D113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7:V117"/>
  <sheetViews>
    <sheetView topLeftCell="A13" zoomScale="85" zoomScaleNormal="85" workbookViewId="0">
      <selection activeCell="M52" sqref="M52"/>
    </sheetView>
  </sheetViews>
  <sheetFormatPr defaultColWidth="8.875" defaultRowHeight="16.5" x14ac:dyDescent="0.3"/>
  <cols>
    <col min="1" max="2" width="8.875" style="25"/>
    <col min="3" max="6" width="11.625" style="25" customWidth="1"/>
    <col min="7" max="7" width="11" style="60" customWidth="1"/>
    <col min="8" max="8" width="15.875" style="25" customWidth="1"/>
    <col min="9" max="9" width="8.875" style="25"/>
    <col min="10" max="10" width="13.125" style="25" customWidth="1"/>
    <col min="11" max="11" width="13.375" style="25" customWidth="1"/>
    <col min="12" max="12" width="17.375" style="25" customWidth="1"/>
    <col min="13" max="13" width="8.875" style="25"/>
    <col min="14" max="14" width="11.875" style="25" bestFit="1" customWidth="1"/>
    <col min="15" max="16384" width="8.875" style="25"/>
  </cols>
  <sheetData>
    <row r="7" spans="1:15" x14ac:dyDescent="0.3">
      <c r="C7" s="25" t="s">
        <v>1071</v>
      </c>
      <c r="D7" s="25" t="s">
        <v>1070</v>
      </c>
      <c r="E7" s="25" t="s">
        <v>1069</v>
      </c>
    </row>
    <row r="8" spans="1:15" x14ac:dyDescent="0.3">
      <c r="C8" s="328" t="s">
        <v>275</v>
      </c>
      <c r="D8" s="329"/>
      <c r="E8" s="329"/>
      <c r="F8" s="330"/>
      <c r="G8" s="314" t="s">
        <v>276</v>
      </c>
      <c r="H8" s="314" t="s">
        <v>1068</v>
      </c>
    </row>
    <row r="9" spans="1:15" x14ac:dyDescent="0.3">
      <c r="A9" s="27" t="s">
        <v>278</v>
      </c>
      <c r="B9" s="167" t="s">
        <v>1509</v>
      </c>
      <c r="C9" s="164" t="s">
        <v>1510</v>
      </c>
      <c r="D9" s="28" t="s">
        <v>1067</v>
      </c>
      <c r="E9" s="28" t="s">
        <v>941</v>
      </c>
      <c r="F9" s="28" t="s">
        <v>940</v>
      </c>
      <c r="G9" s="314"/>
      <c r="H9" s="314"/>
      <c r="K9" s="180" t="s">
        <v>1527</v>
      </c>
      <c r="L9" s="180" t="s">
        <v>1528</v>
      </c>
      <c r="N9" s="180" t="s">
        <v>1530</v>
      </c>
      <c r="O9" s="180" t="s">
        <v>1531</v>
      </c>
    </row>
    <row r="10" spans="1:15" ht="15" customHeight="1" x14ac:dyDescent="0.3">
      <c r="A10" s="325">
        <v>1</v>
      </c>
      <c r="B10" s="325">
        <v>1</v>
      </c>
      <c r="C10" s="325">
        <v>1</v>
      </c>
      <c r="D10" s="314">
        <v>0</v>
      </c>
      <c r="E10" s="314">
        <v>0</v>
      </c>
      <c r="F10" s="27"/>
      <c r="G10" s="61" t="s">
        <v>400</v>
      </c>
      <c r="H10" s="314" t="s">
        <v>1066</v>
      </c>
      <c r="I10" s="25" t="s">
        <v>1060</v>
      </c>
      <c r="K10" s="27" t="s">
        <v>1065</v>
      </c>
      <c r="L10" s="27" t="s">
        <v>1064</v>
      </c>
      <c r="N10" s="27" t="s">
        <v>1065</v>
      </c>
      <c r="O10" s="27" t="s">
        <v>1064</v>
      </c>
    </row>
    <row r="11" spans="1:15" ht="15" customHeight="1" x14ac:dyDescent="0.3">
      <c r="A11" s="326"/>
      <c r="B11" s="326"/>
      <c r="C11" s="326"/>
      <c r="D11" s="314"/>
      <c r="E11" s="314"/>
      <c r="F11" s="27"/>
      <c r="G11" s="61" t="s">
        <v>398</v>
      </c>
      <c r="H11" s="314"/>
      <c r="K11" s="27" t="s">
        <v>1063</v>
      </c>
      <c r="L11" s="179" t="s">
        <v>1529</v>
      </c>
      <c r="N11" s="27" t="s">
        <v>1063</v>
      </c>
      <c r="O11" s="179" t="s">
        <v>1532</v>
      </c>
    </row>
    <row r="12" spans="1:15" ht="15" customHeight="1" x14ac:dyDescent="0.3">
      <c r="A12" s="326"/>
      <c r="B12" s="326"/>
      <c r="C12" s="326"/>
      <c r="D12" s="314"/>
      <c r="E12" s="314"/>
      <c r="F12" s="27"/>
      <c r="G12" s="61" t="s">
        <v>1049</v>
      </c>
      <c r="H12" s="314"/>
    </row>
    <row r="13" spans="1:15" ht="15" customHeight="1" x14ac:dyDescent="0.3">
      <c r="A13" s="326"/>
      <c r="B13" s="326"/>
      <c r="C13" s="326"/>
      <c r="D13" s="314"/>
      <c r="E13" s="314"/>
      <c r="F13" s="27"/>
      <c r="G13" s="61" t="s">
        <v>1048</v>
      </c>
      <c r="H13" s="314"/>
    </row>
    <row r="14" spans="1:15" ht="15" customHeight="1" x14ac:dyDescent="0.3">
      <c r="A14" s="326"/>
      <c r="B14" s="326"/>
      <c r="C14" s="326"/>
      <c r="D14" s="314"/>
      <c r="E14" s="314">
        <v>1</v>
      </c>
      <c r="F14" s="27"/>
      <c r="G14" s="61" t="s">
        <v>400</v>
      </c>
      <c r="H14" s="314" t="s">
        <v>1062</v>
      </c>
    </row>
    <row r="15" spans="1:15" ht="15" customHeight="1" x14ac:dyDescent="0.3">
      <c r="A15" s="326"/>
      <c r="B15" s="326"/>
      <c r="C15" s="326"/>
      <c r="D15" s="314"/>
      <c r="E15" s="314"/>
      <c r="F15" s="27"/>
      <c r="G15" s="61" t="s">
        <v>398</v>
      </c>
      <c r="H15" s="314"/>
    </row>
    <row r="16" spans="1:15" ht="15" customHeight="1" x14ac:dyDescent="0.3">
      <c r="A16" s="326"/>
      <c r="B16" s="326"/>
      <c r="C16" s="326"/>
      <c r="D16" s="314"/>
      <c r="E16" s="314"/>
      <c r="F16" s="27"/>
      <c r="G16" s="61" t="s">
        <v>1049</v>
      </c>
      <c r="H16" s="314"/>
      <c r="J16" s="164" t="s">
        <v>144</v>
      </c>
      <c r="K16" s="164" t="s">
        <v>1230</v>
      </c>
      <c r="L16" s="27" t="s">
        <v>1061</v>
      </c>
    </row>
    <row r="17" spans="1:22" ht="15" customHeight="1" x14ac:dyDescent="0.3">
      <c r="A17" s="326"/>
      <c r="B17" s="326"/>
      <c r="C17" s="326"/>
      <c r="D17" s="314"/>
      <c r="E17" s="323"/>
      <c r="F17" s="54"/>
      <c r="G17" s="65" t="s">
        <v>1048</v>
      </c>
      <c r="H17" s="323"/>
      <c r="J17" s="328">
        <v>0</v>
      </c>
      <c r="K17" s="330"/>
      <c r="L17" s="27" t="s">
        <v>1060</v>
      </c>
    </row>
    <row r="18" spans="1:22" ht="15" customHeight="1" x14ac:dyDescent="0.3">
      <c r="A18" s="326"/>
      <c r="B18" s="326"/>
      <c r="C18" s="326"/>
      <c r="D18" s="328"/>
      <c r="E18" s="349"/>
      <c r="F18" s="50"/>
      <c r="G18" s="63"/>
      <c r="H18" s="346"/>
      <c r="J18" s="166">
        <v>1</v>
      </c>
      <c r="K18" s="166">
        <v>2</v>
      </c>
      <c r="L18" s="167" t="s">
        <v>1512</v>
      </c>
    </row>
    <row r="19" spans="1:22" ht="15" customHeight="1" x14ac:dyDescent="0.3">
      <c r="A19" s="326"/>
      <c r="B19" s="326"/>
      <c r="C19" s="326"/>
      <c r="D19" s="328"/>
      <c r="E19" s="331"/>
      <c r="H19" s="343"/>
      <c r="J19" s="166">
        <v>3</v>
      </c>
      <c r="K19" s="166">
        <v>4</v>
      </c>
      <c r="L19" s="167" t="s">
        <v>1513</v>
      </c>
    </row>
    <row r="20" spans="1:22" ht="15" customHeight="1" x14ac:dyDescent="0.3">
      <c r="A20" s="326"/>
      <c r="B20" s="326"/>
      <c r="C20" s="326"/>
      <c r="D20" s="328"/>
      <c r="E20" s="331"/>
      <c r="H20" s="343"/>
      <c r="J20" s="166">
        <v>5</v>
      </c>
      <c r="K20" s="166">
        <v>6</v>
      </c>
      <c r="L20" s="167" t="s">
        <v>1491</v>
      </c>
    </row>
    <row r="21" spans="1:22" ht="15" customHeight="1" x14ac:dyDescent="0.3">
      <c r="A21" s="326"/>
      <c r="B21" s="326"/>
      <c r="C21" s="326"/>
      <c r="D21" s="328"/>
      <c r="E21" s="350"/>
      <c r="F21" s="47"/>
      <c r="G21" s="62"/>
      <c r="H21" s="348"/>
      <c r="J21" s="166">
        <v>7</v>
      </c>
      <c r="K21" s="166">
        <v>8</v>
      </c>
      <c r="L21" s="167" t="s">
        <v>1492</v>
      </c>
    </row>
    <row r="22" spans="1:22" ht="15" customHeight="1" x14ac:dyDescent="0.3">
      <c r="A22" s="326"/>
      <c r="B22" s="326"/>
      <c r="C22" s="326"/>
      <c r="D22" s="314"/>
      <c r="E22" s="324">
        <v>14</v>
      </c>
      <c r="F22" s="53"/>
      <c r="G22" s="64" t="s">
        <v>400</v>
      </c>
      <c r="H22" s="351" t="s">
        <v>1514</v>
      </c>
      <c r="J22" s="166">
        <v>9</v>
      </c>
      <c r="K22" s="166">
        <v>10</v>
      </c>
      <c r="L22" s="167" t="s">
        <v>1493</v>
      </c>
    </row>
    <row r="23" spans="1:22" ht="15" customHeight="1" x14ac:dyDescent="0.3">
      <c r="A23" s="326"/>
      <c r="B23" s="326"/>
      <c r="C23" s="326"/>
      <c r="D23" s="314"/>
      <c r="E23" s="314"/>
      <c r="F23" s="27"/>
      <c r="G23" s="61" t="s">
        <v>398</v>
      </c>
      <c r="H23" s="314"/>
      <c r="J23" s="166">
        <v>11</v>
      </c>
      <c r="K23" s="166">
        <v>12</v>
      </c>
      <c r="L23" s="167" t="s">
        <v>1494</v>
      </c>
    </row>
    <row r="24" spans="1:22" ht="15" customHeight="1" x14ac:dyDescent="0.3">
      <c r="A24" s="326"/>
      <c r="B24" s="326"/>
      <c r="C24" s="326"/>
      <c r="D24" s="314"/>
      <c r="E24" s="314"/>
      <c r="F24" s="27"/>
      <c r="G24" s="61" t="s">
        <v>1049</v>
      </c>
      <c r="H24" s="314"/>
      <c r="J24" s="166">
        <v>13</v>
      </c>
      <c r="K24" s="166">
        <v>14</v>
      </c>
      <c r="L24" s="167" t="s">
        <v>1495</v>
      </c>
      <c r="U24" s="25">
        <v>0</v>
      </c>
      <c r="V24" s="25">
        <v>1</v>
      </c>
    </row>
    <row r="25" spans="1:22" ht="15" customHeight="1" x14ac:dyDescent="0.3">
      <c r="A25" s="326"/>
      <c r="B25" s="326"/>
      <c r="C25" s="326"/>
      <c r="D25" s="314"/>
      <c r="E25" s="314"/>
      <c r="F25" s="27"/>
      <c r="G25" s="61" t="s">
        <v>1048</v>
      </c>
      <c r="H25" s="314"/>
      <c r="J25" s="166">
        <v>15</v>
      </c>
      <c r="K25" s="166">
        <v>16</v>
      </c>
      <c r="L25" s="167" t="s">
        <v>1496</v>
      </c>
      <c r="U25" s="25">
        <v>2</v>
      </c>
      <c r="V25" s="25">
        <v>3</v>
      </c>
    </row>
    <row r="26" spans="1:22" ht="15" customHeight="1" x14ac:dyDescent="0.3">
      <c r="A26" s="326"/>
      <c r="B26" s="326"/>
      <c r="C26" s="326"/>
      <c r="D26" s="314"/>
      <c r="E26" s="314">
        <v>15</v>
      </c>
      <c r="F26" s="27"/>
      <c r="G26" s="61" t="s">
        <v>400</v>
      </c>
      <c r="H26" s="347" t="s">
        <v>1515</v>
      </c>
      <c r="J26" s="166">
        <v>17</v>
      </c>
      <c r="K26" s="166">
        <v>18</v>
      </c>
      <c r="L26" s="167" t="s">
        <v>1497</v>
      </c>
      <c r="U26" s="25">
        <v>4</v>
      </c>
      <c r="V26" s="25">
        <v>5</v>
      </c>
    </row>
    <row r="27" spans="1:22" ht="15" customHeight="1" x14ac:dyDescent="0.3">
      <c r="A27" s="326"/>
      <c r="B27" s="326"/>
      <c r="C27" s="326"/>
      <c r="D27" s="314"/>
      <c r="E27" s="314"/>
      <c r="F27" s="27"/>
      <c r="G27" s="61" t="s">
        <v>398</v>
      </c>
      <c r="H27" s="314"/>
      <c r="J27" s="166">
        <v>19</v>
      </c>
      <c r="K27" s="166">
        <v>20</v>
      </c>
      <c r="L27" s="167" t="s">
        <v>1498</v>
      </c>
      <c r="U27" s="25">
        <v>6</v>
      </c>
      <c r="V27" s="25">
        <v>7</v>
      </c>
    </row>
    <row r="28" spans="1:22" ht="15" customHeight="1" x14ac:dyDescent="0.3">
      <c r="A28" s="326"/>
      <c r="B28" s="326"/>
      <c r="C28" s="326"/>
      <c r="D28" s="314"/>
      <c r="E28" s="314"/>
      <c r="F28" s="27"/>
      <c r="G28" s="61" t="s">
        <v>1049</v>
      </c>
      <c r="H28" s="314"/>
      <c r="J28" s="166">
        <v>21</v>
      </c>
      <c r="K28" s="166">
        <v>22</v>
      </c>
      <c r="L28" s="167" t="s">
        <v>1499</v>
      </c>
      <c r="U28" s="25">
        <v>8</v>
      </c>
      <c r="V28" s="25">
        <v>9</v>
      </c>
    </row>
    <row r="29" spans="1:22" ht="15" customHeight="1" x14ac:dyDescent="0.3">
      <c r="A29" s="326"/>
      <c r="B29" s="326"/>
      <c r="C29" s="326"/>
      <c r="D29" s="314"/>
      <c r="E29" s="314"/>
      <c r="F29" s="27"/>
      <c r="G29" s="61" t="s">
        <v>1048</v>
      </c>
      <c r="H29" s="314"/>
      <c r="J29" s="166">
        <v>23</v>
      </c>
      <c r="K29" s="166">
        <v>24</v>
      </c>
      <c r="L29" s="167" t="s">
        <v>1500</v>
      </c>
      <c r="U29" s="25">
        <v>10</v>
      </c>
      <c r="V29" s="25">
        <v>11</v>
      </c>
    </row>
    <row r="30" spans="1:22" ht="15" customHeight="1" x14ac:dyDescent="0.3">
      <c r="A30" s="326"/>
      <c r="B30" s="326"/>
      <c r="C30" s="326"/>
      <c r="D30" s="314">
        <v>1</v>
      </c>
      <c r="E30" s="314">
        <v>0</v>
      </c>
      <c r="F30" s="27"/>
      <c r="G30" s="61" t="s">
        <v>400</v>
      </c>
      <c r="H30" s="314" t="s">
        <v>1059</v>
      </c>
      <c r="I30" s="25" t="s">
        <v>1058</v>
      </c>
      <c r="J30" s="166">
        <v>25</v>
      </c>
      <c r="K30" s="166">
        <v>26</v>
      </c>
      <c r="L30" s="167" t="s">
        <v>1501</v>
      </c>
      <c r="U30" s="25">
        <v>12</v>
      </c>
      <c r="V30" s="25">
        <v>13</v>
      </c>
    </row>
    <row r="31" spans="1:22" ht="15" customHeight="1" x14ac:dyDescent="0.3">
      <c r="A31" s="326"/>
      <c r="B31" s="326"/>
      <c r="C31" s="326"/>
      <c r="D31" s="314"/>
      <c r="E31" s="314"/>
      <c r="F31" s="27"/>
      <c r="G31" s="61" t="s">
        <v>398</v>
      </c>
      <c r="H31" s="314"/>
      <c r="J31" s="166">
        <v>27</v>
      </c>
      <c r="K31" s="166">
        <v>28</v>
      </c>
      <c r="L31" s="167" t="s">
        <v>1502</v>
      </c>
      <c r="U31" s="25">
        <v>14</v>
      </c>
      <c r="V31" s="25">
        <v>15</v>
      </c>
    </row>
    <row r="32" spans="1:22" ht="15" customHeight="1" x14ac:dyDescent="0.3">
      <c r="A32" s="326"/>
      <c r="B32" s="326"/>
      <c r="C32" s="326"/>
      <c r="D32" s="314"/>
      <c r="E32" s="314"/>
      <c r="F32" s="27"/>
      <c r="G32" s="61" t="s">
        <v>1049</v>
      </c>
      <c r="H32" s="314"/>
      <c r="J32" s="166">
        <v>29</v>
      </c>
      <c r="K32" s="166">
        <v>30</v>
      </c>
      <c r="L32" s="167" t="s">
        <v>1503</v>
      </c>
      <c r="U32" s="25">
        <v>16</v>
      </c>
      <c r="V32" s="25">
        <v>17</v>
      </c>
    </row>
    <row r="33" spans="1:22" ht="15" customHeight="1" x14ac:dyDescent="0.3">
      <c r="A33" s="326"/>
      <c r="B33" s="326"/>
      <c r="C33" s="326"/>
      <c r="D33" s="314"/>
      <c r="E33" s="314"/>
      <c r="F33" s="27"/>
      <c r="G33" s="61" t="s">
        <v>1048</v>
      </c>
      <c r="H33" s="314"/>
      <c r="J33" s="166">
        <v>31</v>
      </c>
      <c r="K33" s="166">
        <v>32</v>
      </c>
      <c r="L33" s="167" t="s">
        <v>1504</v>
      </c>
      <c r="U33" s="25">
        <v>18</v>
      </c>
      <c r="V33" s="25">
        <v>19</v>
      </c>
    </row>
    <row r="34" spans="1:22" ht="15" customHeight="1" x14ac:dyDescent="0.3">
      <c r="A34" s="326"/>
      <c r="B34" s="326"/>
      <c r="C34" s="326"/>
      <c r="D34" s="314"/>
      <c r="E34" s="314">
        <v>1</v>
      </c>
      <c r="F34" s="27"/>
      <c r="G34" s="61" t="s">
        <v>400</v>
      </c>
      <c r="H34" s="314" t="s">
        <v>1057</v>
      </c>
      <c r="J34" s="166">
        <v>33</v>
      </c>
      <c r="K34" s="166">
        <v>34</v>
      </c>
      <c r="L34" s="167" t="s">
        <v>1505</v>
      </c>
      <c r="U34" s="25">
        <v>20</v>
      </c>
      <c r="V34" s="25">
        <v>21</v>
      </c>
    </row>
    <row r="35" spans="1:22" ht="15" customHeight="1" x14ac:dyDescent="0.3">
      <c r="A35" s="326"/>
      <c r="B35" s="326"/>
      <c r="C35" s="326"/>
      <c r="D35" s="314"/>
      <c r="E35" s="314"/>
      <c r="F35" s="27"/>
      <c r="G35" s="61" t="s">
        <v>398</v>
      </c>
      <c r="H35" s="314"/>
      <c r="J35" s="166">
        <v>35</v>
      </c>
      <c r="K35" s="166">
        <v>36</v>
      </c>
      <c r="L35" s="167" t="s">
        <v>1506</v>
      </c>
      <c r="U35" s="25">
        <v>22</v>
      </c>
      <c r="V35" s="25">
        <v>23</v>
      </c>
    </row>
    <row r="36" spans="1:22" ht="15" customHeight="1" x14ac:dyDescent="0.3">
      <c r="A36" s="326"/>
      <c r="B36" s="326"/>
      <c r="C36" s="326"/>
      <c r="D36" s="314"/>
      <c r="E36" s="314"/>
      <c r="F36" s="27"/>
      <c r="G36" s="61" t="s">
        <v>1049</v>
      </c>
      <c r="H36" s="314"/>
      <c r="J36" s="166">
        <v>37</v>
      </c>
      <c r="K36" s="166">
        <v>38</v>
      </c>
      <c r="L36" s="27"/>
      <c r="U36" s="25">
        <v>24</v>
      </c>
      <c r="V36" s="25">
        <v>25</v>
      </c>
    </row>
    <row r="37" spans="1:22" ht="15" customHeight="1" x14ac:dyDescent="0.3">
      <c r="A37" s="326"/>
      <c r="B37" s="326"/>
      <c r="C37" s="326"/>
      <c r="D37" s="314"/>
      <c r="E37" s="323"/>
      <c r="F37" s="27"/>
      <c r="G37" s="61" t="s">
        <v>1048</v>
      </c>
      <c r="H37" s="314"/>
      <c r="J37" s="166">
        <v>39</v>
      </c>
      <c r="K37" s="166">
        <v>40</v>
      </c>
      <c r="L37" s="27"/>
      <c r="U37" s="25">
        <v>26</v>
      </c>
      <c r="V37" s="25">
        <v>27</v>
      </c>
    </row>
    <row r="38" spans="1:22" ht="15" customHeight="1" x14ac:dyDescent="0.3">
      <c r="A38" s="326"/>
      <c r="B38" s="326"/>
      <c r="C38" s="326"/>
      <c r="D38" s="314"/>
      <c r="E38" s="349"/>
      <c r="F38" s="50"/>
      <c r="G38" s="63"/>
      <c r="H38" s="346"/>
      <c r="J38" s="166">
        <v>41</v>
      </c>
      <c r="K38" s="166">
        <v>42</v>
      </c>
      <c r="L38" s="27"/>
      <c r="U38" s="25">
        <v>28</v>
      </c>
      <c r="V38" s="25">
        <v>29</v>
      </c>
    </row>
    <row r="39" spans="1:22" ht="15" customHeight="1" x14ac:dyDescent="0.3">
      <c r="A39" s="326"/>
      <c r="B39" s="326"/>
      <c r="C39" s="326"/>
      <c r="D39" s="314"/>
      <c r="E39" s="331"/>
      <c r="H39" s="343"/>
      <c r="J39" s="166">
        <v>43</v>
      </c>
      <c r="K39" s="166">
        <v>44</v>
      </c>
      <c r="L39" s="27"/>
      <c r="U39" s="25">
        <v>30</v>
      </c>
      <c r="V39" s="25">
        <v>31</v>
      </c>
    </row>
    <row r="40" spans="1:22" ht="15" customHeight="1" x14ac:dyDescent="0.3">
      <c r="A40" s="326"/>
      <c r="B40" s="326"/>
      <c r="C40" s="326"/>
      <c r="D40" s="314"/>
      <c r="E40" s="331"/>
      <c r="H40" s="343"/>
      <c r="J40" s="166">
        <v>45</v>
      </c>
      <c r="K40" s="166">
        <v>46</v>
      </c>
      <c r="L40" s="27"/>
    </row>
    <row r="41" spans="1:22" ht="15" customHeight="1" x14ac:dyDescent="0.3">
      <c r="A41" s="326"/>
      <c r="B41" s="326"/>
      <c r="C41" s="326"/>
      <c r="D41" s="314"/>
      <c r="E41" s="350"/>
      <c r="F41" s="47"/>
      <c r="G41" s="62"/>
      <c r="H41" s="348"/>
      <c r="J41" s="166">
        <v>47</v>
      </c>
      <c r="K41" s="166">
        <v>48</v>
      </c>
      <c r="L41" s="27"/>
    </row>
    <row r="42" spans="1:22" ht="15" customHeight="1" x14ac:dyDescent="0.3">
      <c r="A42" s="326"/>
      <c r="B42" s="326"/>
      <c r="C42" s="326"/>
      <c r="D42" s="314"/>
      <c r="E42" s="324">
        <v>14</v>
      </c>
      <c r="F42" s="27"/>
      <c r="G42" s="61" t="s">
        <v>400</v>
      </c>
      <c r="H42" s="347" t="s">
        <v>1516</v>
      </c>
      <c r="J42" s="166">
        <v>49</v>
      </c>
      <c r="K42" s="166">
        <v>50</v>
      </c>
      <c r="L42" s="27"/>
    </row>
    <row r="43" spans="1:22" ht="15" customHeight="1" x14ac:dyDescent="0.3">
      <c r="A43" s="326"/>
      <c r="B43" s="326"/>
      <c r="C43" s="326"/>
      <c r="D43" s="314"/>
      <c r="E43" s="314"/>
      <c r="F43" s="27"/>
      <c r="G43" s="61" t="s">
        <v>398</v>
      </c>
      <c r="H43" s="314"/>
      <c r="J43" s="166">
        <v>51</v>
      </c>
      <c r="K43" s="166">
        <v>52</v>
      </c>
      <c r="L43" s="27"/>
    </row>
    <row r="44" spans="1:22" ht="15" customHeight="1" x14ac:dyDescent="0.3">
      <c r="A44" s="326"/>
      <c r="B44" s="326"/>
      <c r="C44" s="326"/>
      <c r="D44" s="314"/>
      <c r="E44" s="314"/>
      <c r="F44" s="27"/>
      <c r="G44" s="61" t="s">
        <v>1049</v>
      </c>
      <c r="H44" s="314"/>
      <c r="J44" s="166">
        <v>53</v>
      </c>
      <c r="K44" s="166">
        <v>54</v>
      </c>
      <c r="L44" s="27"/>
    </row>
    <row r="45" spans="1:22" ht="15" customHeight="1" x14ac:dyDescent="0.3">
      <c r="A45" s="326"/>
      <c r="B45" s="326"/>
      <c r="C45" s="326"/>
      <c r="D45" s="314"/>
      <c r="E45" s="314"/>
      <c r="F45" s="27"/>
      <c r="G45" s="61" t="s">
        <v>1048</v>
      </c>
      <c r="H45" s="314"/>
      <c r="J45" s="166">
        <v>55</v>
      </c>
      <c r="K45" s="166">
        <v>56</v>
      </c>
      <c r="L45" s="27"/>
    </row>
    <row r="46" spans="1:22" ht="15" customHeight="1" x14ac:dyDescent="0.3">
      <c r="A46" s="326"/>
      <c r="B46" s="326"/>
      <c r="C46" s="326"/>
      <c r="D46" s="314"/>
      <c r="E46" s="314">
        <v>15</v>
      </c>
      <c r="F46" s="27"/>
      <c r="G46" s="61" t="s">
        <v>400</v>
      </c>
      <c r="H46" s="347" t="s">
        <v>1517</v>
      </c>
      <c r="J46" s="166">
        <v>57</v>
      </c>
      <c r="K46" s="166">
        <v>58</v>
      </c>
      <c r="L46" s="27"/>
    </row>
    <row r="47" spans="1:22" ht="15" customHeight="1" x14ac:dyDescent="0.3">
      <c r="A47" s="326"/>
      <c r="B47" s="326"/>
      <c r="C47" s="326"/>
      <c r="D47" s="314"/>
      <c r="E47" s="314"/>
      <c r="F47" s="27"/>
      <c r="G47" s="61" t="s">
        <v>398</v>
      </c>
      <c r="H47" s="314"/>
      <c r="J47" s="166">
        <v>59</v>
      </c>
      <c r="K47" s="166">
        <v>60</v>
      </c>
      <c r="L47" s="27"/>
    </row>
    <row r="48" spans="1:22" ht="15" customHeight="1" x14ac:dyDescent="0.3">
      <c r="A48" s="326"/>
      <c r="B48" s="326"/>
      <c r="C48" s="326"/>
      <c r="D48" s="314"/>
      <c r="E48" s="314"/>
      <c r="F48" s="27"/>
      <c r="G48" s="61" t="s">
        <v>1049</v>
      </c>
      <c r="H48" s="314"/>
      <c r="J48" s="166">
        <v>61</v>
      </c>
      <c r="K48" s="166">
        <v>62</v>
      </c>
      <c r="L48" s="27"/>
    </row>
    <row r="49" spans="1:12" ht="15" customHeight="1" x14ac:dyDescent="0.3">
      <c r="A49" s="326"/>
      <c r="B49" s="326"/>
      <c r="C49" s="326"/>
      <c r="D49" s="314"/>
      <c r="E49" s="314"/>
      <c r="F49" s="27"/>
      <c r="G49" s="61" t="s">
        <v>1048</v>
      </c>
      <c r="H49" s="314"/>
      <c r="J49" s="166">
        <v>63</v>
      </c>
      <c r="K49" s="166">
        <v>64</v>
      </c>
      <c r="L49" s="27"/>
    </row>
    <row r="50" spans="1:12" ht="15" customHeight="1" x14ac:dyDescent="0.3">
      <c r="A50" s="326"/>
      <c r="B50" s="326"/>
      <c r="C50" s="326"/>
      <c r="D50" s="314">
        <v>2</v>
      </c>
      <c r="E50" s="314">
        <v>0</v>
      </c>
      <c r="F50" s="27"/>
      <c r="G50" s="61" t="s">
        <v>400</v>
      </c>
      <c r="H50" s="314" t="s">
        <v>1056</v>
      </c>
      <c r="I50" s="25" t="s">
        <v>1055</v>
      </c>
    </row>
    <row r="51" spans="1:12" ht="15" customHeight="1" x14ac:dyDescent="0.3">
      <c r="A51" s="326"/>
      <c r="B51" s="326"/>
      <c r="C51" s="326"/>
      <c r="D51" s="314"/>
      <c r="E51" s="314"/>
      <c r="F51" s="27"/>
      <c r="G51" s="61" t="s">
        <v>398</v>
      </c>
      <c r="H51" s="314"/>
    </row>
    <row r="52" spans="1:12" ht="15" customHeight="1" x14ac:dyDescent="0.3">
      <c r="A52" s="326"/>
      <c r="B52" s="326"/>
      <c r="C52" s="326"/>
      <c r="D52" s="314"/>
      <c r="E52" s="314"/>
      <c r="F52" s="27"/>
      <c r="G52" s="61" t="s">
        <v>1049</v>
      </c>
      <c r="H52" s="314"/>
    </row>
    <row r="53" spans="1:12" ht="15" customHeight="1" x14ac:dyDescent="0.3">
      <c r="A53" s="326"/>
      <c r="B53" s="326"/>
      <c r="C53" s="326"/>
      <c r="D53" s="314"/>
      <c r="E53" s="314"/>
      <c r="F53" s="27"/>
      <c r="G53" s="61" t="s">
        <v>1048</v>
      </c>
      <c r="H53" s="314"/>
    </row>
    <row r="54" spans="1:12" ht="15" customHeight="1" x14ac:dyDescent="0.3">
      <c r="A54" s="326"/>
      <c r="B54" s="326"/>
      <c r="C54" s="326"/>
      <c r="D54" s="314"/>
      <c r="E54" s="314">
        <v>1</v>
      </c>
      <c r="F54" s="27"/>
      <c r="G54" s="61" t="s">
        <v>400</v>
      </c>
      <c r="H54" s="314" t="s">
        <v>1054</v>
      </c>
    </row>
    <row r="55" spans="1:12" ht="15" customHeight="1" x14ac:dyDescent="0.3">
      <c r="A55" s="326"/>
      <c r="B55" s="326"/>
      <c r="C55" s="326"/>
      <c r="D55" s="314"/>
      <c r="E55" s="314"/>
      <c r="F55" s="27"/>
      <c r="G55" s="61" t="s">
        <v>398</v>
      </c>
      <c r="H55" s="314"/>
    </row>
    <row r="56" spans="1:12" ht="15" customHeight="1" x14ac:dyDescent="0.3">
      <c r="A56" s="326"/>
      <c r="B56" s="326"/>
      <c r="C56" s="326"/>
      <c r="D56" s="314"/>
      <c r="E56" s="314"/>
      <c r="F56" s="27"/>
      <c r="G56" s="61" t="s">
        <v>1049</v>
      </c>
      <c r="H56" s="314"/>
    </row>
    <row r="57" spans="1:12" ht="15" customHeight="1" x14ac:dyDescent="0.3">
      <c r="A57" s="326"/>
      <c r="B57" s="326"/>
      <c r="C57" s="326"/>
      <c r="D57" s="314"/>
      <c r="E57" s="323"/>
      <c r="F57" s="27"/>
      <c r="G57" s="61" t="s">
        <v>1048</v>
      </c>
      <c r="H57" s="314"/>
    </row>
    <row r="58" spans="1:12" ht="15" customHeight="1" x14ac:dyDescent="0.3">
      <c r="A58" s="326"/>
      <c r="B58" s="326"/>
      <c r="C58" s="326"/>
      <c r="D58" s="314"/>
      <c r="E58" s="349"/>
      <c r="F58" s="50"/>
      <c r="G58" s="63"/>
      <c r="H58" s="346"/>
    </row>
    <row r="59" spans="1:12" ht="15" customHeight="1" x14ac:dyDescent="0.3">
      <c r="A59" s="326"/>
      <c r="B59" s="326"/>
      <c r="C59" s="326"/>
      <c r="D59" s="314"/>
      <c r="E59" s="331"/>
      <c r="H59" s="343"/>
    </row>
    <row r="60" spans="1:12" ht="15" customHeight="1" x14ac:dyDescent="0.3">
      <c r="A60" s="326"/>
      <c r="B60" s="326"/>
      <c r="C60" s="326"/>
      <c r="D60" s="314"/>
      <c r="E60" s="331"/>
      <c r="H60" s="343"/>
    </row>
    <row r="61" spans="1:12" ht="15" customHeight="1" x14ac:dyDescent="0.3">
      <c r="A61" s="326"/>
      <c r="B61" s="326"/>
      <c r="C61" s="326"/>
      <c r="D61" s="314"/>
      <c r="E61" s="350"/>
      <c r="F61" s="47"/>
      <c r="G61" s="62"/>
      <c r="H61" s="348"/>
    </row>
    <row r="62" spans="1:12" ht="15" customHeight="1" x14ac:dyDescent="0.3">
      <c r="A62" s="326"/>
      <c r="B62" s="326"/>
      <c r="C62" s="326"/>
      <c r="D62" s="314"/>
      <c r="E62" s="324">
        <v>14</v>
      </c>
      <c r="F62" s="27"/>
      <c r="G62" s="61" t="s">
        <v>400</v>
      </c>
      <c r="H62" s="347" t="s">
        <v>1518</v>
      </c>
    </row>
    <row r="63" spans="1:12" ht="15" customHeight="1" x14ac:dyDescent="0.3">
      <c r="A63" s="326"/>
      <c r="B63" s="326"/>
      <c r="C63" s="326"/>
      <c r="D63" s="314"/>
      <c r="E63" s="314"/>
      <c r="F63" s="27"/>
      <c r="G63" s="61" t="s">
        <v>398</v>
      </c>
      <c r="H63" s="314"/>
    </row>
    <row r="64" spans="1:12" ht="15" customHeight="1" x14ac:dyDescent="0.3">
      <c r="A64" s="326"/>
      <c r="B64" s="326"/>
      <c r="C64" s="326"/>
      <c r="D64" s="314"/>
      <c r="E64" s="314"/>
      <c r="F64" s="27"/>
      <c r="G64" s="61" t="s">
        <v>1049</v>
      </c>
      <c r="H64" s="314"/>
    </row>
    <row r="65" spans="1:8" ht="15" customHeight="1" x14ac:dyDescent="0.3">
      <c r="A65" s="326"/>
      <c r="B65" s="326"/>
      <c r="C65" s="326"/>
      <c r="D65" s="314"/>
      <c r="E65" s="314"/>
      <c r="F65" s="27"/>
      <c r="G65" s="61" t="s">
        <v>1048</v>
      </c>
      <c r="H65" s="314"/>
    </row>
    <row r="66" spans="1:8" ht="15" customHeight="1" x14ac:dyDescent="0.3">
      <c r="A66" s="326"/>
      <c r="B66" s="326"/>
      <c r="C66" s="326"/>
      <c r="D66" s="314"/>
      <c r="E66" s="314">
        <v>15</v>
      </c>
      <c r="F66" s="27"/>
      <c r="G66" s="61" t="s">
        <v>400</v>
      </c>
      <c r="H66" s="347" t="s">
        <v>1519</v>
      </c>
    </row>
    <row r="67" spans="1:8" ht="15" customHeight="1" x14ac:dyDescent="0.3">
      <c r="A67" s="326"/>
      <c r="B67" s="326"/>
      <c r="C67" s="326"/>
      <c r="D67" s="314"/>
      <c r="E67" s="314"/>
      <c r="F67" s="27"/>
      <c r="G67" s="61" t="s">
        <v>398</v>
      </c>
      <c r="H67" s="314"/>
    </row>
    <row r="68" spans="1:8" ht="15" customHeight="1" x14ac:dyDescent="0.3">
      <c r="A68" s="326"/>
      <c r="B68" s="326"/>
      <c r="C68" s="326"/>
      <c r="D68" s="314"/>
      <c r="E68" s="314"/>
      <c r="F68" s="27"/>
      <c r="G68" s="61" t="s">
        <v>1049</v>
      </c>
      <c r="H68" s="314"/>
    </row>
    <row r="69" spans="1:8" ht="15" customHeight="1" x14ac:dyDescent="0.3">
      <c r="A69" s="326"/>
      <c r="B69" s="326"/>
      <c r="C69" s="326"/>
      <c r="D69" s="323"/>
      <c r="E69" s="314"/>
      <c r="F69" s="54"/>
      <c r="G69" s="65" t="s">
        <v>1048</v>
      </c>
      <c r="H69" s="323"/>
    </row>
    <row r="70" spans="1:8" ht="15" customHeight="1" x14ac:dyDescent="0.3">
      <c r="A70" s="326"/>
      <c r="B70" s="326"/>
      <c r="C70" s="326"/>
      <c r="D70" s="349"/>
      <c r="E70" s="345"/>
      <c r="F70" s="50"/>
      <c r="G70" s="63"/>
      <c r="H70" s="346"/>
    </row>
    <row r="71" spans="1:8" ht="15" customHeight="1" x14ac:dyDescent="0.3">
      <c r="A71" s="326"/>
      <c r="B71" s="326"/>
      <c r="C71" s="326"/>
      <c r="D71" s="331"/>
      <c r="E71" s="332"/>
      <c r="H71" s="343"/>
    </row>
    <row r="72" spans="1:8" ht="15" customHeight="1" x14ac:dyDescent="0.3">
      <c r="A72" s="326"/>
      <c r="B72" s="326"/>
      <c r="C72" s="326"/>
      <c r="D72" s="331"/>
      <c r="E72" s="332"/>
      <c r="H72" s="343"/>
    </row>
    <row r="73" spans="1:8" ht="15" customHeight="1" x14ac:dyDescent="0.3">
      <c r="A73" s="326"/>
      <c r="B73" s="326"/>
      <c r="C73" s="326"/>
      <c r="D73" s="331"/>
      <c r="E73" s="332"/>
      <c r="H73" s="343"/>
    </row>
    <row r="74" spans="1:8" ht="15" customHeight="1" x14ac:dyDescent="0.3">
      <c r="A74" s="326"/>
      <c r="B74" s="326"/>
      <c r="C74" s="326"/>
      <c r="D74" s="331"/>
      <c r="E74" s="332"/>
      <c r="H74" s="343"/>
    </row>
    <row r="75" spans="1:8" ht="15" customHeight="1" x14ac:dyDescent="0.3">
      <c r="A75" s="326"/>
      <c r="B75" s="326"/>
      <c r="C75" s="326"/>
      <c r="D75" s="331"/>
      <c r="E75" s="332"/>
      <c r="H75" s="343"/>
    </row>
    <row r="76" spans="1:8" ht="15" customHeight="1" x14ac:dyDescent="0.3">
      <c r="A76" s="326"/>
      <c r="B76" s="326"/>
      <c r="C76" s="326"/>
      <c r="D76" s="331"/>
      <c r="E76" s="332"/>
      <c r="H76" s="343"/>
    </row>
    <row r="77" spans="1:8" ht="15" customHeight="1" x14ac:dyDescent="0.3">
      <c r="A77" s="326"/>
      <c r="B77" s="326"/>
      <c r="C77" s="326"/>
      <c r="D77" s="350"/>
      <c r="E77" s="341"/>
      <c r="F77" s="47"/>
      <c r="G77" s="62"/>
      <c r="H77" s="348"/>
    </row>
    <row r="78" spans="1:8" ht="15" customHeight="1" x14ac:dyDescent="0.3">
      <c r="A78" s="326"/>
      <c r="B78" s="326"/>
      <c r="C78" s="326"/>
      <c r="D78" s="324">
        <v>41</v>
      </c>
      <c r="E78" s="314">
        <v>0</v>
      </c>
      <c r="F78" s="53"/>
      <c r="G78" s="64" t="s">
        <v>400</v>
      </c>
      <c r="H78" s="324" t="s">
        <v>1053</v>
      </c>
    </row>
    <row r="79" spans="1:8" ht="15" customHeight="1" x14ac:dyDescent="0.3">
      <c r="A79" s="326"/>
      <c r="B79" s="326"/>
      <c r="C79" s="326"/>
      <c r="D79" s="314"/>
      <c r="E79" s="314"/>
      <c r="F79" s="27"/>
      <c r="G79" s="61" t="s">
        <v>398</v>
      </c>
      <c r="H79" s="314"/>
    </row>
    <row r="80" spans="1:8" ht="15" customHeight="1" x14ac:dyDescent="0.3">
      <c r="A80" s="326"/>
      <c r="B80" s="326"/>
      <c r="C80" s="326"/>
      <c r="D80" s="314"/>
      <c r="E80" s="314"/>
      <c r="F80" s="27"/>
      <c r="G80" s="61" t="s">
        <v>1049</v>
      </c>
      <c r="H80" s="314"/>
    </row>
    <row r="81" spans="1:8" ht="15" customHeight="1" x14ac:dyDescent="0.3">
      <c r="A81" s="326"/>
      <c r="B81" s="326"/>
      <c r="C81" s="326"/>
      <c r="D81" s="314"/>
      <c r="E81" s="314"/>
      <c r="F81" s="27"/>
      <c r="G81" s="61" t="s">
        <v>1048</v>
      </c>
      <c r="H81" s="314"/>
    </row>
    <row r="82" spans="1:8" ht="15" customHeight="1" x14ac:dyDescent="0.3">
      <c r="A82" s="326"/>
      <c r="B82" s="326"/>
      <c r="C82" s="326"/>
      <c r="D82" s="314"/>
      <c r="E82" s="314">
        <v>1</v>
      </c>
      <c r="F82" s="27"/>
      <c r="G82" s="61" t="s">
        <v>400</v>
      </c>
      <c r="H82" s="314" t="s">
        <v>1052</v>
      </c>
    </row>
    <row r="83" spans="1:8" ht="15" customHeight="1" x14ac:dyDescent="0.3">
      <c r="A83" s="326"/>
      <c r="B83" s="326"/>
      <c r="C83" s="326"/>
      <c r="D83" s="314"/>
      <c r="E83" s="314"/>
      <c r="F83" s="27"/>
      <c r="G83" s="61" t="s">
        <v>398</v>
      </c>
      <c r="H83" s="314"/>
    </row>
    <row r="84" spans="1:8" ht="15" customHeight="1" x14ac:dyDescent="0.3">
      <c r="A84" s="326"/>
      <c r="B84" s="326"/>
      <c r="C84" s="326"/>
      <c r="D84" s="314"/>
      <c r="E84" s="314"/>
      <c r="F84" s="27"/>
      <c r="G84" s="61" t="s">
        <v>1049</v>
      </c>
      <c r="H84" s="314"/>
    </row>
    <row r="85" spans="1:8" ht="15" customHeight="1" x14ac:dyDescent="0.3">
      <c r="A85" s="326"/>
      <c r="B85" s="326"/>
      <c r="C85" s="326"/>
      <c r="D85" s="314"/>
      <c r="E85" s="323"/>
      <c r="F85" s="27"/>
      <c r="G85" s="61" t="s">
        <v>1048</v>
      </c>
      <c r="H85" s="314"/>
    </row>
    <row r="86" spans="1:8" ht="15" customHeight="1" x14ac:dyDescent="0.3">
      <c r="A86" s="326"/>
      <c r="B86" s="326"/>
      <c r="C86" s="326"/>
      <c r="D86" s="314"/>
      <c r="E86" s="349"/>
      <c r="F86" s="50"/>
      <c r="G86" s="63"/>
      <c r="H86" s="346"/>
    </row>
    <row r="87" spans="1:8" ht="15" customHeight="1" x14ac:dyDescent="0.3">
      <c r="A87" s="326"/>
      <c r="B87" s="326"/>
      <c r="C87" s="326"/>
      <c r="D87" s="314"/>
      <c r="E87" s="331"/>
      <c r="H87" s="343"/>
    </row>
    <row r="88" spans="1:8" ht="15" customHeight="1" x14ac:dyDescent="0.3">
      <c r="A88" s="326"/>
      <c r="B88" s="326"/>
      <c r="C88" s="326"/>
      <c r="D88" s="314"/>
      <c r="E88" s="331"/>
      <c r="H88" s="343"/>
    </row>
    <row r="89" spans="1:8" ht="15" customHeight="1" x14ac:dyDescent="0.3">
      <c r="A89" s="326"/>
      <c r="B89" s="326"/>
      <c r="C89" s="326"/>
      <c r="D89" s="314"/>
      <c r="E89" s="350"/>
      <c r="F89" s="47"/>
      <c r="G89" s="62"/>
      <c r="H89" s="348"/>
    </row>
    <row r="90" spans="1:8" ht="15" customHeight="1" x14ac:dyDescent="0.3">
      <c r="A90" s="326"/>
      <c r="B90" s="326"/>
      <c r="C90" s="326"/>
      <c r="D90" s="314"/>
      <c r="E90" s="324">
        <v>14</v>
      </c>
      <c r="F90" s="27"/>
      <c r="G90" s="61" t="s">
        <v>400</v>
      </c>
      <c r="H90" s="347" t="s">
        <v>1520</v>
      </c>
    </row>
    <row r="91" spans="1:8" ht="15" customHeight="1" x14ac:dyDescent="0.3">
      <c r="A91" s="326"/>
      <c r="B91" s="326"/>
      <c r="C91" s="326"/>
      <c r="D91" s="314"/>
      <c r="E91" s="314"/>
      <c r="F91" s="27"/>
      <c r="G91" s="61" t="s">
        <v>398</v>
      </c>
      <c r="H91" s="314"/>
    </row>
    <row r="92" spans="1:8" ht="15" customHeight="1" x14ac:dyDescent="0.3">
      <c r="A92" s="326"/>
      <c r="B92" s="326"/>
      <c r="C92" s="326"/>
      <c r="D92" s="314"/>
      <c r="E92" s="314"/>
      <c r="F92" s="27"/>
      <c r="G92" s="61" t="s">
        <v>1049</v>
      </c>
      <c r="H92" s="314"/>
    </row>
    <row r="93" spans="1:8" ht="15" customHeight="1" x14ac:dyDescent="0.3">
      <c r="A93" s="326"/>
      <c r="B93" s="326"/>
      <c r="C93" s="326"/>
      <c r="D93" s="314"/>
      <c r="E93" s="314"/>
      <c r="F93" s="27"/>
      <c r="G93" s="61" t="s">
        <v>1048</v>
      </c>
      <c r="H93" s="314"/>
    </row>
    <row r="94" spans="1:8" ht="15" customHeight="1" x14ac:dyDescent="0.3">
      <c r="A94" s="326"/>
      <c r="B94" s="326"/>
      <c r="C94" s="326"/>
      <c r="D94" s="314"/>
      <c r="E94" s="314">
        <v>15</v>
      </c>
      <c r="F94" s="27"/>
      <c r="G94" s="61" t="s">
        <v>400</v>
      </c>
      <c r="H94" s="347" t="s">
        <v>1521</v>
      </c>
    </row>
    <row r="95" spans="1:8" ht="15" customHeight="1" x14ac:dyDescent="0.3">
      <c r="A95" s="326"/>
      <c r="B95" s="326"/>
      <c r="C95" s="326"/>
      <c r="D95" s="314"/>
      <c r="E95" s="314"/>
      <c r="F95" s="27"/>
      <c r="G95" s="61" t="s">
        <v>398</v>
      </c>
      <c r="H95" s="314"/>
    </row>
    <row r="96" spans="1:8" ht="15" customHeight="1" x14ac:dyDescent="0.3">
      <c r="A96" s="326"/>
      <c r="B96" s="326"/>
      <c r="C96" s="326"/>
      <c r="D96" s="314"/>
      <c r="E96" s="314"/>
      <c r="F96" s="27"/>
      <c r="G96" s="61" t="s">
        <v>1049</v>
      </c>
      <c r="H96" s="314"/>
    </row>
    <row r="97" spans="1:8" ht="15" customHeight="1" x14ac:dyDescent="0.3">
      <c r="A97" s="326"/>
      <c r="B97" s="326"/>
      <c r="C97" s="326"/>
      <c r="D97" s="314"/>
      <c r="E97" s="314"/>
      <c r="F97" s="27"/>
      <c r="G97" s="61" t="s">
        <v>1048</v>
      </c>
      <c r="H97" s="314"/>
    </row>
    <row r="98" spans="1:8" ht="15" customHeight="1" x14ac:dyDescent="0.3">
      <c r="A98" s="326"/>
      <c r="B98" s="326"/>
      <c r="C98" s="326"/>
      <c r="D98" s="314">
        <v>42</v>
      </c>
      <c r="E98" s="314">
        <v>0</v>
      </c>
      <c r="F98" s="27"/>
      <c r="G98" s="61" t="s">
        <v>400</v>
      </c>
      <c r="H98" s="314" t="s">
        <v>1051</v>
      </c>
    </row>
    <row r="99" spans="1:8" ht="15" customHeight="1" x14ac:dyDescent="0.3">
      <c r="A99" s="326"/>
      <c r="B99" s="326"/>
      <c r="C99" s="326"/>
      <c r="D99" s="314"/>
      <c r="E99" s="314"/>
      <c r="F99" s="27"/>
      <c r="G99" s="61" t="s">
        <v>398</v>
      </c>
      <c r="H99" s="314"/>
    </row>
    <row r="100" spans="1:8" ht="15" customHeight="1" x14ac:dyDescent="0.3">
      <c r="A100" s="326"/>
      <c r="B100" s="326"/>
      <c r="C100" s="326"/>
      <c r="D100" s="314"/>
      <c r="E100" s="314"/>
      <c r="F100" s="27"/>
      <c r="G100" s="61" t="s">
        <v>1049</v>
      </c>
      <c r="H100" s="314"/>
    </row>
    <row r="101" spans="1:8" ht="15" customHeight="1" x14ac:dyDescent="0.3">
      <c r="A101" s="326"/>
      <c r="B101" s="326"/>
      <c r="C101" s="326"/>
      <c r="D101" s="314"/>
      <c r="E101" s="314"/>
      <c r="F101" s="27"/>
      <c r="G101" s="61" t="s">
        <v>1048</v>
      </c>
      <c r="H101" s="314"/>
    </row>
    <row r="102" spans="1:8" ht="15" customHeight="1" x14ac:dyDescent="0.3">
      <c r="A102" s="326"/>
      <c r="B102" s="326"/>
      <c r="C102" s="326"/>
      <c r="D102" s="314"/>
      <c r="E102" s="314">
        <v>1</v>
      </c>
      <c r="F102" s="27"/>
      <c r="G102" s="61" t="s">
        <v>400</v>
      </c>
      <c r="H102" s="314" t="s">
        <v>1050</v>
      </c>
    </row>
    <row r="103" spans="1:8" ht="15" customHeight="1" x14ac:dyDescent="0.3">
      <c r="A103" s="326"/>
      <c r="B103" s="326"/>
      <c r="C103" s="326"/>
      <c r="D103" s="314"/>
      <c r="E103" s="314"/>
      <c r="F103" s="27"/>
      <c r="G103" s="61" t="s">
        <v>398</v>
      </c>
      <c r="H103" s="314"/>
    </row>
    <row r="104" spans="1:8" ht="15" customHeight="1" x14ac:dyDescent="0.3">
      <c r="A104" s="326"/>
      <c r="B104" s="326"/>
      <c r="C104" s="326"/>
      <c r="D104" s="314"/>
      <c r="E104" s="314"/>
      <c r="F104" s="27"/>
      <c r="G104" s="61" t="s">
        <v>1049</v>
      </c>
      <c r="H104" s="314"/>
    </row>
    <row r="105" spans="1:8" ht="15" customHeight="1" x14ac:dyDescent="0.3">
      <c r="A105" s="326"/>
      <c r="B105" s="326"/>
      <c r="C105" s="326"/>
      <c r="D105" s="314"/>
      <c r="E105" s="323"/>
      <c r="F105" s="27"/>
      <c r="G105" s="61" t="s">
        <v>1048</v>
      </c>
      <c r="H105" s="314"/>
    </row>
    <row r="106" spans="1:8" ht="15" customHeight="1" x14ac:dyDescent="0.3">
      <c r="A106" s="326"/>
      <c r="B106" s="326"/>
      <c r="C106" s="326"/>
      <c r="D106" s="314"/>
      <c r="E106" s="349"/>
      <c r="F106" s="50"/>
      <c r="G106" s="63"/>
      <c r="H106" s="346"/>
    </row>
    <row r="107" spans="1:8" ht="15" customHeight="1" x14ac:dyDescent="0.3">
      <c r="A107" s="326"/>
      <c r="B107" s="326"/>
      <c r="C107" s="326"/>
      <c r="D107" s="314"/>
      <c r="E107" s="331"/>
      <c r="H107" s="343"/>
    </row>
    <row r="108" spans="1:8" ht="15" customHeight="1" x14ac:dyDescent="0.3">
      <c r="A108" s="326"/>
      <c r="B108" s="326"/>
      <c r="C108" s="326"/>
      <c r="D108" s="314"/>
      <c r="E108" s="331"/>
      <c r="H108" s="343"/>
    </row>
    <row r="109" spans="1:8" ht="15" customHeight="1" x14ac:dyDescent="0.3">
      <c r="A109" s="326"/>
      <c r="B109" s="326"/>
      <c r="C109" s="326"/>
      <c r="D109" s="314"/>
      <c r="E109" s="350"/>
      <c r="F109" s="47"/>
      <c r="G109" s="62"/>
      <c r="H109" s="348"/>
    </row>
    <row r="110" spans="1:8" ht="15" customHeight="1" x14ac:dyDescent="0.3">
      <c r="A110" s="326"/>
      <c r="B110" s="326"/>
      <c r="C110" s="326"/>
      <c r="D110" s="314"/>
      <c r="E110" s="324">
        <v>62</v>
      </c>
      <c r="F110" s="27"/>
      <c r="G110" s="61" t="s">
        <v>400</v>
      </c>
      <c r="H110" s="347" t="s">
        <v>1522</v>
      </c>
    </row>
    <row r="111" spans="1:8" ht="15" customHeight="1" x14ac:dyDescent="0.3">
      <c r="A111" s="326"/>
      <c r="B111" s="326"/>
      <c r="C111" s="326"/>
      <c r="D111" s="314"/>
      <c r="E111" s="314"/>
      <c r="F111" s="27"/>
      <c r="G111" s="61" t="s">
        <v>398</v>
      </c>
      <c r="H111" s="314"/>
    </row>
    <row r="112" spans="1:8" ht="15" customHeight="1" x14ac:dyDescent="0.3">
      <c r="A112" s="326"/>
      <c r="B112" s="326"/>
      <c r="C112" s="326"/>
      <c r="D112" s="314"/>
      <c r="E112" s="314"/>
      <c r="F112" s="27"/>
      <c r="G112" s="61" t="s">
        <v>1049</v>
      </c>
      <c r="H112" s="314"/>
    </row>
    <row r="113" spans="1:8" ht="15" customHeight="1" x14ac:dyDescent="0.3">
      <c r="A113" s="326"/>
      <c r="B113" s="326"/>
      <c r="C113" s="326"/>
      <c r="D113" s="314"/>
      <c r="E113" s="314"/>
      <c r="F113" s="27"/>
      <c r="G113" s="61" t="s">
        <v>1048</v>
      </c>
      <c r="H113" s="314"/>
    </row>
    <row r="114" spans="1:8" ht="15" customHeight="1" x14ac:dyDescent="0.3">
      <c r="A114" s="326"/>
      <c r="B114" s="326"/>
      <c r="C114" s="326"/>
      <c r="D114" s="314"/>
      <c r="E114" s="314">
        <v>63</v>
      </c>
      <c r="F114" s="27"/>
      <c r="G114" s="61" t="s">
        <v>400</v>
      </c>
      <c r="H114" s="347" t="s">
        <v>1523</v>
      </c>
    </row>
    <row r="115" spans="1:8" ht="15" customHeight="1" x14ac:dyDescent="0.3">
      <c r="A115" s="326"/>
      <c r="B115" s="326"/>
      <c r="C115" s="326"/>
      <c r="D115" s="314"/>
      <c r="E115" s="314"/>
      <c r="F115" s="27"/>
      <c r="G115" s="61" t="s">
        <v>398</v>
      </c>
      <c r="H115" s="314"/>
    </row>
    <row r="116" spans="1:8" ht="15" customHeight="1" x14ac:dyDescent="0.3">
      <c r="A116" s="326"/>
      <c r="B116" s="326"/>
      <c r="C116" s="326"/>
      <c r="D116" s="314"/>
      <c r="E116" s="314"/>
      <c r="F116" s="27"/>
      <c r="G116" s="61" t="s">
        <v>1049</v>
      </c>
      <c r="H116" s="314"/>
    </row>
    <row r="117" spans="1:8" ht="15" customHeight="1" x14ac:dyDescent="0.3">
      <c r="A117" s="327"/>
      <c r="B117" s="327"/>
      <c r="C117" s="327"/>
      <c r="D117" s="314"/>
      <c r="E117" s="314"/>
      <c r="F117" s="27"/>
      <c r="G117" s="61" t="s">
        <v>1048</v>
      </c>
      <c r="H117" s="314"/>
    </row>
  </sheetData>
  <mergeCells count="67">
    <mergeCell ref="A10:A117"/>
    <mergeCell ref="B10:B117"/>
    <mergeCell ref="C10:C117"/>
    <mergeCell ref="C8:F8"/>
    <mergeCell ref="G8:G9"/>
    <mergeCell ref="D30:D49"/>
    <mergeCell ref="E30:E33"/>
    <mergeCell ref="E34:E37"/>
    <mergeCell ref="E38:E41"/>
    <mergeCell ref="E42:E45"/>
    <mergeCell ref="E46:E49"/>
    <mergeCell ref="E10:E13"/>
    <mergeCell ref="D98:D117"/>
    <mergeCell ref="E98:E101"/>
    <mergeCell ref="E110:E113"/>
    <mergeCell ref="D78:D97"/>
    <mergeCell ref="D10:D29"/>
    <mergeCell ref="D70:D77"/>
    <mergeCell ref="E70:E73"/>
    <mergeCell ref="H70:H73"/>
    <mergeCell ref="E74:E77"/>
    <mergeCell ref="D50:D69"/>
    <mergeCell ref="E50:E53"/>
    <mergeCell ref="E54:E57"/>
    <mergeCell ref="E66:E69"/>
    <mergeCell ref="H10:H13"/>
    <mergeCell ref="H38:H41"/>
    <mergeCell ref="H42:H45"/>
    <mergeCell ref="H26:H29"/>
    <mergeCell ref="H8:H9"/>
    <mergeCell ref="E94:E97"/>
    <mergeCell ref="H94:H97"/>
    <mergeCell ref="H74:H77"/>
    <mergeCell ref="H46:H49"/>
    <mergeCell ref="E14:E17"/>
    <mergeCell ref="E18:E21"/>
    <mergeCell ref="E22:E25"/>
    <mergeCell ref="E26:E29"/>
    <mergeCell ref="H22:H25"/>
    <mergeCell ref="H54:H57"/>
    <mergeCell ref="E58:E61"/>
    <mergeCell ref="H58:H61"/>
    <mergeCell ref="E62:E65"/>
    <mergeCell ref="H62:H65"/>
    <mergeCell ref="E78:E81"/>
    <mergeCell ref="H110:H113"/>
    <mergeCell ref="E114:E117"/>
    <mergeCell ref="H114:H117"/>
    <mergeCell ref="H98:H101"/>
    <mergeCell ref="E102:E105"/>
    <mergeCell ref="H102:H105"/>
    <mergeCell ref="E106:E109"/>
    <mergeCell ref="H106:H109"/>
    <mergeCell ref="E90:E93"/>
    <mergeCell ref="H90:H93"/>
    <mergeCell ref="H82:H85"/>
    <mergeCell ref="E86:E89"/>
    <mergeCell ref="H86:H89"/>
    <mergeCell ref="J17:K17"/>
    <mergeCell ref="H34:H37"/>
    <mergeCell ref="H66:H69"/>
    <mergeCell ref="H78:H81"/>
    <mergeCell ref="E82:E85"/>
    <mergeCell ref="H50:H53"/>
    <mergeCell ref="H30:H33"/>
    <mergeCell ref="H14:H17"/>
    <mergeCell ref="H18:H21"/>
  </mergeCell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R23"/>
  <sheetViews>
    <sheetView workbookViewId="0">
      <selection activeCell="M50" sqref="M50"/>
    </sheetView>
  </sheetViews>
  <sheetFormatPr defaultColWidth="8.875" defaultRowHeight="16.5" x14ac:dyDescent="0.3"/>
  <cols>
    <col min="1" max="4" width="8.875" style="25"/>
    <col min="5" max="5" width="5" style="25" bestFit="1" customWidth="1"/>
    <col min="6" max="6" width="21.875" style="25" bestFit="1" customWidth="1"/>
    <col min="7" max="12" width="8.875" style="25"/>
    <col min="13" max="13" width="21.125" style="25" bestFit="1" customWidth="1"/>
    <col min="14" max="16" width="8.875" style="25"/>
    <col min="17" max="17" width="12.375" style="25" bestFit="1" customWidth="1"/>
    <col min="18" max="18" width="25.625" style="25" customWidth="1"/>
    <col min="19" max="16384" width="8.875" style="25"/>
  </cols>
  <sheetData>
    <row r="4" spans="2:18" x14ac:dyDescent="0.3">
      <c r="C4" s="332" t="s">
        <v>1003</v>
      </c>
      <c r="D4" s="332"/>
      <c r="E4" s="332"/>
      <c r="F4" s="332"/>
      <c r="G4" s="26"/>
      <c r="J4" s="332" t="s">
        <v>1002</v>
      </c>
      <c r="K4" s="332"/>
      <c r="L4" s="332"/>
      <c r="M4" s="332"/>
    </row>
    <row r="5" spans="2:18" x14ac:dyDescent="0.3">
      <c r="G5" s="26"/>
    </row>
    <row r="6" spans="2:18" x14ac:dyDescent="0.3">
      <c r="B6" s="314" t="s">
        <v>275</v>
      </c>
      <c r="C6" s="314"/>
      <c r="D6" s="314"/>
      <c r="E6" s="314"/>
      <c r="F6" s="314" t="s">
        <v>276</v>
      </c>
      <c r="G6" s="314" t="s">
        <v>939</v>
      </c>
      <c r="I6" s="314" t="s">
        <v>275</v>
      </c>
      <c r="J6" s="314"/>
      <c r="K6" s="314"/>
      <c r="L6" s="314"/>
      <c r="M6" s="314" t="s">
        <v>276</v>
      </c>
      <c r="N6" s="314" t="s">
        <v>939</v>
      </c>
    </row>
    <row r="7" spans="2:18" x14ac:dyDescent="0.3">
      <c r="B7" s="28" t="s">
        <v>278</v>
      </c>
      <c r="C7" s="28" t="s">
        <v>997</v>
      </c>
      <c r="D7" s="28" t="s">
        <v>996</v>
      </c>
      <c r="E7" s="28" t="s">
        <v>995</v>
      </c>
      <c r="F7" s="314"/>
      <c r="G7" s="314"/>
      <c r="I7" s="27" t="s">
        <v>278</v>
      </c>
      <c r="J7" s="28" t="s">
        <v>997</v>
      </c>
      <c r="K7" s="28" t="s">
        <v>996</v>
      </c>
      <c r="L7" s="28" t="s">
        <v>995</v>
      </c>
      <c r="M7" s="314"/>
      <c r="N7" s="314"/>
    </row>
    <row r="8" spans="2:18" x14ac:dyDescent="0.3">
      <c r="B8" s="316">
        <v>0</v>
      </c>
      <c r="C8" s="316">
        <v>4</v>
      </c>
      <c r="D8" s="316">
        <v>0</v>
      </c>
      <c r="E8" s="28">
        <v>0</v>
      </c>
      <c r="F8" s="154" t="s">
        <v>1472</v>
      </c>
      <c r="G8" s="28">
        <v>8</v>
      </c>
      <c r="I8" s="315">
        <v>0</v>
      </c>
      <c r="J8" s="327">
        <v>5</v>
      </c>
      <c r="K8" s="327">
        <v>0</v>
      </c>
      <c r="L8" s="35">
        <v>0</v>
      </c>
      <c r="M8" s="154" t="s">
        <v>1480</v>
      </c>
      <c r="N8" s="28">
        <v>8</v>
      </c>
    </row>
    <row r="9" spans="2:18" x14ac:dyDescent="0.3">
      <c r="B9" s="316"/>
      <c r="C9" s="316"/>
      <c r="D9" s="316"/>
      <c r="E9" s="28">
        <v>1</v>
      </c>
      <c r="F9" s="154" t="s">
        <v>1473</v>
      </c>
      <c r="G9" s="28">
        <v>8</v>
      </c>
      <c r="I9" s="315"/>
      <c r="J9" s="316"/>
      <c r="K9" s="316"/>
      <c r="L9" s="28">
        <v>1</v>
      </c>
      <c r="M9" s="154" t="s">
        <v>1481</v>
      </c>
      <c r="N9" s="28">
        <v>8</v>
      </c>
    </row>
    <row r="10" spans="2:18" x14ac:dyDescent="0.3">
      <c r="B10" s="316"/>
      <c r="C10" s="316"/>
      <c r="D10" s="316"/>
      <c r="E10" s="28">
        <v>2</v>
      </c>
      <c r="F10" s="154" t="s">
        <v>1474</v>
      </c>
      <c r="G10" s="28">
        <v>8</v>
      </c>
      <c r="I10" s="315"/>
      <c r="J10" s="316"/>
      <c r="K10" s="316"/>
      <c r="L10" s="28">
        <v>2</v>
      </c>
      <c r="M10" s="154" t="s">
        <v>1482</v>
      </c>
      <c r="N10" s="28">
        <v>8</v>
      </c>
      <c r="Q10" s="59" t="s">
        <v>1009</v>
      </c>
      <c r="R10" s="58" t="s">
        <v>1008</v>
      </c>
    </row>
    <row r="11" spans="2:18" x14ac:dyDescent="0.3">
      <c r="B11" s="316"/>
      <c r="C11" s="316"/>
      <c r="D11" s="316"/>
      <c r="E11" s="28">
        <v>3</v>
      </c>
      <c r="F11" s="154" t="s">
        <v>1475</v>
      </c>
      <c r="G11" s="28">
        <v>8</v>
      </c>
      <c r="I11" s="315"/>
      <c r="J11" s="316"/>
      <c r="K11" s="316"/>
      <c r="L11" s="28">
        <v>3</v>
      </c>
      <c r="M11" s="154" t="s">
        <v>1483</v>
      </c>
      <c r="N11" s="28">
        <v>8</v>
      </c>
    </row>
    <row r="12" spans="2:18" x14ac:dyDescent="0.3">
      <c r="B12" s="316"/>
      <c r="C12" s="316"/>
      <c r="D12" s="316"/>
      <c r="E12" s="28">
        <v>4</v>
      </c>
      <c r="F12" s="154" t="s">
        <v>1476</v>
      </c>
      <c r="G12" s="28">
        <v>8</v>
      </c>
      <c r="I12" s="315"/>
      <c r="J12" s="316"/>
      <c r="K12" s="316"/>
      <c r="L12" s="28">
        <v>4</v>
      </c>
      <c r="M12" s="154" t="s">
        <v>1484</v>
      </c>
      <c r="N12" s="28">
        <v>8</v>
      </c>
      <c r="Q12" s="59" t="s">
        <v>1007</v>
      </c>
      <c r="R12" s="58" t="s">
        <v>1006</v>
      </c>
    </row>
    <row r="13" spans="2:18" x14ac:dyDescent="0.3">
      <c r="B13" s="316"/>
      <c r="C13" s="316"/>
      <c r="D13" s="316"/>
      <c r="E13" s="28">
        <v>5</v>
      </c>
      <c r="F13" s="154" t="s">
        <v>1477</v>
      </c>
      <c r="G13" s="28">
        <v>8</v>
      </c>
      <c r="I13" s="315"/>
      <c r="J13" s="316"/>
      <c r="K13" s="316"/>
      <c r="L13" s="28">
        <v>5</v>
      </c>
      <c r="M13" s="154" t="s">
        <v>1485</v>
      </c>
      <c r="N13" s="28">
        <v>8</v>
      </c>
      <c r="Q13" s="58" t="s">
        <v>1005</v>
      </c>
      <c r="R13" s="58" t="s">
        <v>1004</v>
      </c>
    </row>
    <row r="14" spans="2:18" x14ac:dyDescent="0.3">
      <c r="B14" s="316"/>
      <c r="C14" s="316"/>
      <c r="D14" s="316"/>
      <c r="E14" s="28">
        <v>6</v>
      </c>
      <c r="F14" s="154" t="s">
        <v>1478</v>
      </c>
      <c r="G14" s="28">
        <v>8</v>
      </c>
      <c r="I14" s="315"/>
      <c r="J14" s="316"/>
      <c r="K14" s="316"/>
      <c r="L14" s="28">
        <v>6</v>
      </c>
      <c r="M14" s="154" t="s">
        <v>1486</v>
      </c>
      <c r="N14" s="28">
        <v>8</v>
      </c>
    </row>
    <row r="15" spans="2:18" x14ac:dyDescent="0.3">
      <c r="B15" s="316"/>
      <c r="C15" s="316"/>
      <c r="D15" s="316"/>
      <c r="E15" s="28">
        <v>7</v>
      </c>
      <c r="F15" s="154" t="s">
        <v>1479</v>
      </c>
      <c r="G15" s="28">
        <v>8</v>
      </c>
      <c r="I15" s="315"/>
      <c r="J15" s="316"/>
      <c r="K15" s="316"/>
      <c r="L15" s="28">
        <v>7</v>
      </c>
      <c r="M15" s="154" t="s">
        <v>1487</v>
      </c>
      <c r="N15" s="28">
        <v>8</v>
      </c>
    </row>
    <row r="16" spans="2:18" x14ac:dyDescent="0.3">
      <c r="B16" s="316"/>
      <c r="C16" s="316"/>
      <c r="D16" s="316"/>
      <c r="E16" s="28">
        <v>8</v>
      </c>
      <c r="F16" s="28"/>
      <c r="G16" s="28"/>
      <c r="I16" s="315"/>
      <c r="J16" s="316"/>
      <c r="K16" s="316"/>
      <c r="L16" s="28">
        <v>8</v>
      </c>
      <c r="M16" s="28"/>
      <c r="N16" s="28"/>
    </row>
    <row r="17" spans="2:14" x14ac:dyDescent="0.3">
      <c r="B17" s="316"/>
      <c r="C17" s="316"/>
      <c r="D17" s="316"/>
      <c r="E17" s="28">
        <v>9</v>
      </c>
      <c r="F17" s="28"/>
      <c r="G17" s="28"/>
      <c r="I17" s="315"/>
      <c r="J17" s="316"/>
      <c r="K17" s="316"/>
      <c r="L17" s="28">
        <v>9</v>
      </c>
      <c r="M17" s="28"/>
      <c r="N17" s="28"/>
    </row>
    <row r="18" spans="2:14" x14ac:dyDescent="0.3">
      <c r="B18" s="316"/>
      <c r="C18" s="316"/>
      <c r="D18" s="316"/>
      <c r="E18" s="28">
        <v>10</v>
      </c>
      <c r="F18" s="28"/>
      <c r="G18" s="28"/>
      <c r="I18" s="315"/>
      <c r="J18" s="316"/>
      <c r="K18" s="316"/>
      <c r="L18" s="28">
        <v>10</v>
      </c>
      <c r="M18" s="28"/>
      <c r="N18" s="28"/>
    </row>
    <row r="19" spans="2:14" x14ac:dyDescent="0.3">
      <c r="B19" s="316"/>
      <c r="C19" s="316"/>
      <c r="D19" s="316"/>
      <c r="E19" s="28">
        <v>11</v>
      </c>
      <c r="F19" s="28"/>
      <c r="G19" s="28"/>
      <c r="I19" s="315"/>
      <c r="J19" s="316"/>
      <c r="K19" s="316"/>
      <c r="L19" s="28">
        <v>11</v>
      </c>
      <c r="M19" s="28"/>
      <c r="N19" s="28"/>
    </row>
    <row r="20" spans="2:14" x14ac:dyDescent="0.3">
      <c r="B20" s="316"/>
      <c r="C20" s="316"/>
      <c r="D20" s="316"/>
      <c r="E20" s="28">
        <v>12</v>
      </c>
      <c r="F20" s="28"/>
      <c r="G20" s="28"/>
      <c r="I20" s="315"/>
      <c r="J20" s="316"/>
      <c r="K20" s="316"/>
      <c r="L20" s="28">
        <v>12</v>
      </c>
      <c r="M20" s="28"/>
      <c r="N20" s="28"/>
    </row>
    <row r="21" spans="2:14" x14ac:dyDescent="0.3">
      <c r="B21" s="316"/>
      <c r="C21" s="316"/>
      <c r="D21" s="316"/>
      <c r="E21" s="28">
        <v>13</v>
      </c>
      <c r="F21" s="28"/>
      <c r="G21" s="28"/>
      <c r="I21" s="315"/>
      <c r="J21" s="316"/>
      <c r="K21" s="316"/>
      <c r="L21" s="28">
        <v>13</v>
      </c>
      <c r="M21" s="28"/>
      <c r="N21" s="28"/>
    </row>
    <row r="22" spans="2:14" x14ac:dyDescent="0.3">
      <c r="B22" s="316"/>
      <c r="C22" s="316"/>
      <c r="D22" s="316"/>
      <c r="E22" s="28">
        <v>14</v>
      </c>
      <c r="F22" s="28"/>
      <c r="G22" s="28"/>
      <c r="I22" s="315"/>
      <c r="J22" s="316"/>
      <c r="K22" s="316"/>
      <c r="L22" s="28">
        <v>14</v>
      </c>
      <c r="M22" s="28"/>
      <c r="N22" s="28"/>
    </row>
    <row r="23" spans="2:14" x14ac:dyDescent="0.3">
      <c r="B23" s="316"/>
      <c r="C23" s="316"/>
      <c r="D23" s="316"/>
      <c r="E23" s="28">
        <v>15</v>
      </c>
      <c r="F23" s="28"/>
      <c r="G23" s="28"/>
      <c r="I23" s="315"/>
      <c r="J23" s="316"/>
      <c r="K23" s="316"/>
      <c r="L23" s="28">
        <v>15</v>
      </c>
      <c r="M23" s="28"/>
      <c r="N23" s="28"/>
    </row>
  </sheetData>
  <mergeCells count="14">
    <mergeCell ref="N6:N7"/>
    <mergeCell ref="B8:B23"/>
    <mergeCell ref="C8:C23"/>
    <mergeCell ref="D8:D23"/>
    <mergeCell ref="I8:I23"/>
    <mergeCell ref="J8:J23"/>
    <mergeCell ref="K8:K23"/>
    <mergeCell ref="C4:F4"/>
    <mergeCell ref="J4:M4"/>
    <mergeCell ref="B6:E6"/>
    <mergeCell ref="F6:F7"/>
    <mergeCell ref="G6:G7"/>
    <mergeCell ref="I6:L6"/>
    <mergeCell ref="M6:M7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132"/>
  <sheetViews>
    <sheetView zoomScale="70" zoomScaleNormal="70" workbookViewId="0">
      <selection activeCell="W29" sqref="W29"/>
    </sheetView>
  </sheetViews>
  <sheetFormatPr defaultColWidth="8.875" defaultRowHeight="16.5" x14ac:dyDescent="0.3"/>
  <cols>
    <col min="1" max="9" width="8.875" style="25"/>
    <col min="10" max="10" width="22.875" style="25" customWidth="1"/>
    <col min="11" max="16384" width="8.875" style="25"/>
  </cols>
  <sheetData>
    <row r="3" spans="2:10" x14ac:dyDescent="0.3">
      <c r="B3" s="314" t="s">
        <v>275</v>
      </c>
      <c r="C3" s="314"/>
      <c r="D3" s="314"/>
      <c r="E3" s="314"/>
      <c r="F3" s="28" t="s">
        <v>276</v>
      </c>
      <c r="G3" s="314" t="s">
        <v>277</v>
      </c>
    </row>
    <row r="4" spans="2:10" x14ac:dyDescent="0.3">
      <c r="B4" s="27" t="s">
        <v>278</v>
      </c>
      <c r="C4" s="28" t="s">
        <v>997</v>
      </c>
      <c r="D4" s="28" t="s">
        <v>1047</v>
      </c>
      <c r="E4" s="28" t="s">
        <v>1046</v>
      </c>
      <c r="F4" s="28" t="s">
        <v>1045</v>
      </c>
      <c r="G4" s="314"/>
    </row>
    <row r="5" spans="2:10" x14ac:dyDescent="0.3">
      <c r="B5" s="316">
        <v>1</v>
      </c>
      <c r="C5" s="316">
        <v>0</v>
      </c>
      <c r="D5" s="323">
        <v>0</v>
      </c>
      <c r="E5" s="28">
        <v>0</v>
      </c>
      <c r="F5" s="27" t="s">
        <v>400</v>
      </c>
      <c r="G5" s="323" t="s">
        <v>1042</v>
      </c>
      <c r="H5" s="25" t="s">
        <v>1044</v>
      </c>
    </row>
    <row r="6" spans="2:10" x14ac:dyDescent="0.3">
      <c r="B6" s="316"/>
      <c r="C6" s="316"/>
      <c r="D6" s="324"/>
      <c r="E6" s="28">
        <v>1</v>
      </c>
      <c r="F6" s="27" t="s">
        <v>398</v>
      </c>
      <c r="G6" s="324"/>
    </row>
    <row r="7" spans="2:10" x14ac:dyDescent="0.3">
      <c r="B7" s="316"/>
      <c r="C7" s="316"/>
      <c r="D7" s="323">
        <v>1</v>
      </c>
      <c r="E7" s="28">
        <v>0</v>
      </c>
      <c r="F7" s="27" t="s">
        <v>400</v>
      </c>
      <c r="G7" s="323" t="s">
        <v>1040</v>
      </c>
    </row>
    <row r="8" spans="2:10" x14ac:dyDescent="0.3">
      <c r="B8" s="316"/>
      <c r="C8" s="316"/>
      <c r="D8" s="324"/>
      <c r="E8" s="28">
        <v>1</v>
      </c>
      <c r="F8" s="27" t="s">
        <v>398</v>
      </c>
      <c r="G8" s="324"/>
      <c r="I8" s="59" t="s">
        <v>1009</v>
      </c>
      <c r="J8" s="58" t="s">
        <v>1008</v>
      </c>
    </row>
    <row r="9" spans="2:10" x14ac:dyDescent="0.3">
      <c r="B9" s="316"/>
      <c r="C9" s="316"/>
      <c r="D9" s="323">
        <v>2</v>
      </c>
      <c r="E9" s="28">
        <v>0</v>
      </c>
      <c r="F9" s="27" t="s">
        <v>400</v>
      </c>
      <c r="G9" s="323" t="s">
        <v>1039</v>
      </c>
      <c r="I9" s="58"/>
      <c r="J9" s="58" t="s">
        <v>1043</v>
      </c>
    </row>
    <row r="10" spans="2:10" x14ac:dyDescent="0.3">
      <c r="B10" s="316"/>
      <c r="C10" s="316"/>
      <c r="D10" s="324"/>
      <c r="E10" s="28">
        <v>1</v>
      </c>
      <c r="F10" s="27" t="s">
        <v>398</v>
      </c>
      <c r="G10" s="324"/>
    </row>
    <row r="11" spans="2:10" x14ac:dyDescent="0.3">
      <c r="B11" s="316"/>
      <c r="C11" s="316"/>
      <c r="D11" s="323">
        <v>3</v>
      </c>
      <c r="E11" s="28">
        <v>0</v>
      </c>
      <c r="F11" s="27" t="s">
        <v>400</v>
      </c>
      <c r="G11" s="323" t="s">
        <v>1038</v>
      </c>
    </row>
    <row r="12" spans="2:10" x14ac:dyDescent="0.3">
      <c r="B12" s="316"/>
      <c r="C12" s="316"/>
      <c r="D12" s="324"/>
      <c r="E12" s="28">
        <v>1</v>
      </c>
      <c r="F12" s="27" t="s">
        <v>398</v>
      </c>
      <c r="G12" s="324"/>
    </row>
    <row r="13" spans="2:10" x14ac:dyDescent="0.3">
      <c r="B13" s="316"/>
      <c r="C13" s="316"/>
      <c r="D13" s="323">
        <v>4</v>
      </c>
      <c r="E13" s="28">
        <v>0</v>
      </c>
      <c r="F13" s="27" t="s">
        <v>400</v>
      </c>
      <c r="G13" s="323" t="s">
        <v>1037</v>
      </c>
    </row>
    <row r="14" spans="2:10" x14ac:dyDescent="0.3">
      <c r="B14" s="316"/>
      <c r="C14" s="316"/>
      <c r="D14" s="324"/>
      <c r="E14" s="28">
        <v>1</v>
      </c>
      <c r="F14" s="27" t="s">
        <v>398</v>
      </c>
      <c r="G14" s="324"/>
    </row>
    <row r="15" spans="2:10" x14ac:dyDescent="0.3">
      <c r="B15" s="316"/>
      <c r="C15" s="316"/>
      <c r="D15" s="323">
        <v>5</v>
      </c>
      <c r="E15" s="28">
        <v>0</v>
      </c>
      <c r="F15" s="27" t="s">
        <v>400</v>
      </c>
      <c r="G15" s="323" t="s">
        <v>1036</v>
      </c>
    </row>
    <row r="16" spans="2:10" x14ac:dyDescent="0.3">
      <c r="B16" s="316"/>
      <c r="C16" s="316"/>
      <c r="D16" s="324"/>
      <c r="E16" s="28">
        <v>1</v>
      </c>
      <c r="F16" s="27" t="s">
        <v>398</v>
      </c>
      <c r="G16" s="324"/>
    </row>
    <row r="17" spans="2:7" x14ac:dyDescent="0.3">
      <c r="B17" s="316"/>
      <c r="C17" s="316"/>
      <c r="D17" s="323">
        <v>6</v>
      </c>
      <c r="E17" s="28">
        <v>0</v>
      </c>
      <c r="F17" s="27" t="s">
        <v>400</v>
      </c>
      <c r="G17" s="323" t="s">
        <v>1035</v>
      </c>
    </row>
    <row r="18" spans="2:7" x14ac:dyDescent="0.3">
      <c r="B18" s="316"/>
      <c r="C18" s="316"/>
      <c r="D18" s="324"/>
      <c r="E18" s="28">
        <v>1</v>
      </c>
      <c r="F18" s="27" t="s">
        <v>398</v>
      </c>
      <c r="G18" s="324"/>
    </row>
    <row r="19" spans="2:7" x14ac:dyDescent="0.3">
      <c r="B19" s="316"/>
      <c r="C19" s="316"/>
      <c r="D19" s="323">
        <v>7</v>
      </c>
      <c r="E19" s="28">
        <v>0</v>
      </c>
      <c r="F19" s="27" t="s">
        <v>400</v>
      </c>
      <c r="G19" s="323" t="s">
        <v>1034</v>
      </c>
    </row>
    <row r="20" spans="2:7" x14ac:dyDescent="0.3">
      <c r="B20" s="316"/>
      <c r="C20" s="316"/>
      <c r="D20" s="324"/>
      <c r="E20" s="28">
        <v>1</v>
      </c>
      <c r="F20" s="27" t="s">
        <v>398</v>
      </c>
      <c r="G20" s="324"/>
    </row>
    <row r="21" spans="2:7" x14ac:dyDescent="0.3">
      <c r="B21" s="316"/>
      <c r="C21" s="316"/>
      <c r="D21" s="323">
        <v>8</v>
      </c>
      <c r="E21" s="28">
        <v>0</v>
      </c>
      <c r="F21" s="27" t="s">
        <v>400</v>
      </c>
      <c r="G21" s="323" t="s">
        <v>1033</v>
      </c>
    </row>
    <row r="22" spans="2:7" x14ac:dyDescent="0.3">
      <c r="B22" s="316"/>
      <c r="C22" s="316"/>
      <c r="D22" s="324"/>
      <c r="E22" s="28">
        <v>1</v>
      </c>
      <c r="F22" s="27" t="s">
        <v>398</v>
      </c>
      <c r="G22" s="324"/>
    </row>
    <row r="23" spans="2:7" x14ac:dyDescent="0.3">
      <c r="B23" s="316"/>
      <c r="C23" s="316"/>
      <c r="D23" s="323">
        <v>9</v>
      </c>
      <c r="E23" s="28">
        <v>0</v>
      </c>
      <c r="F23" s="27" t="s">
        <v>400</v>
      </c>
      <c r="G23" s="323" t="s">
        <v>1032</v>
      </c>
    </row>
    <row r="24" spans="2:7" x14ac:dyDescent="0.3">
      <c r="B24" s="316"/>
      <c r="C24" s="316"/>
      <c r="D24" s="324"/>
      <c r="E24" s="28">
        <v>1</v>
      </c>
      <c r="F24" s="27" t="s">
        <v>398</v>
      </c>
      <c r="G24" s="324"/>
    </row>
    <row r="25" spans="2:7" x14ac:dyDescent="0.3">
      <c r="B25" s="316"/>
      <c r="C25" s="316"/>
      <c r="D25" s="323">
        <v>10</v>
      </c>
      <c r="E25" s="28">
        <v>0</v>
      </c>
      <c r="F25" s="27" t="s">
        <v>400</v>
      </c>
      <c r="G25" s="323" t="s">
        <v>1031</v>
      </c>
    </row>
    <row r="26" spans="2:7" x14ac:dyDescent="0.3">
      <c r="B26" s="316"/>
      <c r="C26" s="316"/>
      <c r="D26" s="324"/>
      <c r="E26" s="28">
        <v>1</v>
      </c>
      <c r="F26" s="27" t="s">
        <v>398</v>
      </c>
      <c r="G26" s="324"/>
    </row>
    <row r="27" spans="2:7" x14ac:dyDescent="0.3">
      <c r="B27" s="316"/>
      <c r="C27" s="316"/>
      <c r="D27" s="323">
        <v>11</v>
      </c>
      <c r="E27" s="28">
        <v>0</v>
      </c>
      <c r="F27" s="27" t="s">
        <v>400</v>
      </c>
      <c r="G27" s="323" t="s">
        <v>1030</v>
      </c>
    </row>
    <row r="28" spans="2:7" x14ac:dyDescent="0.3">
      <c r="B28" s="316"/>
      <c r="C28" s="316"/>
      <c r="D28" s="324"/>
      <c r="E28" s="28">
        <v>1</v>
      </c>
      <c r="F28" s="27" t="s">
        <v>398</v>
      </c>
      <c r="G28" s="324"/>
    </row>
    <row r="29" spans="2:7" x14ac:dyDescent="0.3">
      <c r="B29" s="316"/>
      <c r="C29" s="316"/>
      <c r="D29" s="323">
        <v>12</v>
      </c>
      <c r="E29" s="28">
        <v>0</v>
      </c>
      <c r="F29" s="27" t="s">
        <v>400</v>
      </c>
      <c r="G29" s="323" t="s">
        <v>1029</v>
      </c>
    </row>
    <row r="30" spans="2:7" x14ac:dyDescent="0.3">
      <c r="B30" s="316"/>
      <c r="C30" s="316"/>
      <c r="D30" s="324"/>
      <c r="E30" s="28">
        <v>1</v>
      </c>
      <c r="F30" s="27" t="s">
        <v>398</v>
      </c>
      <c r="G30" s="324"/>
    </row>
    <row r="31" spans="2:7" x14ac:dyDescent="0.3">
      <c r="B31" s="316"/>
      <c r="C31" s="316"/>
      <c r="D31" s="323">
        <v>13</v>
      </c>
      <c r="E31" s="28">
        <v>0</v>
      </c>
      <c r="F31" s="27" t="s">
        <v>400</v>
      </c>
      <c r="G31" s="323" t="s">
        <v>1028</v>
      </c>
    </row>
    <row r="32" spans="2:7" x14ac:dyDescent="0.3">
      <c r="B32" s="316"/>
      <c r="C32" s="316"/>
      <c r="D32" s="324"/>
      <c r="E32" s="28">
        <v>1</v>
      </c>
      <c r="F32" s="27" t="s">
        <v>398</v>
      </c>
      <c r="G32" s="324"/>
    </row>
    <row r="33" spans="2:7" x14ac:dyDescent="0.3">
      <c r="B33" s="316"/>
      <c r="C33" s="316"/>
      <c r="D33" s="323">
        <v>14</v>
      </c>
      <c r="E33" s="28">
        <v>0</v>
      </c>
      <c r="F33" s="27" t="s">
        <v>400</v>
      </c>
      <c r="G33" s="323" t="s">
        <v>1027</v>
      </c>
    </row>
    <row r="34" spans="2:7" x14ac:dyDescent="0.3">
      <c r="B34" s="316"/>
      <c r="C34" s="316"/>
      <c r="D34" s="324"/>
      <c r="E34" s="28">
        <v>1</v>
      </c>
      <c r="F34" s="27" t="s">
        <v>398</v>
      </c>
      <c r="G34" s="324"/>
    </row>
    <row r="35" spans="2:7" x14ac:dyDescent="0.3">
      <c r="B35" s="316"/>
      <c r="C35" s="316"/>
      <c r="D35" s="323">
        <v>15</v>
      </c>
      <c r="E35" s="28">
        <v>0</v>
      </c>
      <c r="F35" s="27" t="s">
        <v>400</v>
      </c>
      <c r="G35" s="323" t="s">
        <v>1026</v>
      </c>
    </row>
    <row r="36" spans="2:7" x14ac:dyDescent="0.3">
      <c r="B36" s="316"/>
      <c r="C36" s="316"/>
      <c r="D36" s="324"/>
      <c r="E36" s="28">
        <v>1</v>
      </c>
      <c r="F36" s="27" t="s">
        <v>398</v>
      </c>
      <c r="G36" s="324"/>
    </row>
    <row r="37" spans="2:7" x14ac:dyDescent="0.3">
      <c r="B37" s="316"/>
      <c r="C37" s="316"/>
      <c r="D37" s="323">
        <v>16</v>
      </c>
      <c r="E37" s="28">
        <v>0</v>
      </c>
      <c r="F37" s="27" t="s">
        <v>400</v>
      </c>
      <c r="G37" s="323" t="s">
        <v>1025</v>
      </c>
    </row>
    <row r="38" spans="2:7" x14ac:dyDescent="0.3">
      <c r="B38" s="316"/>
      <c r="C38" s="316"/>
      <c r="D38" s="324"/>
      <c r="E38" s="28">
        <v>1</v>
      </c>
      <c r="F38" s="27" t="s">
        <v>398</v>
      </c>
      <c r="G38" s="324"/>
    </row>
    <row r="39" spans="2:7" x14ac:dyDescent="0.3">
      <c r="B39" s="316"/>
      <c r="C39" s="316"/>
      <c r="D39" s="323">
        <v>17</v>
      </c>
      <c r="E39" s="28">
        <v>0</v>
      </c>
      <c r="F39" s="27" t="s">
        <v>400</v>
      </c>
      <c r="G39" s="323" t="s">
        <v>1024</v>
      </c>
    </row>
    <row r="40" spans="2:7" x14ac:dyDescent="0.3">
      <c r="B40" s="316"/>
      <c r="C40" s="316"/>
      <c r="D40" s="324"/>
      <c r="E40" s="28">
        <v>1</v>
      </c>
      <c r="F40" s="27" t="s">
        <v>398</v>
      </c>
      <c r="G40" s="324"/>
    </row>
    <row r="41" spans="2:7" x14ac:dyDescent="0.3">
      <c r="B41" s="316"/>
      <c r="C41" s="316"/>
      <c r="D41" s="323">
        <v>18</v>
      </c>
      <c r="E41" s="28">
        <v>0</v>
      </c>
      <c r="F41" s="27" t="s">
        <v>400</v>
      </c>
      <c r="G41" s="323" t="s">
        <v>1023</v>
      </c>
    </row>
    <row r="42" spans="2:7" x14ac:dyDescent="0.3">
      <c r="B42" s="316"/>
      <c r="C42" s="316"/>
      <c r="D42" s="324"/>
      <c r="E42" s="28">
        <v>1</v>
      </c>
      <c r="F42" s="27" t="s">
        <v>398</v>
      </c>
      <c r="G42" s="324"/>
    </row>
    <row r="43" spans="2:7" x14ac:dyDescent="0.3">
      <c r="B43" s="316"/>
      <c r="C43" s="316"/>
      <c r="D43" s="323">
        <v>19</v>
      </c>
      <c r="E43" s="28">
        <v>0</v>
      </c>
      <c r="F43" s="27" t="s">
        <v>400</v>
      </c>
      <c r="G43" s="323" t="s">
        <v>1022</v>
      </c>
    </row>
    <row r="44" spans="2:7" x14ac:dyDescent="0.3">
      <c r="B44" s="316"/>
      <c r="C44" s="316"/>
      <c r="D44" s="324"/>
      <c r="E44" s="28">
        <v>1</v>
      </c>
      <c r="F44" s="27" t="s">
        <v>398</v>
      </c>
      <c r="G44" s="324"/>
    </row>
    <row r="45" spans="2:7" x14ac:dyDescent="0.3">
      <c r="B45" s="316"/>
      <c r="C45" s="316"/>
      <c r="D45" s="323">
        <v>20</v>
      </c>
      <c r="E45" s="28">
        <v>0</v>
      </c>
      <c r="F45" s="27" t="s">
        <v>400</v>
      </c>
      <c r="G45" s="323" t="s">
        <v>1021</v>
      </c>
    </row>
    <row r="46" spans="2:7" x14ac:dyDescent="0.3">
      <c r="B46" s="316"/>
      <c r="C46" s="316"/>
      <c r="D46" s="324"/>
      <c r="E46" s="28">
        <v>1</v>
      </c>
      <c r="F46" s="27" t="s">
        <v>398</v>
      </c>
      <c r="G46" s="324"/>
    </row>
    <row r="47" spans="2:7" x14ac:dyDescent="0.3">
      <c r="B47" s="316"/>
      <c r="C47" s="316"/>
      <c r="D47" s="323">
        <v>21</v>
      </c>
      <c r="E47" s="28">
        <v>0</v>
      </c>
      <c r="F47" s="27" t="s">
        <v>400</v>
      </c>
      <c r="G47" s="323" t="s">
        <v>1020</v>
      </c>
    </row>
    <row r="48" spans="2:7" x14ac:dyDescent="0.3">
      <c r="B48" s="316"/>
      <c r="C48" s="316"/>
      <c r="D48" s="324"/>
      <c r="E48" s="28">
        <v>1</v>
      </c>
      <c r="F48" s="27" t="s">
        <v>398</v>
      </c>
      <c r="G48" s="324"/>
    </row>
    <row r="49" spans="2:7" x14ac:dyDescent="0.3">
      <c r="B49" s="316"/>
      <c r="C49" s="316"/>
      <c r="D49" s="323">
        <v>22</v>
      </c>
      <c r="E49" s="28">
        <v>0</v>
      </c>
      <c r="F49" s="27" t="s">
        <v>400</v>
      </c>
      <c r="G49" s="323" t="s">
        <v>1019</v>
      </c>
    </row>
    <row r="50" spans="2:7" x14ac:dyDescent="0.3">
      <c r="B50" s="316"/>
      <c r="C50" s="316"/>
      <c r="D50" s="324"/>
      <c r="E50" s="28">
        <v>1</v>
      </c>
      <c r="F50" s="27" t="s">
        <v>398</v>
      </c>
      <c r="G50" s="324"/>
    </row>
    <row r="51" spans="2:7" x14ac:dyDescent="0.3">
      <c r="B51" s="316"/>
      <c r="C51" s="316"/>
      <c r="D51" s="323">
        <v>23</v>
      </c>
      <c r="E51" s="28">
        <v>0</v>
      </c>
      <c r="F51" s="27" t="s">
        <v>400</v>
      </c>
      <c r="G51" s="323" t="s">
        <v>1018</v>
      </c>
    </row>
    <row r="52" spans="2:7" x14ac:dyDescent="0.3">
      <c r="B52" s="316"/>
      <c r="C52" s="316"/>
      <c r="D52" s="324"/>
      <c r="E52" s="28">
        <v>1</v>
      </c>
      <c r="F52" s="27" t="s">
        <v>398</v>
      </c>
      <c r="G52" s="324"/>
    </row>
    <row r="53" spans="2:7" x14ac:dyDescent="0.3">
      <c r="B53" s="316"/>
      <c r="C53" s="316"/>
      <c r="D53" s="323">
        <v>24</v>
      </c>
      <c r="E53" s="28">
        <v>0</v>
      </c>
      <c r="F53" s="27" t="s">
        <v>400</v>
      </c>
      <c r="G53" s="323" t="s">
        <v>1017</v>
      </c>
    </row>
    <row r="54" spans="2:7" x14ac:dyDescent="0.3">
      <c r="B54" s="316"/>
      <c r="C54" s="316"/>
      <c r="D54" s="324"/>
      <c r="E54" s="28">
        <v>1</v>
      </c>
      <c r="F54" s="27" t="s">
        <v>398</v>
      </c>
      <c r="G54" s="324"/>
    </row>
    <row r="55" spans="2:7" x14ac:dyDescent="0.3">
      <c r="B55" s="316"/>
      <c r="C55" s="316"/>
      <c r="D55" s="323">
        <v>25</v>
      </c>
      <c r="E55" s="28">
        <v>0</v>
      </c>
      <c r="F55" s="27" t="s">
        <v>400</v>
      </c>
      <c r="G55" s="323" t="s">
        <v>1016</v>
      </c>
    </row>
    <row r="56" spans="2:7" x14ac:dyDescent="0.3">
      <c r="B56" s="316"/>
      <c r="C56" s="316"/>
      <c r="D56" s="324"/>
      <c r="E56" s="28">
        <v>1</v>
      </c>
      <c r="F56" s="27" t="s">
        <v>398</v>
      </c>
      <c r="G56" s="324"/>
    </row>
    <row r="57" spans="2:7" x14ac:dyDescent="0.3">
      <c r="B57" s="316"/>
      <c r="C57" s="316"/>
      <c r="D57" s="323">
        <v>26</v>
      </c>
      <c r="E57" s="28">
        <v>0</v>
      </c>
      <c r="F57" s="27" t="s">
        <v>400</v>
      </c>
      <c r="G57" s="323" t="s">
        <v>1015</v>
      </c>
    </row>
    <row r="58" spans="2:7" x14ac:dyDescent="0.3">
      <c r="B58" s="316"/>
      <c r="C58" s="316"/>
      <c r="D58" s="324"/>
      <c r="E58" s="28">
        <v>1</v>
      </c>
      <c r="F58" s="27" t="s">
        <v>398</v>
      </c>
      <c r="G58" s="324"/>
    </row>
    <row r="59" spans="2:7" x14ac:dyDescent="0.3">
      <c r="B59" s="316"/>
      <c r="C59" s="316"/>
      <c r="D59" s="323">
        <v>27</v>
      </c>
      <c r="E59" s="28">
        <v>0</v>
      </c>
      <c r="F59" s="27" t="s">
        <v>400</v>
      </c>
      <c r="G59" s="323" t="s">
        <v>1014</v>
      </c>
    </row>
    <row r="60" spans="2:7" x14ac:dyDescent="0.3">
      <c r="B60" s="316"/>
      <c r="C60" s="316"/>
      <c r="D60" s="324"/>
      <c r="E60" s="28">
        <v>1</v>
      </c>
      <c r="F60" s="27" t="s">
        <v>398</v>
      </c>
      <c r="G60" s="324"/>
    </row>
    <row r="61" spans="2:7" x14ac:dyDescent="0.3">
      <c r="B61" s="316"/>
      <c r="C61" s="316"/>
      <c r="D61" s="323">
        <v>28</v>
      </c>
      <c r="E61" s="28">
        <v>0</v>
      </c>
      <c r="F61" s="27" t="s">
        <v>400</v>
      </c>
      <c r="G61" s="323" t="s">
        <v>1013</v>
      </c>
    </row>
    <row r="62" spans="2:7" x14ac:dyDescent="0.3">
      <c r="B62" s="316"/>
      <c r="C62" s="316"/>
      <c r="D62" s="324"/>
      <c r="E62" s="28">
        <v>1</v>
      </c>
      <c r="F62" s="27" t="s">
        <v>398</v>
      </c>
      <c r="G62" s="324"/>
    </row>
    <row r="63" spans="2:7" x14ac:dyDescent="0.3">
      <c r="B63" s="316"/>
      <c r="C63" s="316"/>
      <c r="D63" s="323">
        <v>29</v>
      </c>
      <c r="E63" s="28">
        <v>0</v>
      </c>
      <c r="F63" s="27" t="s">
        <v>400</v>
      </c>
      <c r="G63" s="323" t="s">
        <v>1012</v>
      </c>
    </row>
    <row r="64" spans="2:7" x14ac:dyDescent="0.3">
      <c r="B64" s="316"/>
      <c r="C64" s="316"/>
      <c r="D64" s="324"/>
      <c r="E64" s="28">
        <v>1</v>
      </c>
      <c r="F64" s="27" t="s">
        <v>398</v>
      </c>
      <c r="G64" s="324"/>
    </row>
    <row r="65" spans="2:8" x14ac:dyDescent="0.3">
      <c r="B65" s="316"/>
      <c r="C65" s="316"/>
      <c r="D65" s="323">
        <v>30</v>
      </c>
      <c r="E65" s="28">
        <v>0</v>
      </c>
      <c r="F65" s="27" t="s">
        <v>400</v>
      </c>
      <c r="G65" s="323" t="s">
        <v>1011</v>
      </c>
    </row>
    <row r="66" spans="2:8" x14ac:dyDescent="0.3">
      <c r="B66" s="316"/>
      <c r="C66" s="316"/>
      <c r="D66" s="324"/>
      <c r="E66" s="28">
        <v>1</v>
      </c>
      <c r="F66" s="27" t="s">
        <v>398</v>
      </c>
      <c r="G66" s="324"/>
    </row>
    <row r="67" spans="2:8" x14ac:dyDescent="0.3">
      <c r="B67" s="316"/>
      <c r="C67" s="316"/>
      <c r="D67" s="323">
        <v>31</v>
      </c>
      <c r="E67" s="28">
        <v>0</v>
      </c>
      <c r="F67" s="27" t="s">
        <v>400</v>
      </c>
      <c r="G67" s="323" t="s">
        <v>1010</v>
      </c>
    </row>
    <row r="68" spans="2:8" x14ac:dyDescent="0.3">
      <c r="B68" s="316"/>
      <c r="C68" s="316"/>
      <c r="D68" s="324"/>
      <c r="E68" s="28">
        <v>1</v>
      </c>
      <c r="F68" s="27" t="s">
        <v>398</v>
      </c>
      <c r="G68" s="324"/>
    </row>
    <row r="69" spans="2:8" x14ac:dyDescent="0.3">
      <c r="B69" s="316">
        <v>1</v>
      </c>
      <c r="C69" s="316">
        <v>1</v>
      </c>
      <c r="D69" s="323">
        <v>0</v>
      </c>
      <c r="E69" s="28">
        <v>0</v>
      </c>
      <c r="F69" s="27" t="s">
        <v>400</v>
      </c>
      <c r="G69" s="323" t="s">
        <v>1042</v>
      </c>
      <c r="H69" s="25" t="s">
        <v>1041</v>
      </c>
    </row>
    <row r="70" spans="2:8" x14ac:dyDescent="0.3">
      <c r="B70" s="316"/>
      <c r="C70" s="316"/>
      <c r="D70" s="324"/>
      <c r="E70" s="28">
        <v>1</v>
      </c>
      <c r="F70" s="27" t="s">
        <v>398</v>
      </c>
      <c r="G70" s="324"/>
    </row>
    <row r="71" spans="2:8" x14ac:dyDescent="0.3">
      <c r="B71" s="316"/>
      <c r="C71" s="316"/>
      <c r="D71" s="323">
        <v>1</v>
      </c>
      <c r="E71" s="28">
        <v>0</v>
      </c>
      <c r="F71" s="27" t="s">
        <v>400</v>
      </c>
      <c r="G71" s="323" t="s">
        <v>1040</v>
      </c>
    </row>
    <row r="72" spans="2:8" x14ac:dyDescent="0.3">
      <c r="B72" s="316"/>
      <c r="C72" s="316"/>
      <c r="D72" s="324"/>
      <c r="E72" s="28">
        <v>1</v>
      </c>
      <c r="F72" s="27" t="s">
        <v>398</v>
      </c>
      <c r="G72" s="324"/>
    </row>
    <row r="73" spans="2:8" x14ac:dyDescent="0.3">
      <c r="B73" s="316"/>
      <c r="C73" s="316"/>
      <c r="D73" s="323">
        <v>2</v>
      </c>
      <c r="E73" s="28">
        <v>0</v>
      </c>
      <c r="F73" s="27" t="s">
        <v>400</v>
      </c>
      <c r="G73" s="323" t="s">
        <v>1039</v>
      </c>
    </row>
    <row r="74" spans="2:8" x14ac:dyDescent="0.3">
      <c r="B74" s="316"/>
      <c r="C74" s="316"/>
      <c r="D74" s="324"/>
      <c r="E74" s="28">
        <v>1</v>
      </c>
      <c r="F74" s="27" t="s">
        <v>398</v>
      </c>
      <c r="G74" s="324"/>
    </row>
    <row r="75" spans="2:8" x14ac:dyDescent="0.3">
      <c r="B75" s="316"/>
      <c r="C75" s="316"/>
      <c r="D75" s="323">
        <v>3</v>
      </c>
      <c r="E75" s="28">
        <v>0</v>
      </c>
      <c r="F75" s="27" t="s">
        <v>400</v>
      </c>
      <c r="G75" s="323" t="s">
        <v>1038</v>
      </c>
    </row>
    <row r="76" spans="2:8" x14ac:dyDescent="0.3">
      <c r="B76" s="316"/>
      <c r="C76" s="316"/>
      <c r="D76" s="324"/>
      <c r="E76" s="28">
        <v>1</v>
      </c>
      <c r="F76" s="27" t="s">
        <v>398</v>
      </c>
      <c r="G76" s="324"/>
    </row>
    <row r="77" spans="2:8" x14ac:dyDescent="0.3">
      <c r="B77" s="316"/>
      <c r="C77" s="316"/>
      <c r="D77" s="323">
        <v>4</v>
      </c>
      <c r="E77" s="28">
        <v>0</v>
      </c>
      <c r="F77" s="27" t="s">
        <v>400</v>
      </c>
      <c r="G77" s="323" t="s">
        <v>1037</v>
      </c>
    </row>
    <row r="78" spans="2:8" x14ac:dyDescent="0.3">
      <c r="B78" s="316"/>
      <c r="C78" s="316"/>
      <c r="D78" s="324"/>
      <c r="E78" s="28">
        <v>1</v>
      </c>
      <c r="F78" s="27" t="s">
        <v>398</v>
      </c>
      <c r="G78" s="324"/>
    </row>
    <row r="79" spans="2:8" x14ac:dyDescent="0.3">
      <c r="B79" s="316"/>
      <c r="C79" s="316"/>
      <c r="D79" s="323">
        <v>5</v>
      </c>
      <c r="E79" s="28">
        <v>0</v>
      </c>
      <c r="F79" s="27" t="s">
        <v>400</v>
      </c>
      <c r="G79" s="323" t="s">
        <v>1036</v>
      </c>
    </row>
    <row r="80" spans="2:8" x14ac:dyDescent="0.3">
      <c r="B80" s="316"/>
      <c r="C80" s="316"/>
      <c r="D80" s="324"/>
      <c r="E80" s="28">
        <v>1</v>
      </c>
      <c r="F80" s="27" t="s">
        <v>398</v>
      </c>
      <c r="G80" s="324"/>
    </row>
    <row r="81" spans="2:7" x14ac:dyDescent="0.3">
      <c r="B81" s="316"/>
      <c r="C81" s="316"/>
      <c r="D81" s="323">
        <v>6</v>
      </c>
      <c r="E81" s="28">
        <v>0</v>
      </c>
      <c r="F81" s="27" t="s">
        <v>400</v>
      </c>
      <c r="G81" s="323" t="s">
        <v>1035</v>
      </c>
    </row>
    <row r="82" spans="2:7" x14ac:dyDescent="0.3">
      <c r="B82" s="316"/>
      <c r="C82" s="316"/>
      <c r="D82" s="324"/>
      <c r="E82" s="28">
        <v>1</v>
      </c>
      <c r="F82" s="27" t="s">
        <v>398</v>
      </c>
      <c r="G82" s="324"/>
    </row>
    <row r="83" spans="2:7" x14ac:dyDescent="0.3">
      <c r="B83" s="316"/>
      <c r="C83" s="316"/>
      <c r="D83" s="323">
        <v>7</v>
      </c>
      <c r="E83" s="28">
        <v>0</v>
      </c>
      <c r="F83" s="27" t="s">
        <v>400</v>
      </c>
      <c r="G83" s="323" t="s">
        <v>1034</v>
      </c>
    </row>
    <row r="84" spans="2:7" x14ac:dyDescent="0.3">
      <c r="B84" s="316"/>
      <c r="C84" s="316"/>
      <c r="D84" s="324"/>
      <c r="E84" s="28">
        <v>1</v>
      </c>
      <c r="F84" s="27" t="s">
        <v>398</v>
      </c>
      <c r="G84" s="324"/>
    </row>
    <row r="85" spans="2:7" x14ac:dyDescent="0.3">
      <c r="B85" s="316"/>
      <c r="C85" s="316"/>
      <c r="D85" s="323">
        <v>8</v>
      </c>
      <c r="E85" s="28">
        <v>0</v>
      </c>
      <c r="F85" s="27" t="s">
        <v>400</v>
      </c>
      <c r="G85" s="323" t="s">
        <v>1033</v>
      </c>
    </row>
    <row r="86" spans="2:7" x14ac:dyDescent="0.3">
      <c r="B86" s="316"/>
      <c r="C86" s="316"/>
      <c r="D86" s="324"/>
      <c r="E86" s="28">
        <v>1</v>
      </c>
      <c r="F86" s="27" t="s">
        <v>398</v>
      </c>
      <c r="G86" s="324"/>
    </row>
    <row r="87" spans="2:7" x14ac:dyDescent="0.3">
      <c r="B87" s="316"/>
      <c r="C87" s="316"/>
      <c r="D87" s="323">
        <v>9</v>
      </c>
      <c r="E87" s="28">
        <v>0</v>
      </c>
      <c r="F87" s="27" t="s">
        <v>400</v>
      </c>
      <c r="G87" s="323" t="s">
        <v>1032</v>
      </c>
    </row>
    <row r="88" spans="2:7" x14ac:dyDescent="0.3">
      <c r="B88" s="316"/>
      <c r="C88" s="316"/>
      <c r="D88" s="324"/>
      <c r="E88" s="28">
        <v>1</v>
      </c>
      <c r="F88" s="27" t="s">
        <v>398</v>
      </c>
      <c r="G88" s="324"/>
    </row>
    <row r="89" spans="2:7" x14ac:dyDescent="0.3">
      <c r="B89" s="316"/>
      <c r="C89" s="316"/>
      <c r="D89" s="323">
        <v>10</v>
      </c>
      <c r="E89" s="28">
        <v>0</v>
      </c>
      <c r="F89" s="27" t="s">
        <v>400</v>
      </c>
      <c r="G89" s="323" t="s">
        <v>1031</v>
      </c>
    </row>
    <row r="90" spans="2:7" x14ac:dyDescent="0.3">
      <c r="B90" s="316"/>
      <c r="C90" s="316"/>
      <c r="D90" s="324"/>
      <c r="E90" s="28">
        <v>1</v>
      </c>
      <c r="F90" s="27" t="s">
        <v>398</v>
      </c>
      <c r="G90" s="324"/>
    </row>
    <row r="91" spans="2:7" x14ac:dyDescent="0.3">
      <c r="B91" s="316"/>
      <c r="C91" s="316"/>
      <c r="D91" s="323">
        <v>11</v>
      </c>
      <c r="E91" s="28">
        <v>0</v>
      </c>
      <c r="F91" s="27" t="s">
        <v>400</v>
      </c>
      <c r="G91" s="323" t="s">
        <v>1030</v>
      </c>
    </row>
    <row r="92" spans="2:7" x14ac:dyDescent="0.3">
      <c r="B92" s="316"/>
      <c r="C92" s="316"/>
      <c r="D92" s="324"/>
      <c r="E92" s="28">
        <v>1</v>
      </c>
      <c r="F92" s="27" t="s">
        <v>398</v>
      </c>
      <c r="G92" s="324"/>
    </row>
    <row r="93" spans="2:7" x14ac:dyDescent="0.3">
      <c r="B93" s="316"/>
      <c r="C93" s="316"/>
      <c r="D93" s="323">
        <v>12</v>
      </c>
      <c r="E93" s="28">
        <v>0</v>
      </c>
      <c r="F93" s="27" t="s">
        <v>400</v>
      </c>
      <c r="G93" s="323" t="s">
        <v>1029</v>
      </c>
    </row>
    <row r="94" spans="2:7" x14ac:dyDescent="0.3">
      <c r="B94" s="316"/>
      <c r="C94" s="316"/>
      <c r="D94" s="324"/>
      <c r="E94" s="28">
        <v>1</v>
      </c>
      <c r="F94" s="27" t="s">
        <v>398</v>
      </c>
      <c r="G94" s="324"/>
    </row>
    <row r="95" spans="2:7" x14ac:dyDescent="0.3">
      <c r="B95" s="316"/>
      <c r="C95" s="316"/>
      <c r="D95" s="323">
        <v>13</v>
      </c>
      <c r="E95" s="28">
        <v>0</v>
      </c>
      <c r="F95" s="27" t="s">
        <v>400</v>
      </c>
      <c r="G95" s="323" t="s">
        <v>1028</v>
      </c>
    </row>
    <row r="96" spans="2:7" x14ac:dyDescent="0.3">
      <c r="B96" s="316"/>
      <c r="C96" s="316"/>
      <c r="D96" s="324"/>
      <c r="E96" s="28">
        <v>1</v>
      </c>
      <c r="F96" s="27" t="s">
        <v>398</v>
      </c>
      <c r="G96" s="324"/>
    </row>
    <row r="97" spans="2:7" x14ac:dyDescent="0.3">
      <c r="B97" s="316"/>
      <c r="C97" s="316"/>
      <c r="D97" s="323">
        <v>14</v>
      </c>
      <c r="E97" s="28">
        <v>0</v>
      </c>
      <c r="F97" s="27" t="s">
        <v>400</v>
      </c>
      <c r="G97" s="323" t="s">
        <v>1027</v>
      </c>
    </row>
    <row r="98" spans="2:7" x14ac:dyDescent="0.3">
      <c r="B98" s="316"/>
      <c r="C98" s="316"/>
      <c r="D98" s="324"/>
      <c r="E98" s="28">
        <v>1</v>
      </c>
      <c r="F98" s="27" t="s">
        <v>398</v>
      </c>
      <c r="G98" s="324"/>
    </row>
    <row r="99" spans="2:7" x14ac:dyDescent="0.3">
      <c r="B99" s="316"/>
      <c r="C99" s="316"/>
      <c r="D99" s="323">
        <v>15</v>
      </c>
      <c r="E99" s="28">
        <v>0</v>
      </c>
      <c r="F99" s="27" t="s">
        <v>400</v>
      </c>
      <c r="G99" s="323" t="s">
        <v>1026</v>
      </c>
    </row>
    <row r="100" spans="2:7" x14ac:dyDescent="0.3">
      <c r="B100" s="316"/>
      <c r="C100" s="316"/>
      <c r="D100" s="324"/>
      <c r="E100" s="28">
        <v>1</v>
      </c>
      <c r="F100" s="27" t="s">
        <v>398</v>
      </c>
      <c r="G100" s="324"/>
    </row>
    <row r="101" spans="2:7" x14ac:dyDescent="0.3">
      <c r="B101" s="316"/>
      <c r="C101" s="316"/>
      <c r="D101" s="323">
        <v>16</v>
      </c>
      <c r="E101" s="28">
        <v>0</v>
      </c>
      <c r="F101" s="27" t="s">
        <v>400</v>
      </c>
      <c r="G101" s="323" t="s">
        <v>1025</v>
      </c>
    </row>
    <row r="102" spans="2:7" x14ac:dyDescent="0.3">
      <c r="B102" s="316"/>
      <c r="C102" s="316"/>
      <c r="D102" s="324"/>
      <c r="E102" s="28">
        <v>1</v>
      </c>
      <c r="F102" s="27" t="s">
        <v>398</v>
      </c>
      <c r="G102" s="324"/>
    </row>
    <row r="103" spans="2:7" x14ac:dyDescent="0.3">
      <c r="B103" s="316"/>
      <c r="C103" s="316"/>
      <c r="D103" s="323">
        <v>17</v>
      </c>
      <c r="E103" s="28">
        <v>0</v>
      </c>
      <c r="F103" s="27" t="s">
        <v>400</v>
      </c>
      <c r="G103" s="323" t="s">
        <v>1024</v>
      </c>
    </row>
    <row r="104" spans="2:7" x14ac:dyDescent="0.3">
      <c r="B104" s="316"/>
      <c r="C104" s="316"/>
      <c r="D104" s="324"/>
      <c r="E104" s="28">
        <v>1</v>
      </c>
      <c r="F104" s="27" t="s">
        <v>398</v>
      </c>
      <c r="G104" s="324"/>
    </row>
    <row r="105" spans="2:7" x14ac:dyDescent="0.3">
      <c r="B105" s="316"/>
      <c r="C105" s="316"/>
      <c r="D105" s="323">
        <v>18</v>
      </c>
      <c r="E105" s="28">
        <v>0</v>
      </c>
      <c r="F105" s="27" t="s">
        <v>400</v>
      </c>
      <c r="G105" s="323" t="s">
        <v>1023</v>
      </c>
    </row>
    <row r="106" spans="2:7" x14ac:dyDescent="0.3">
      <c r="B106" s="316"/>
      <c r="C106" s="316"/>
      <c r="D106" s="324"/>
      <c r="E106" s="28">
        <v>1</v>
      </c>
      <c r="F106" s="27" t="s">
        <v>398</v>
      </c>
      <c r="G106" s="324"/>
    </row>
    <row r="107" spans="2:7" x14ac:dyDescent="0.3">
      <c r="B107" s="316"/>
      <c r="C107" s="316"/>
      <c r="D107" s="323">
        <v>19</v>
      </c>
      <c r="E107" s="28">
        <v>0</v>
      </c>
      <c r="F107" s="27" t="s">
        <v>400</v>
      </c>
      <c r="G107" s="323" t="s">
        <v>1022</v>
      </c>
    </row>
    <row r="108" spans="2:7" x14ac:dyDescent="0.3">
      <c r="B108" s="316"/>
      <c r="C108" s="316"/>
      <c r="D108" s="324"/>
      <c r="E108" s="28">
        <v>1</v>
      </c>
      <c r="F108" s="27" t="s">
        <v>398</v>
      </c>
      <c r="G108" s="324"/>
    </row>
    <row r="109" spans="2:7" x14ac:dyDescent="0.3">
      <c r="B109" s="316"/>
      <c r="C109" s="316"/>
      <c r="D109" s="323">
        <v>20</v>
      </c>
      <c r="E109" s="28">
        <v>0</v>
      </c>
      <c r="F109" s="27" t="s">
        <v>400</v>
      </c>
      <c r="G109" s="323" t="s">
        <v>1021</v>
      </c>
    </row>
    <row r="110" spans="2:7" x14ac:dyDescent="0.3">
      <c r="B110" s="316"/>
      <c r="C110" s="316"/>
      <c r="D110" s="324"/>
      <c r="E110" s="28">
        <v>1</v>
      </c>
      <c r="F110" s="27" t="s">
        <v>398</v>
      </c>
      <c r="G110" s="324"/>
    </row>
    <row r="111" spans="2:7" x14ac:dyDescent="0.3">
      <c r="B111" s="316"/>
      <c r="C111" s="316"/>
      <c r="D111" s="323">
        <v>21</v>
      </c>
      <c r="E111" s="28">
        <v>0</v>
      </c>
      <c r="F111" s="27" t="s">
        <v>400</v>
      </c>
      <c r="G111" s="323" t="s">
        <v>1020</v>
      </c>
    </row>
    <row r="112" spans="2:7" x14ac:dyDescent="0.3">
      <c r="B112" s="316"/>
      <c r="C112" s="316"/>
      <c r="D112" s="324"/>
      <c r="E112" s="28">
        <v>1</v>
      </c>
      <c r="F112" s="27" t="s">
        <v>398</v>
      </c>
      <c r="G112" s="324"/>
    </row>
    <row r="113" spans="2:7" x14ac:dyDescent="0.3">
      <c r="B113" s="316"/>
      <c r="C113" s="316"/>
      <c r="D113" s="323">
        <v>22</v>
      </c>
      <c r="E113" s="28">
        <v>0</v>
      </c>
      <c r="F113" s="27" t="s">
        <v>400</v>
      </c>
      <c r="G113" s="323" t="s">
        <v>1019</v>
      </c>
    </row>
    <row r="114" spans="2:7" x14ac:dyDescent="0.3">
      <c r="B114" s="316"/>
      <c r="C114" s="316"/>
      <c r="D114" s="324"/>
      <c r="E114" s="28">
        <v>1</v>
      </c>
      <c r="F114" s="27" t="s">
        <v>398</v>
      </c>
      <c r="G114" s="324"/>
    </row>
    <row r="115" spans="2:7" x14ac:dyDescent="0.3">
      <c r="B115" s="316"/>
      <c r="C115" s="316"/>
      <c r="D115" s="323">
        <v>23</v>
      </c>
      <c r="E115" s="28">
        <v>0</v>
      </c>
      <c r="F115" s="27" t="s">
        <v>400</v>
      </c>
      <c r="G115" s="323" t="s">
        <v>1018</v>
      </c>
    </row>
    <row r="116" spans="2:7" x14ac:dyDescent="0.3">
      <c r="B116" s="316"/>
      <c r="C116" s="316"/>
      <c r="D116" s="324"/>
      <c r="E116" s="28">
        <v>1</v>
      </c>
      <c r="F116" s="27" t="s">
        <v>398</v>
      </c>
      <c r="G116" s="324"/>
    </row>
    <row r="117" spans="2:7" x14ac:dyDescent="0.3">
      <c r="B117" s="316"/>
      <c r="C117" s="316"/>
      <c r="D117" s="323">
        <v>24</v>
      </c>
      <c r="E117" s="28">
        <v>0</v>
      </c>
      <c r="F117" s="27" t="s">
        <v>400</v>
      </c>
      <c r="G117" s="323" t="s">
        <v>1017</v>
      </c>
    </row>
    <row r="118" spans="2:7" x14ac:dyDescent="0.3">
      <c r="B118" s="316"/>
      <c r="C118" s="316"/>
      <c r="D118" s="324"/>
      <c r="E118" s="28">
        <v>1</v>
      </c>
      <c r="F118" s="27" t="s">
        <v>398</v>
      </c>
      <c r="G118" s="324"/>
    </row>
    <row r="119" spans="2:7" x14ac:dyDescent="0.3">
      <c r="B119" s="316"/>
      <c r="C119" s="316"/>
      <c r="D119" s="323">
        <v>25</v>
      </c>
      <c r="E119" s="28">
        <v>0</v>
      </c>
      <c r="F119" s="27" t="s">
        <v>400</v>
      </c>
      <c r="G119" s="323" t="s">
        <v>1016</v>
      </c>
    </row>
    <row r="120" spans="2:7" x14ac:dyDescent="0.3">
      <c r="B120" s="316"/>
      <c r="C120" s="316"/>
      <c r="D120" s="324"/>
      <c r="E120" s="28">
        <v>1</v>
      </c>
      <c r="F120" s="27" t="s">
        <v>398</v>
      </c>
      <c r="G120" s="324"/>
    </row>
    <row r="121" spans="2:7" x14ac:dyDescent="0.3">
      <c r="B121" s="316"/>
      <c r="C121" s="316"/>
      <c r="D121" s="323">
        <v>26</v>
      </c>
      <c r="E121" s="28">
        <v>0</v>
      </c>
      <c r="F121" s="27" t="s">
        <v>400</v>
      </c>
      <c r="G121" s="323" t="s">
        <v>1015</v>
      </c>
    </row>
    <row r="122" spans="2:7" x14ac:dyDescent="0.3">
      <c r="B122" s="316"/>
      <c r="C122" s="316"/>
      <c r="D122" s="324"/>
      <c r="E122" s="28">
        <v>1</v>
      </c>
      <c r="F122" s="27" t="s">
        <v>398</v>
      </c>
      <c r="G122" s="324"/>
    </row>
    <row r="123" spans="2:7" x14ac:dyDescent="0.3">
      <c r="B123" s="316"/>
      <c r="C123" s="316"/>
      <c r="D123" s="323">
        <v>27</v>
      </c>
      <c r="E123" s="28">
        <v>0</v>
      </c>
      <c r="F123" s="27" t="s">
        <v>400</v>
      </c>
      <c r="G123" s="323" t="s">
        <v>1014</v>
      </c>
    </row>
    <row r="124" spans="2:7" x14ac:dyDescent="0.3">
      <c r="B124" s="316"/>
      <c r="C124" s="316"/>
      <c r="D124" s="324"/>
      <c r="E124" s="28">
        <v>1</v>
      </c>
      <c r="F124" s="27" t="s">
        <v>398</v>
      </c>
      <c r="G124" s="324"/>
    </row>
    <row r="125" spans="2:7" x14ac:dyDescent="0.3">
      <c r="B125" s="316"/>
      <c r="C125" s="316"/>
      <c r="D125" s="323">
        <v>28</v>
      </c>
      <c r="E125" s="28">
        <v>0</v>
      </c>
      <c r="F125" s="27" t="s">
        <v>400</v>
      </c>
      <c r="G125" s="323" t="s">
        <v>1013</v>
      </c>
    </row>
    <row r="126" spans="2:7" x14ac:dyDescent="0.3">
      <c r="B126" s="316"/>
      <c r="C126" s="316"/>
      <c r="D126" s="324"/>
      <c r="E126" s="28">
        <v>1</v>
      </c>
      <c r="F126" s="27" t="s">
        <v>398</v>
      </c>
      <c r="G126" s="324"/>
    </row>
    <row r="127" spans="2:7" x14ac:dyDescent="0.3">
      <c r="B127" s="316"/>
      <c r="C127" s="316"/>
      <c r="D127" s="323">
        <v>29</v>
      </c>
      <c r="E127" s="28">
        <v>0</v>
      </c>
      <c r="F127" s="27" t="s">
        <v>400</v>
      </c>
      <c r="G127" s="323" t="s">
        <v>1012</v>
      </c>
    </row>
    <row r="128" spans="2:7" x14ac:dyDescent="0.3">
      <c r="B128" s="316"/>
      <c r="C128" s="316"/>
      <c r="D128" s="324"/>
      <c r="E128" s="28">
        <v>1</v>
      </c>
      <c r="F128" s="27" t="s">
        <v>398</v>
      </c>
      <c r="G128" s="324"/>
    </row>
    <row r="129" spans="2:7" x14ac:dyDescent="0.3">
      <c r="B129" s="316"/>
      <c r="C129" s="316"/>
      <c r="D129" s="323">
        <v>30</v>
      </c>
      <c r="E129" s="28">
        <v>0</v>
      </c>
      <c r="F129" s="27" t="s">
        <v>400</v>
      </c>
      <c r="G129" s="323" t="s">
        <v>1011</v>
      </c>
    </row>
    <row r="130" spans="2:7" x14ac:dyDescent="0.3">
      <c r="B130" s="316"/>
      <c r="C130" s="316"/>
      <c r="D130" s="324"/>
      <c r="E130" s="28">
        <v>1</v>
      </c>
      <c r="F130" s="27" t="s">
        <v>398</v>
      </c>
      <c r="G130" s="324"/>
    </row>
    <row r="131" spans="2:7" x14ac:dyDescent="0.3">
      <c r="B131" s="316"/>
      <c r="C131" s="316"/>
      <c r="D131" s="323">
        <v>31</v>
      </c>
      <c r="E131" s="28">
        <v>0</v>
      </c>
      <c r="F131" s="27" t="s">
        <v>400</v>
      </c>
      <c r="G131" s="323" t="s">
        <v>1010</v>
      </c>
    </row>
    <row r="132" spans="2:7" x14ac:dyDescent="0.3">
      <c r="B132" s="316"/>
      <c r="C132" s="316"/>
      <c r="D132" s="324"/>
      <c r="E132" s="28">
        <v>1</v>
      </c>
      <c r="F132" s="27" t="s">
        <v>398</v>
      </c>
      <c r="G132" s="324"/>
    </row>
  </sheetData>
  <mergeCells count="134">
    <mergeCell ref="D121:D122"/>
    <mergeCell ref="G121:G122"/>
    <mergeCell ref="D123:D124"/>
    <mergeCell ref="G123:G124"/>
    <mergeCell ref="D131:D132"/>
    <mergeCell ref="G131:G132"/>
    <mergeCell ref="D125:D126"/>
    <mergeCell ref="G125:G126"/>
    <mergeCell ref="D127:D128"/>
    <mergeCell ref="G127:G128"/>
    <mergeCell ref="D129:D130"/>
    <mergeCell ref="G129:G130"/>
    <mergeCell ref="D111:D112"/>
    <mergeCell ref="G111:G112"/>
    <mergeCell ref="D113:D114"/>
    <mergeCell ref="G113:G114"/>
    <mergeCell ref="D115:D116"/>
    <mergeCell ref="G115:G116"/>
    <mergeCell ref="D117:D118"/>
    <mergeCell ref="G117:G118"/>
    <mergeCell ref="D119:D120"/>
    <mergeCell ref="G119:G120"/>
    <mergeCell ref="D101:D102"/>
    <mergeCell ref="G101:G102"/>
    <mergeCell ref="D89:D90"/>
    <mergeCell ref="G89:G90"/>
    <mergeCell ref="D91:D92"/>
    <mergeCell ref="G91:G92"/>
    <mergeCell ref="D107:D108"/>
    <mergeCell ref="G107:G108"/>
    <mergeCell ref="D109:D110"/>
    <mergeCell ref="G109:G110"/>
    <mergeCell ref="D93:D94"/>
    <mergeCell ref="G93:G94"/>
    <mergeCell ref="B69:B132"/>
    <mergeCell ref="C69:C132"/>
    <mergeCell ref="D69:D70"/>
    <mergeCell ref="G69:G70"/>
    <mergeCell ref="D71:D72"/>
    <mergeCell ref="G71:G72"/>
    <mergeCell ref="D73:D74"/>
    <mergeCell ref="G73:G74"/>
    <mergeCell ref="D75:D76"/>
    <mergeCell ref="G75:G76"/>
    <mergeCell ref="D103:D104"/>
    <mergeCell ref="G103:G104"/>
    <mergeCell ref="D105:D106"/>
    <mergeCell ref="G105:G106"/>
    <mergeCell ref="D95:D96"/>
    <mergeCell ref="G95:G96"/>
    <mergeCell ref="D97:D98"/>
    <mergeCell ref="G97:G98"/>
    <mergeCell ref="D99:D100"/>
    <mergeCell ref="G99:G100"/>
    <mergeCell ref="D85:D86"/>
    <mergeCell ref="G85:G86"/>
    <mergeCell ref="D87:D88"/>
    <mergeCell ref="G87:G88"/>
    <mergeCell ref="D83:D84"/>
    <mergeCell ref="G83:G84"/>
    <mergeCell ref="G3:G4"/>
    <mergeCell ref="C5:C68"/>
    <mergeCell ref="G23:G24"/>
    <mergeCell ref="G25:G26"/>
    <mergeCell ref="G27:G28"/>
    <mergeCell ref="G29:G30"/>
    <mergeCell ref="D77:D78"/>
    <mergeCell ref="G77:G78"/>
    <mergeCell ref="D79:D80"/>
    <mergeCell ref="G79:G80"/>
    <mergeCell ref="D81:D82"/>
    <mergeCell ref="G81:G82"/>
    <mergeCell ref="B3:E3"/>
    <mergeCell ref="B5:B68"/>
    <mergeCell ref="G5:G6"/>
    <mergeCell ref="G7:G8"/>
    <mergeCell ref="G9:G10"/>
    <mergeCell ref="G11:G12"/>
    <mergeCell ref="G13:G14"/>
    <mergeCell ref="G15:G16"/>
    <mergeCell ref="G17:G18"/>
    <mergeCell ref="G63:G64"/>
    <mergeCell ref="G65:G66"/>
    <mergeCell ref="G43:G44"/>
    <mergeCell ref="G45:G46"/>
    <mergeCell ref="D29:D30"/>
    <mergeCell ref="D31:D32"/>
    <mergeCell ref="D33:D34"/>
    <mergeCell ref="D35:D36"/>
    <mergeCell ref="D37:D38"/>
    <mergeCell ref="D39:D40"/>
    <mergeCell ref="G35:G36"/>
    <mergeCell ref="G37:G38"/>
    <mergeCell ref="G39:G40"/>
    <mergeCell ref="G41:G42"/>
    <mergeCell ref="G59:G60"/>
    <mergeCell ref="D53:D54"/>
    <mergeCell ref="G31:G32"/>
    <mergeCell ref="G33:G34"/>
    <mergeCell ref="D55:D56"/>
    <mergeCell ref="D57:D58"/>
    <mergeCell ref="D67:D68"/>
    <mergeCell ref="D5:D6"/>
    <mergeCell ref="D7:D8"/>
    <mergeCell ref="D9:D10"/>
    <mergeCell ref="D11:D12"/>
    <mergeCell ref="D13:D14"/>
    <mergeCell ref="G19:G20"/>
    <mergeCell ref="G21:G22"/>
    <mergeCell ref="D41:D42"/>
    <mergeCell ref="D43:D44"/>
    <mergeCell ref="D15:D16"/>
    <mergeCell ref="G67:G68"/>
    <mergeCell ref="G55:G56"/>
    <mergeCell ref="G57:G58"/>
    <mergeCell ref="G47:G48"/>
    <mergeCell ref="G49:G50"/>
    <mergeCell ref="D45:D46"/>
    <mergeCell ref="G61:G62"/>
    <mergeCell ref="G51:G52"/>
    <mergeCell ref="G53:G54"/>
    <mergeCell ref="D65:D66"/>
    <mergeCell ref="D47:D48"/>
    <mergeCell ref="D49:D50"/>
    <mergeCell ref="D51:D52"/>
    <mergeCell ref="D17:D18"/>
    <mergeCell ref="D19:D20"/>
    <mergeCell ref="D21:D22"/>
    <mergeCell ref="D23:D24"/>
    <mergeCell ref="D25:D26"/>
    <mergeCell ref="D27:D28"/>
    <mergeCell ref="D59:D60"/>
    <mergeCell ref="D61:D62"/>
    <mergeCell ref="D63:D64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OPCODE</vt:lpstr>
      <vt:lpstr>INSTRUCTION</vt:lpstr>
      <vt:lpstr>PAT_MEM</vt:lpstr>
      <vt:lpstr>System REG</vt:lpstr>
      <vt:lpstr>PDS REG</vt:lpstr>
      <vt:lpstr>FORMAT REG</vt:lpstr>
      <vt:lpstr>Scramble REG</vt:lpstr>
      <vt:lpstr>Scan REG</vt:lpstr>
      <vt:lpstr>FAIL MEM</vt:lpstr>
      <vt:lpstr>TG_REG</vt:lpstr>
      <vt:lpstr>TG MEM</vt:lpstr>
      <vt:lpstr>CDINFO_IMPRINT_MEM</vt:lpstr>
      <vt:lpstr>VM_MEM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jaesun</dc:creator>
  <cp:lastModifiedBy>oem</cp:lastModifiedBy>
  <dcterms:created xsi:type="dcterms:W3CDTF">2021-03-26T01:44:33Z</dcterms:created>
  <dcterms:modified xsi:type="dcterms:W3CDTF">2022-02-28T04:43:06Z</dcterms:modified>
</cp:coreProperties>
</file>