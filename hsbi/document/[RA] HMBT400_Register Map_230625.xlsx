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hmbt400\03_Document\"/>
    </mc:Choice>
  </mc:AlternateContent>
  <xr:revisionPtr revIDLastSave="0" documentId="13_ncr:1_{DAB2D76C-03BF-4D0D-9BF0-D86BD4A0D968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IP List w Rev.His" sheetId="28" r:id="rId1"/>
    <sheet name="Block Diagram" sheetId="41" r:id="rId2"/>
    <sheet name="Addres Map" sheetId="43" r:id="rId3"/>
    <sheet name="PJT-INFO" sheetId="45" r:id="rId4"/>
    <sheet name="LBx8-C2P" sheetId="55" r:id="rId5"/>
    <sheet name="FM-ACCESS" sheetId="5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55" l="1"/>
  <c r="D14" i="55"/>
  <c r="D13" i="55"/>
  <c r="D12" i="55"/>
  <c r="D11" i="55"/>
  <c r="D10" i="55"/>
  <c r="D9" i="55"/>
  <c r="D8" i="55"/>
  <c r="D7" i="55"/>
  <c r="D6" i="55"/>
  <c r="D5" i="55"/>
  <c r="D4" i="55"/>
  <c r="D3" i="55"/>
  <c r="I2" i="55"/>
  <c r="J2" i="55" s="1"/>
  <c r="K2" i="55" s="1"/>
  <c r="L2" i="55" s="1"/>
  <c r="M2" i="55" s="1"/>
  <c r="N2" i="55" s="1"/>
  <c r="O2" i="55" s="1"/>
  <c r="P2" i="55" s="1"/>
  <c r="Q2" i="55" s="1"/>
  <c r="R2" i="55" s="1"/>
  <c r="S2" i="55" s="1"/>
  <c r="T2" i="55" s="1"/>
  <c r="U2" i="55" s="1"/>
  <c r="V2" i="55" s="1"/>
  <c r="W2" i="55" s="1"/>
  <c r="X2" i="55" s="1"/>
  <c r="Y2" i="55" s="1"/>
  <c r="Z2" i="55" s="1"/>
  <c r="AA2" i="55" s="1"/>
  <c r="AB2" i="55" s="1"/>
  <c r="AC2" i="55" s="1"/>
  <c r="AD2" i="55" s="1"/>
  <c r="AE2" i="55" s="1"/>
  <c r="AF2" i="55" s="1"/>
  <c r="AG2" i="55" s="1"/>
  <c r="AH2" i="55" s="1"/>
  <c r="AI2" i="55" s="1"/>
  <c r="AJ2" i="55" s="1"/>
  <c r="AK2" i="55" s="1"/>
  <c r="AL2" i="55" s="1"/>
  <c r="AM2" i="55" s="1"/>
  <c r="D21" i="54"/>
  <c r="D22" i="54"/>
  <c r="D13" i="54"/>
  <c r="D14" i="54"/>
  <c r="D15" i="54"/>
  <c r="D11" i="54"/>
  <c r="D12" i="54"/>
  <c r="D16" i="54"/>
  <c r="D19" i="54"/>
  <c r="D20" i="54"/>
  <c r="D23" i="54"/>
  <c r="D24" i="54"/>
  <c r="D25" i="54"/>
  <c r="D26" i="54"/>
  <c r="D27" i="54"/>
  <c r="D28" i="54"/>
  <c r="D29" i="54"/>
  <c r="G4" i="28"/>
  <c r="F4" i="28"/>
  <c r="D4" i="28"/>
  <c r="C4" i="28"/>
  <c r="D30" i="54"/>
  <c r="D18" i="54"/>
  <c r="D17" i="54"/>
  <c r="D10" i="54"/>
  <c r="D9" i="54"/>
  <c r="D8" i="54"/>
  <c r="D7" i="54"/>
  <c r="D6" i="54"/>
  <c r="D5" i="54"/>
  <c r="D4" i="54"/>
  <c r="D3" i="54"/>
  <c r="I2" i="54"/>
  <c r="J2" i="54" s="1"/>
  <c r="K2" i="54" s="1"/>
  <c r="L2" i="54" s="1"/>
  <c r="M2" i="54" s="1"/>
  <c r="N2" i="54" s="1"/>
  <c r="O2" i="54" s="1"/>
  <c r="P2" i="54" s="1"/>
  <c r="Q2" i="54" s="1"/>
  <c r="R2" i="54" s="1"/>
  <c r="S2" i="54" s="1"/>
  <c r="T2" i="54" s="1"/>
  <c r="U2" i="54" s="1"/>
  <c r="V2" i="54" s="1"/>
  <c r="W2" i="54" s="1"/>
  <c r="X2" i="54" s="1"/>
  <c r="Y2" i="54" s="1"/>
  <c r="Z2" i="54" s="1"/>
  <c r="AA2" i="54" s="1"/>
  <c r="AB2" i="54" s="1"/>
  <c r="AC2" i="54" s="1"/>
  <c r="AD2" i="54" s="1"/>
  <c r="AE2" i="54" s="1"/>
  <c r="AF2" i="54" s="1"/>
  <c r="AG2" i="54" s="1"/>
  <c r="AH2" i="54" s="1"/>
  <c r="AI2" i="54" s="1"/>
  <c r="AJ2" i="54" s="1"/>
  <c r="AK2" i="54" s="1"/>
  <c r="AL2" i="54" s="1"/>
  <c r="AM2" i="54" s="1"/>
  <c r="C5" i="28" l="1"/>
  <c r="C3" i="28"/>
  <c r="D8" i="45" l="1"/>
  <c r="D9" i="45"/>
  <c r="D10" i="45"/>
  <c r="D5" i="45"/>
  <c r="D6" i="45"/>
  <c r="D7" i="45"/>
  <c r="D4" i="45"/>
  <c r="D3" i="45"/>
  <c r="I2" i="45" l="1"/>
  <c r="J2" i="45" s="1"/>
  <c r="K2" i="45" s="1"/>
  <c r="L2" i="45" s="1"/>
  <c r="M2" i="45" s="1"/>
  <c r="N2" i="45" s="1"/>
  <c r="O2" i="45" s="1"/>
  <c r="P2" i="45" s="1"/>
  <c r="Q2" i="45" s="1"/>
  <c r="R2" i="45" s="1"/>
  <c r="S2" i="45" s="1"/>
  <c r="T2" i="45" s="1"/>
  <c r="U2" i="45" s="1"/>
  <c r="V2" i="45" s="1"/>
  <c r="W2" i="45" s="1"/>
  <c r="X2" i="45" s="1"/>
  <c r="Y2" i="45" s="1"/>
  <c r="Z2" i="45" s="1"/>
  <c r="AA2" i="45" s="1"/>
  <c r="AB2" i="45" s="1"/>
  <c r="AC2" i="45" s="1"/>
  <c r="AD2" i="45" s="1"/>
  <c r="AE2" i="45" s="1"/>
  <c r="AF2" i="45" s="1"/>
  <c r="AG2" i="45" s="1"/>
  <c r="AH2" i="45" s="1"/>
  <c r="AI2" i="45" s="1"/>
  <c r="AJ2" i="45" s="1"/>
  <c r="AK2" i="45" s="1"/>
  <c r="AL2" i="45" s="1"/>
  <c r="AM2" i="45" s="1"/>
  <c r="F5" i="28" l="1"/>
  <c r="G5" i="28" l="1"/>
  <c r="G3" i="28"/>
  <c r="F3" i="28"/>
  <c r="D5" i="28"/>
  <c r="D3" i="28" l="1"/>
</calcChain>
</file>

<file path=xl/sharedStrings.xml><?xml version="1.0" encoding="utf-8"?>
<sst xmlns="http://schemas.openxmlformats.org/spreadsheetml/2006/main" count="328" uniqueCount="217">
  <si>
    <t>NAME</t>
    <phoneticPr fontId="2" type="noConversion"/>
  </si>
  <si>
    <t>OFFSET</t>
    <phoneticPr fontId="2" type="noConversion"/>
  </si>
  <si>
    <t>BASE</t>
    <phoneticPr fontId="2" type="noConversion"/>
  </si>
  <si>
    <t>DEVICE</t>
    <phoneticPr fontId="2" type="noConversion"/>
  </si>
  <si>
    <t>RW</t>
    <phoneticPr fontId="2" type="noConversion"/>
  </si>
  <si>
    <t>RO</t>
    <phoneticPr fontId="2" type="noConversion"/>
  </si>
  <si>
    <t>REMARK</t>
    <phoneticPr fontId="2" type="noConversion"/>
  </si>
  <si>
    <t>FPGA</t>
    <phoneticPr fontId="2" type="noConversion"/>
  </si>
  <si>
    <t>IP Name</t>
    <phoneticPr fontId="2" type="noConversion"/>
  </si>
  <si>
    <t>IP Version</t>
    <phoneticPr fontId="2" type="noConversion"/>
  </si>
  <si>
    <t>Description</t>
    <phoneticPr fontId="2" type="noConversion"/>
  </si>
  <si>
    <t xml:space="preserve"> - Init Version</t>
    <phoneticPr fontId="2" type="noConversion"/>
  </si>
  <si>
    <t>RTL Simulation</t>
    <phoneticPr fontId="2" type="noConversion"/>
  </si>
  <si>
    <t>FPGA Verification</t>
    <phoneticPr fontId="2" type="noConversion"/>
  </si>
  <si>
    <t>Date</t>
    <phoneticPr fontId="2" type="noConversion"/>
  </si>
  <si>
    <t>-</t>
    <phoneticPr fontId="2" type="noConversion"/>
  </si>
  <si>
    <t xml:space="preserve"> Description</t>
    <phoneticPr fontId="2" type="noConversion"/>
  </si>
  <si>
    <t>Remark</t>
    <phoneticPr fontId="2" type="noConversion"/>
  </si>
  <si>
    <t>STS</t>
    <phoneticPr fontId="2" type="noConversion"/>
  </si>
  <si>
    <t>P</t>
    <phoneticPr fontId="2" type="noConversion"/>
  </si>
  <si>
    <t>IP Update Date</t>
    <phoneticPr fontId="2" type="noConversion"/>
  </si>
  <si>
    <t>Verification Date</t>
    <phoneticPr fontId="2" type="noConversion"/>
  </si>
  <si>
    <t xml:space="preserve"> Top Design for CTRL FPGA</t>
    <phoneticPr fontId="2" type="noConversion"/>
  </si>
  <si>
    <t>Cell</t>
  </si>
  <si>
    <t>Base Name</t>
  </si>
  <si>
    <t>Offset Address</t>
  </si>
  <si>
    <t>Range</t>
  </si>
  <si>
    <t>High Address</t>
  </si>
  <si>
    <t/>
  </si>
  <si>
    <t>4K</t>
  </si>
  <si>
    <t>Reg</t>
  </si>
  <si>
    <t>64K</t>
  </si>
  <si>
    <t>MAJOR ( DECIMAL )</t>
    <phoneticPr fontId="2" type="noConversion"/>
  </si>
  <si>
    <t>MINOR ( DECIMAL )</t>
    <phoneticPr fontId="2" type="noConversion"/>
  </si>
  <si>
    <t>YEAR ( DECIMAL )</t>
    <phoneticPr fontId="2" type="noConversion"/>
  </si>
  <si>
    <t>DATE ( DECIMAL )</t>
    <phoneticPr fontId="2" type="noConversion"/>
  </si>
  <si>
    <t>MONTH ( DECIMAL )</t>
    <phoneticPr fontId="2" type="noConversion"/>
  </si>
  <si>
    <t>PJT-INFO</t>
    <phoneticPr fontId="2" type="noConversion"/>
  </si>
  <si>
    <t>PJT-INFO
@ CTRL</t>
    <phoneticPr fontId="2" type="noConversion"/>
  </si>
  <si>
    <t>0000_F</t>
    <phoneticPr fontId="2" type="noConversion"/>
  </si>
  <si>
    <t>DUMMY</t>
    <phoneticPr fontId="2" type="noConversion"/>
  </si>
  <si>
    <t>VERSION</t>
    <phoneticPr fontId="2" type="noConversion"/>
  </si>
  <si>
    <t>DATE</t>
    <phoneticPr fontId="2" type="noConversion"/>
  </si>
  <si>
    <t>0000_2</t>
    <phoneticPr fontId="2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</si>
  <si>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等线"/>
        <family val="2"/>
        <charset val="129"/>
        <scheme val="minor"/>
      </rPr>
      <t>_0000</t>
    </r>
    <phoneticPr fontId="2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</si>
  <si>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等线"/>
        <family val="2"/>
        <charset val="129"/>
        <scheme val="minor"/>
      </rPr>
      <t>_FFFF</t>
    </r>
    <phoneticPr fontId="2" type="noConversion"/>
  </si>
  <si>
    <r>
      <t>0x</t>
    </r>
    <r>
      <rPr>
        <sz val="11"/>
        <color theme="1"/>
        <rFont val="Malgun Gothic"/>
        <family val="2"/>
        <charset val="129"/>
      </rPr>
      <t>0000</t>
    </r>
    <r>
      <rPr>
        <sz val="11"/>
        <color theme="1"/>
        <rFont val="等线"/>
        <family val="2"/>
        <charset val="129"/>
        <scheme val="minor"/>
      </rPr>
      <t>_</t>
    </r>
    <r>
      <rPr>
        <sz val="11"/>
        <color theme="1"/>
        <rFont val="Malgun Gothic"/>
        <family val="2"/>
        <charset val="129"/>
      </rPr>
      <t>F</t>
    </r>
    <r>
      <rPr>
        <sz val="11"/>
        <color theme="1"/>
        <rFont val="等线"/>
        <family val="2"/>
        <charset val="129"/>
        <scheme val="minor"/>
      </rPr>
      <t>000</t>
    </r>
    <phoneticPr fontId="2" type="noConversion"/>
  </si>
  <si>
    <r>
      <t>0x</t>
    </r>
    <r>
      <rPr>
        <sz val="11"/>
        <color theme="1"/>
        <rFont val="Malgun Gothic"/>
        <family val="2"/>
        <charset val="129"/>
      </rPr>
      <t>0000_F</t>
    </r>
    <r>
      <rPr>
        <sz val="11"/>
        <color theme="1"/>
        <rFont val="等线"/>
        <family val="2"/>
        <charset val="129"/>
        <scheme val="minor"/>
      </rPr>
      <t>FFF</t>
    </r>
    <phoneticPr fontId="2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</si>
  <si>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等线"/>
        <family val="2"/>
        <charset val="129"/>
        <scheme val="minor"/>
      </rPr>
      <t>000</t>
    </r>
    <phoneticPr fontId="2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</si>
  <si>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等线"/>
        <family val="2"/>
        <charset val="129"/>
        <scheme val="minor"/>
      </rPr>
      <t>FFF</t>
    </r>
    <phoneticPr fontId="2" type="noConversion"/>
  </si>
  <si>
    <t>LBx8-C2P</t>
    <phoneticPr fontId="2" type="noConversion"/>
  </si>
  <si>
    <t xml:space="preserve"> x8 Local Bus, CTRL to PG</t>
    <phoneticPr fontId="2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</si>
  <si>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phoneticPr fontId="2" type="noConversion"/>
  </si>
  <si>
    <r>
      <t>PJT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INFO</t>
    </r>
    <phoneticPr fontId="2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</si>
  <si>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等线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等线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r>
      <rPr>
        <sz val="11"/>
        <color theme="1"/>
        <rFont val="等线"/>
        <family val="2"/>
        <charset val="129"/>
        <scheme val="minor"/>
      </rPr>
      <t>_BUF</t>
    </r>
    <phoneticPr fontId="2" type="noConversion"/>
  </si>
  <si>
    <t>BAR2 ( pcie_xdma_bypass : base [ 0xC000_0000 ] )</t>
    <phoneticPr fontId="2" type="noConversion"/>
  </si>
  <si>
    <t>Reg</t>
    <phoneticPr fontId="2" type="noConversion"/>
  </si>
  <si>
    <t>4K</t>
    <phoneticPr fontId="2" type="noConversion"/>
  </si>
  <si>
    <t>N</t>
    <phoneticPr fontId="2" type="noConversion"/>
  </si>
  <si>
    <t xml:space="preserve"> - Mod, Pg.Clk = 0011 / 0110 / 1100 / 1001</t>
    <phoneticPr fontId="2" type="noConversion"/>
  </si>
  <si>
    <t>RW</t>
    <phoneticPr fontId="18" type="noConversion"/>
  </si>
  <si>
    <t xml:space="preserve"> Control Logic for Current Measure of DPS-3 by INA226</t>
    <phoneticPr fontId="2" type="noConversion"/>
  </si>
  <si>
    <t>SET</t>
    <phoneticPr fontId="18" type="noConversion"/>
  </si>
  <si>
    <t>PG0.BL</t>
    <phoneticPr fontId="18" type="noConversion"/>
  </si>
  <si>
    <t>PG0.CMD</t>
    <phoneticPr fontId="18" type="noConversion"/>
  </si>
  <si>
    <t>RD</t>
    <phoneticPr fontId="18" type="noConversion"/>
  </si>
  <si>
    <t>WR</t>
    <phoneticPr fontId="18" type="noConversion"/>
  </si>
  <si>
    <t>RO</t>
    <phoneticPr fontId="18" type="noConversion"/>
  </si>
  <si>
    <t>AURORA.STATUS</t>
    <phoneticPr fontId="18" type="noConversion"/>
  </si>
  <si>
    <t>H.ERR</t>
    <phoneticPr fontId="18" type="noConversion"/>
  </si>
  <si>
    <t>S.ERR</t>
    <phoneticPr fontId="18" type="noConversion"/>
  </si>
  <si>
    <t>AURORA.CTRL</t>
    <phoneticPr fontId="18" type="noConversion"/>
  </si>
  <si>
    <t>PG1</t>
  </si>
  <si>
    <r>
      <t>PG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等线"/>
        <family val="2"/>
        <charset val="129"/>
        <scheme val="minor"/>
      </rPr>
      <t>.BL</t>
    </r>
    <phoneticPr fontId="18" type="noConversion"/>
  </si>
  <si>
    <r>
      <t>PG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等线"/>
        <family val="2"/>
        <charset val="129"/>
        <scheme val="minor"/>
      </rPr>
      <t>.CMD</t>
    </r>
    <phoneticPr fontId="18" type="noConversion"/>
  </si>
  <si>
    <t>PG0.BYTE.LENGTH[31:0]</t>
    <phoneticPr fontId="18" type="noConversion"/>
  </si>
  <si>
    <r>
      <rPr>
        <sz val="11"/>
        <color theme="1"/>
        <rFont val="Malgun Gothic"/>
        <family val="2"/>
        <charset val="129"/>
      </rPr>
      <t>PG0.</t>
    </r>
    <r>
      <rPr>
        <sz val="11"/>
        <color theme="1"/>
        <rFont val="等线"/>
        <family val="2"/>
        <charset val="129"/>
        <scheme val="minor"/>
      </rPr>
      <t>RA.MEMORY.ADDRESS[63:0]</t>
    </r>
    <phoneticPr fontId="18" type="noConversion"/>
  </si>
  <si>
    <r>
      <rPr>
        <sz val="11"/>
        <color theme="1"/>
        <rFont val="Malgun Gothic"/>
        <family val="2"/>
        <charset val="129"/>
      </rPr>
      <t>PG1.</t>
    </r>
    <r>
      <rPr>
        <sz val="11"/>
        <color theme="1"/>
        <rFont val="等线"/>
        <family val="2"/>
        <charset val="129"/>
        <scheme val="minor"/>
      </rPr>
      <t>RA.MEMORY.ADDRESS[63:0]</t>
    </r>
    <phoneticPr fontId="18" type="noConversion"/>
  </si>
  <si>
    <t>PG1.BYTE.LENGTH[31:0]</t>
    <phoneticPr fontId="18" type="noConversion"/>
  </si>
  <si>
    <t>PG0.RA.ADDRESS</t>
    <phoneticPr fontId="2" type="noConversion"/>
  </si>
  <si>
    <t>PG1.RA.ADDRESS</t>
    <phoneticPr fontId="2" type="noConversion"/>
  </si>
  <si>
    <t>PG0.STATUS</t>
    <phoneticPr fontId="18" type="noConversion"/>
  </si>
  <si>
    <t>PG1.STATUS</t>
    <phoneticPr fontId="18" type="noConversion"/>
  </si>
  <si>
    <t>BUSY</t>
    <phoneticPr fontId="18" type="noConversion"/>
  </si>
  <si>
    <t>PG0</t>
    <phoneticPr fontId="2" type="noConversion"/>
  </si>
  <si>
    <t xml:space="preserve"> 1 for enable AURORA for PG0, default 0</t>
    <phoneticPr fontId="18" type="noConversion"/>
  </si>
  <si>
    <t xml:space="preserve"> 1 for enable AURORA for PG1, default 0</t>
    <phoneticPr fontId="18" type="noConversion"/>
  </si>
  <si>
    <t xml:space="preserve"> AURORA.STATUS [ 0xXXXX_X_024/25 ]</t>
    <phoneticPr fontId="2" type="noConversion"/>
  </si>
  <si>
    <t>LINK[0]</t>
    <phoneticPr fontId="2" type="noConversion"/>
  </si>
  <si>
    <t>S.ERR[4]</t>
    <phoneticPr fontId="18" type="noConversion"/>
  </si>
  <si>
    <t>H.ERR[5]</t>
    <phoneticPr fontId="18" type="noConversion"/>
  </si>
  <si>
    <t xml:space="preserve"> 1 indicates that link is up</t>
    <phoneticPr fontId="18" type="noConversion"/>
  </si>
  <si>
    <t xml:space="preserve"> 1 indicates that the sw errors are occurred</t>
    <phoneticPr fontId="18" type="noConversion"/>
  </si>
  <si>
    <t xml:space="preserve"> 1 indicates that the hw errors are occurred</t>
    <phoneticPr fontId="18" type="noConversion"/>
  </si>
  <si>
    <t xml:space="preserve"> PG#.RA.ADDRESS</t>
    <phoneticPr fontId="2" type="noConversion"/>
  </si>
  <si>
    <t>for WR</t>
    <phoneticPr fontId="2" type="noConversion"/>
  </si>
  <si>
    <t>for RD</t>
    <phoneticPr fontId="18" type="noConversion"/>
  </si>
  <si>
    <t xml:space="preserve"> PG#.ADDRESS</t>
    <phoneticPr fontId="2" type="noConversion"/>
  </si>
  <si>
    <t xml:space="preserve"> PG# SODIMM target address for sending data</t>
    <phoneticPr fontId="18" type="noConversion"/>
  </si>
  <si>
    <t xml:space="preserve"> PG# SODIMM source address for receving data</t>
    <phoneticPr fontId="18" type="noConversion"/>
  </si>
  <si>
    <t xml:space="preserve"> RA DRAM source address for sending data</t>
    <phoneticPr fontId="18" type="noConversion"/>
  </si>
  <si>
    <t xml:space="preserve"> RA DRAM target address for receving data</t>
    <phoneticPr fontId="18" type="noConversion"/>
  </si>
  <si>
    <t xml:space="preserve"> PG#.BL</t>
    <phoneticPr fontId="2" type="noConversion"/>
  </si>
  <si>
    <t xml:space="preserve"> Transfering data byte count, 0 means 1 Byte</t>
    <phoneticPr fontId="18" type="noConversion"/>
  </si>
  <si>
    <t xml:space="preserve"> PG#.CMD</t>
    <phoneticPr fontId="2" type="noConversion"/>
  </si>
  <si>
    <t>SET[7]</t>
    <phoneticPr fontId="2" type="noConversion"/>
  </si>
  <si>
    <t>WR[1]</t>
    <phoneticPr fontId="18" type="noConversion"/>
  </si>
  <si>
    <t>RD[0]</t>
    <phoneticPr fontId="18" type="noConversion"/>
  </si>
  <si>
    <t xml:space="preserve"> 1 for setting WR/RD command</t>
    <phoneticPr fontId="18" type="noConversion"/>
  </si>
  <si>
    <t xml:space="preserve"> 1 for WR operation</t>
    <phoneticPr fontId="18" type="noConversion"/>
  </si>
  <si>
    <t xml:space="preserve"> 1 for RD operation</t>
    <phoneticPr fontId="18" type="noConversion"/>
  </si>
  <si>
    <t xml:space="preserve"> PG#.STATUS</t>
    <phoneticPr fontId="2" type="noConversion"/>
  </si>
  <si>
    <t>BUSY</t>
    <phoneticPr fontId="2" type="noConversion"/>
  </si>
  <si>
    <t xml:space="preserve"> PG#.TRNASFERD.BYTE</t>
    <phoneticPr fontId="2" type="noConversion"/>
  </si>
  <si>
    <t xml:space="preserve"> Currently transferred byte count, 0 means 1 Byte</t>
    <phoneticPr fontId="18" type="noConversion"/>
  </si>
  <si>
    <t>PG1.TRANSFERRED.BYTE</t>
    <phoneticPr fontId="18" type="noConversion"/>
  </si>
  <si>
    <t>PG0.TRANSFERRED.BYTE</t>
    <phoneticPr fontId="18" type="noConversion"/>
  </si>
  <si>
    <t>PG0.TRANSFERRED.BYTE[31:0]</t>
    <phoneticPr fontId="18" type="noConversion"/>
  </si>
  <si>
    <t>PG1.TRANSFERRED.BYTE[31:0]</t>
    <phoneticPr fontId="18" type="noConversion"/>
  </si>
  <si>
    <t>PG0.FM.ADDRESS</t>
    <phoneticPr fontId="2" type="noConversion"/>
  </si>
  <si>
    <t>PG1.FM.ADDRESS</t>
    <phoneticPr fontId="2" type="noConversion"/>
  </si>
  <si>
    <r>
      <t>PG1.</t>
    </r>
    <r>
      <rPr>
        <sz val="11"/>
        <color theme="1"/>
        <rFont val="Malgun Gothic"/>
        <family val="2"/>
        <charset val="129"/>
      </rPr>
      <t>FM.</t>
    </r>
    <r>
      <rPr>
        <sz val="11"/>
        <color theme="1"/>
        <rFont val="等线"/>
        <family val="2"/>
        <charset val="129"/>
        <scheme val="minor"/>
      </rPr>
      <t>MEMORY.ADDRESS[63:0]</t>
    </r>
    <phoneticPr fontId="18" type="noConversion"/>
  </si>
  <si>
    <r>
      <t>PG0.</t>
    </r>
    <r>
      <rPr>
        <sz val="11"/>
        <color theme="1"/>
        <rFont val="Malgun Gothic"/>
        <family val="2"/>
        <charset val="129"/>
      </rPr>
      <t>FM.</t>
    </r>
    <r>
      <rPr>
        <sz val="11"/>
        <color theme="1"/>
        <rFont val="等线"/>
        <family val="2"/>
        <charset val="129"/>
        <scheme val="minor"/>
      </rPr>
      <t>MEMORY.ADDRESS[63:0]</t>
    </r>
    <phoneticPr fontId="18" type="noConversion"/>
  </si>
  <si>
    <t>LBx8_MASTER
@ CTRL to PG</t>
    <phoneticPr fontId="2" type="noConversion"/>
  </si>
  <si>
    <t>"LBx8-C2P"</t>
    <phoneticPr fontId="2" type="noConversion"/>
  </si>
  <si>
    <t>ADDRESS</t>
    <phoneticPr fontId="2" type="noConversion"/>
  </si>
  <si>
    <t>ADDR[31:0]</t>
  </si>
  <si>
    <t>CMD</t>
    <phoneticPr fontId="2" type="noConversion"/>
  </si>
  <si>
    <t>RST</t>
    <phoneticPr fontId="2" type="noConversion"/>
  </si>
  <si>
    <t>DDR</t>
    <phoneticPr fontId="2" type="noConversion"/>
  </si>
  <si>
    <t>MSB[27:26]</t>
    <phoneticPr fontId="2" type="noConversion"/>
  </si>
  <si>
    <t>WR</t>
    <phoneticPr fontId="2" type="noConversion"/>
  </si>
  <si>
    <t>RD</t>
    <phoneticPr fontId="2" type="noConversion"/>
  </si>
  <si>
    <t>PG.3</t>
    <phoneticPr fontId="2" type="noConversion"/>
  </si>
  <si>
    <t>PG.2</t>
    <phoneticPr fontId="2" type="noConversion"/>
  </si>
  <si>
    <t>PG.1</t>
    <phoneticPr fontId="2" type="noConversion"/>
  </si>
  <si>
    <t>PG.0</t>
    <phoneticPr fontId="2" type="noConversion"/>
  </si>
  <si>
    <r>
      <t>BURST.LENGTH[</t>
    </r>
    <r>
      <rPr>
        <sz val="11"/>
        <color theme="1"/>
        <rFont val="Malgun Gothic"/>
        <family val="2"/>
        <charset val="129"/>
      </rPr>
      <t>15:0</t>
    </r>
    <r>
      <rPr>
        <sz val="11"/>
        <color theme="1"/>
        <rFont val="等线"/>
        <family val="2"/>
        <charset val="129"/>
        <scheme val="minor"/>
      </rPr>
      <t>]</t>
    </r>
    <phoneticPr fontId="2" type="noConversion"/>
  </si>
  <si>
    <t>LB.CLK.SEL</t>
    <phoneticPr fontId="18" type="noConversion"/>
  </si>
  <si>
    <t>LATENCY</t>
    <phoneticPr fontId="2" type="noConversion"/>
  </si>
  <si>
    <r>
      <t>READ.LATENCY[</t>
    </r>
    <r>
      <rPr>
        <sz val="11"/>
        <color theme="1"/>
        <rFont val="Malgun Gothic"/>
        <family val="2"/>
        <charset val="129"/>
      </rPr>
      <t>7:0</t>
    </r>
    <r>
      <rPr>
        <sz val="11"/>
        <color theme="1"/>
        <rFont val="等线"/>
        <family val="2"/>
        <charset val="129"/>
        <scheme val="minor"/>
      </rPr>
      <t>]</t>
    </r>
    <phoneticPr fontId="2" type="noConversion"/>
  </si>
  <si>
    <t>STATUS</t>
    <phoneticPr fontId="2" type="noConversion"/>
  </si>
  <si>
    <t>PG.3.STATUS</t>
    <phoneticPr fontId="18" type="noConversion"/>
  </si>
  <si>
    <t>PG.2.STATUS</t>
    <phoneticPr fontId="18" type="noConversion"/>
  </si>
  <si>
    <t>PG.1.STATUS</t>
    <phoneticPr fontId="18" type="noConversion"/>
  </si>
  <si>
    <t>WC.E</t>
    <phoneticPr fontId="2" type="noConversion"/>
  </si>
  <si>
    <t>WD.E</t>
    <phoneticPr fontId="2" type="noConversion"/>
  </si>
  <si>
    <t>RC.E</t>
    <phoneticPr fontId="2" type="noConversion"/>
  </si>
  <si>
    <t>RD.E</t>
    <phoneticPr fontId="2" type="noConversion"/>
  </si>
  <si>
    <t>EOS</t>
    <phoneticPr fontId="2" type="noConversion"/>
  </si>
  <si>
    <t xml:space="preserve"> ADDRESS [ 0x0000_2_020 ]</t>
    <phoneticPr fontId="2" type="noConversion"/>
  </si>
  <si>
    <t>ADDR</t>
    <phoneticPr fontId="2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</si>
  <si>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等线"/>
        <family val="2"/>
        <charset val="129"/>
        <scheme val="minor"/>
      </rPr>
      <t>PG_# 32-bit Address, 4GB range</t>
    </r>
    <phoneticPr fontId="18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</si>
  <si>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等线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[ 0x0000_2_024 ]</t>
    </r>
    <phoneticPr fontId="2" type="noConversion"/>
  </si>
  <si>
    <r>
      <t>RST[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等线"/>
        <family val="3"/>
        <charset val="129"/>
        <scheme val="minor"/>
      </rPr>
      <t>]</t>
    </r>
    <phoneticPr fontId="2" type="noConversion"/>
  </si>
  <si>
    <t xml:space="preserve"> Active high, reset the Logic IP</t>
    <phoneticPr fontId="2" type="noConversion"/>
  </si>
  <si>
    <t>PG.3~0[19:16]</t>
    <phoneticPr fontId="2" type="noConversion"/>
  </si>
  <si>
    <t xml:space="preserve"> PG FPGA Select bit</t>
    <phoneticPr fontId="2" type="noConversion"/>
  </si>
  <si>
    <r>
      <rPr>
        <b/>
        <sz val="11"/>
        <color rgb="FF006100"/>
        <rFont val="Malgun Gothic"/>
        <family val="3"/>
        <charset val="129"/>
      </rPr>
      <t>BL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15:0</t>
    </r>
    <r>
      <rPr>
        <b/>
        <sz val="11"/>
        <color rgb="FF006100"/>
        <rFont val="等线"/>
        <family val="3"/>
        <charset val="129"/>
        <scheme val="minor"/>
      </rPr>
      <t>]</t>
    </r>
    <phoneticPr fontId="2" type="noConversion"/>
  </si>
  <si>
    <t xml:space="preserve"> Byte size of transfer data.
 0 means 1-Byte, max 63KB</t>
    <phoneticPr fontId="2" type="noConversion"/>
  </si>
  <si>
    <t>DDR.MSB</t>
    <phoneticPr fontId="2" type="noConversion"/>
  </si>
  <si>
    <t xml:space="preserve"> For 16GB SODIMM access</t>
    <phoneticPr fontId="2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</si>
  <si>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25</t>
    </r>
    <r>
      <rPr>
        <b/>
        <sz val="11"/>
        <color rgb="FF006100"/>
        <rFont val="等线"/>
        <family val="3"/>
        <charset val="129"/>
        <scheme val="minor"/>
      </rPr>
      <t>]</t>
    </r>
    <phoneticPr fontId="2" type="noConversion"/>
  </si>
  <si>
    <t xml:space="preserve"> Active high, do write operation</t>
    <phoneticPr fontId="2" type="noConversion"/>
  </si>
  <si>
    <r>
      <rPr>
        <b/>
        <sz val="11"/>
        <color rgb="FF006100"/>
        <rFont val="Malgun Gothic"/>
        <family val="3"/>
        <charset val="129"/>
      </rPr>
      <t>RD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等线"/>
        <family val="3"/>
        <charset val="129"/>
        <scheme val="minor"/>
      </rPr>
      <t>]</t>
    </r>
    <phoneticPr fontId="2" type="noConversion"/>
  </si>
  <si>
    <t xml:space="preserve"> Active high, do read operation</t>
    <phoneticPr fontId="2" type="noConversion"/>
  </si>
  <si>
    <t>x</t>
    <phoneticPr fontId="2" type="noConversion"/>
  </si>
  <si>
    <t>x</t>
    <phoneticPr fontId="18" type="noConversion"/>
  </si>
  <si>
    <t xml:space="preserve"> Write PG Register</t>
    <phoneticPr fontId="2" type="noConversion"/>
  </si>
  <si>
    <t xml:space="preserve"> Read PG Register</t>
    <phoneticPr fontId="2" type="noConversion"/>
  </si>
  <si>
    <t xml:space="preserve"> LB.CLK.SEL [ 0x0000_2_028 ]</t>
    <phoneticPr fontId="2" type="noConversion"/>
  </si>
  <si>
    <t>0011</t>
    <phoneticPr fontId="2" type="noConversion"/>
  </si>
  <si>
    <t>0110, default</t>
    <phoneticPr fontId="18" type="noConversion"/>
  </si>
  <si>
    <t>1100</t>
    <phoneticPr fontId="18" type="noConversion"/>
  </si>
  <si>
    <t>1001</t>
    <phoneticPr fontId="18" type="noConversion"/>
  </si>
  <si>
    <t xml:space="preserve"> LATENCY [ 0x0000_2_02C ]</t>
    <phoneticPr fontId="2" type="noConversion"/>
  </si>
  <si>
    <r>
      <rPr>
        <b/>
        <sz val="11"/>
        <color rgb="FF006100"/>
        <rFont val="Malgun Gothic"/>
        <family val="3"/>
        <charset val="129"/>
      </rPr>
      <t>RL</t>
    </r>
    <r>
      <rPr>
        <b/>
        <sz val="11"/>
        <color rgb="FF006100"/>
        <rFont val="等线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7:0</t>
    </r>
    <r>
      <rPr>
        <b/>
        <sz val="11"/>
        <color rgb="FF006100"/>
        <rFont val="等线"/>
        <family val="3"/>
        <charset val="129"/>
        <scheme val="minor"/>
      </rPr>
      <t>]</t>
    </r>
    <phoneticPr fontId="2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</si>
  <si>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等线"/>
        <family val="2"/>
        <charset val="129"/>
        <scheme val="minor"/>
      </rPr>
      <t>Set as PG Register Read Latency</t>
    </r>
    <r>
      <rPr>
        <sz val="11"/>
        <color theme="1"/>
        <rFont val="Malgun Gothic"/>
        <family val="2"/>
        <charset val="129"/>
      </rPr>
      <t>.</t>
    </r>
    <phoneticPr fontId="2" type="noConversion"/>
  </si>
  <si>
    <r>
      <t xml:space="preserve"> Default, RL = </t>
    </r>
    <r>
      <rPr>
        <sz val="11"/>
        <color rgb="FF9C0006"/>
        <rFont val="Malgun Gothic"/>
        <family val="2"/>
        <charset val="129"/>
      </rPr>
      <t>0</t>
    </r>
    <phoneticPr fontId="18" type="noConversion"/>
  </si>
  <si>
    <t xml:space="preserve"> STATUS [ 0x0000_2_030 ]</t>
    <phoneticPr fontId="2" type="noConversion"/>
  </si>
  <si>
    <t>WC.E[7]</t>
    <phoneticPr fontId="2" type="noConversion"/>
  </si>
  <si>
    <t xml:space="preserve"> LB write command error</t>
    <phoneticPr fontId="2" type="noConversion"/>
  </si>
  <si>
    <t>EOS[3]</t>
    <phoneticPr fontId="2" type="noConversion"/>
  </si>
  <si>
    <t xml:space="preserve"> 1 indicates the end of operation</t>
    <phoneticPr fontId="2" type="noConversion"/>
  </si>
  <si>
    <t>WD.E[6]</t>
    <phoneticPr fontId="2" type="noConversion"/>
  </si>
  <si>
    <t xml:space="preserve"> LB write data CRC error</t>
    <phoneticPr fontId="2" type="noConversion"/>
  </si>
  <si>
    <t>BUSY[0]</t>
    <phoneticPr fontId="2" type="noConversion"/>
  </si>
  <si>
    <r>
      <rPr>
        <sz val="11"/>
        <color theme="1"/>
        <rFont val="Malgun Gothic"/>
        <family val="2"/>
        <charset val="129"/>
      </rPr>
      <t xml:space="preserve"> 1 i</t>
    </r>
    <r>
      <rPr>
        <sz val="11"/>
        <color theme="1"/>
        <rFont val="等线"/>
        <family val="2"/>
        <charset val="129"/>
        <scheme val="minor"/>
      </rPr>
      <t>ndicate</t>
    </r>
    <r>
      <rPr>
        <sz val="11"/>
        <color theme="1"/>
        <rFont val="Malgun Gothic"/>
        <family val="2"/>
        <charset val="129"/>
      </rPr>
      <t>s</t>
    </r>
    <r>
      <rPr>
        <sz val="11"/>
        <color theme="1"/>
        <rFont val="等线"/>
        <family val="2"/>
        <charset val="129"/>
        <scheme val="minor"/>
      </rPr>
      <t xml:space="preserve"> that the IP is BUSY</t>
    </r>
    <phoneticPr fontId="2" type="noConversion"/>
  </si>
  <si>
    <t>RC.E[5]</t>
    <phoneticPr fontId="2" type="noConversion"/>
  </si>
  <si>
    <t xml:space="preserve"> LB read command error</t>
    <phoneticPr fontId="2" type="noConversion"/>
  </si>
  <si>
    <t>RD.E[4]</t>
    <phoneticPr fontId="2" type="noConversion"/>
  </si>
  <si>
    <t xml:space="preserve"> LB read data CRC error</t>
    <phoneticPr fontId="2" type="noConversion"/>
  </si>
  <si>
    <r>
      <t>"</t>
    </r>
    <r>
      <rPr>
        <sz val="11"/>
        <color theme="1"/>
        <rFont val="Malgun Gothic"/>
        <family val="2"/>
        <charset val="129"/>
      </rPr>
      <t>FM-ACCESS</t>
    </r>
    <r>
      <rPr>
        <sz val="11"/>
        <color theme="1"/>
        <rFont val="等线"/>
        <family val="2"/>
        <charset val="129"/>
        <scheme val="minor"/>
      </rPr>
      <t>"</t>
    </r>
    <phoneticPr fontId="2" type="noConversion"/>
  </si>
  <si>
    <r>
      <rPr>
        <sz val="11"/>
        <color theme="1"/>
        <rFont val="Malgun Gothic"/>
        <family val="2"/>
        <charset val="129"/>
      </rPr>
      <t>FM-ACCESS</t>
    </r>
    <r>
      <rPr>
        <sz val="11"/>
        <color theme="1"/>
        <rFont val="等线"/>
        <family val="2"/>
        <charset val="129"/>
        <scheme val="minor"/>
      </rPr>
      <t xml:space="preserve">
@ RA to PG</t>
    </r>
    <phoneticPr fontId="2" type="noConversion"/>
  </si>
  <si>
    <r>
      <t>"</t>
    </r>
    <r>
      <rPr>
        <sz val="11"/>
        <color theme="1"/>
        <rFont val="Malgun Gothic"/>
        <family val="2"/>
        <charset val="129"/>
      </rPr>
      <t>RA-HMBT400</t>
    </r>
    <r>
      <rPr>
        <sz val="11"/>
        <color theme="1"/>
        <rFont val="等线"/>
        <family val="2"/>
        <charset val="129"/>
        <scheme val="minor"/>
      </rPr>
      <t>"</t>
    </r>
    <phoneticPr fontId="2" type="noConversion"/>
  </si>
  <si>
    <t>FM-ACCESS</t>
    <phoneticPr fontId="2" type="noConversion"/>
  </si>
  <si>
    <t>0x0000_C000</t>
    <phoneticPr fontId="2" type="noConversion"/>
  </si>
  <si>
    <t>0x0000_CFFF</t>
    <phoneticPr fontId="2" type="noConversion"/>
  </si>
  <si>
    <t>0000_C</t>
    <phoneticPr fontId="2" type="noConversion"/>
  </si>
  <si>
    <t xml:space="preserve"> AURORA.EN [ 0xXXXX_X_020/021 ]</t>
    <phoneticPr fontId="2" type="noConversion"/>
  </si>
  <si>
    <t>EN[1:0]</t>
    <phoneticPr fontId="18" type="noConversion"/>
  </si>
  <si>
    <r>
      <rPr>
        <sz val="11"/>
        <color theme="1"/>
        <rFont val="Malgun Gothic"/>
        <family val="2"/>
        <charset val="129"/>
      </rPr>
      <t>PG1.</t>
    </r>
    <r>
      <rPr>
        <sz val="11"/>
        <color theme="1"/>
        <rFont val="等线"/>
        <family val="2"/>
        <charset val="129"/>
        <scheme val="minor"/>
      </rPr>
      <t>LINK</t>
    </r>
    <phoneticPr fontId="18" type="noConversion"/>
  </si>
  <si>
    <r>
      <rPr>
        <sz val="11"/>
        <color theme="1"/>
        <rFont val="Malgun Gothic"/>
        <family val="2"/>
        <charset val="129"/>
      </rPr>
      <t>PG0.</t>
    </r>
    <r>
      <rPr>
        <sz val="11"/>
        <color theme="1"/>
        <rFont val="等线"/>
        <family val="2"/>
        <charset val="129"/>
        <scheme val="minor"/>
      </rPr>
      <t>LINK</t>
    </r>
    <phoneticPr fontId="18" type="noConversion"/>
  </si>
  <si>
    <t>RST[9:8]</t>
    <phoneticPr fontId="18" type="noConversion"/>
  </si>
  <si>
    <t xml:space="preserve"> Must be ( 64 * N ) Bytes, Ex: 63, 127, 191, …, MAX 4GB</t>
    <phoneticPr fontId="18" type="noConversion"/>
  </si>
  <si>
    <t xml:space="preserve"> 1 indicates BUSY</t>
    <phoneticPr fontId="18" type="noConversion"/>
  </si>
  <si>
    <t xml:space="preserve"> 0 indicates No Operation</t>
    <phoneticPr fontId="18" type="noConversion"/>
  </si>
  <si>
    <r>
      <t xml:space="preserve"> Write SODIMM w/ 0x0_0000_0000 ~ 0x0_FFFF_FFFF, lowe</t>
    </r>
    <r>
      <rPr>
        <strike/>
        <sz val="11"/>
        <color rgb="FF3F3F76"/>
        <rFont val="Malgun Gothic"/>
        <family val="2"/>
        <charset val="129"/>
      </rPr>
      <t>st</t>
    </r>
    <r>
      <rPr>
        <strike/>
        <sz val="11"/>
        <color rgb="FF3F3F76"/>
        <rFont val="等线"/>
        <family val="2"/>
        <charset val="134"/>
        <scheme val="minor"/>
      </rPr>
      <t xml:space="preserve"> 4GB</t>
    </r>
    <r>
      <rPr>
        <strike/>
        <sz val="11"/>
        <color rgb="FF3F3F76"/>
        <rFont val="Malgun Gothic"/>
        <family val="2"/>
        <charset val="129"/>
      </rPr>
      <t xml:space="preserve"> / 16GB</t>
    </r>
    <phoneticPr fontId="2" type="noConversion"/>
  </si>
  <si>
    <r>
      <t xml:space="preserve"> Read SODIMM w/ 0x</t>
    </r>
    <r>
      <rPr>
        <strike/>
        <sz val="11"/>
        <color rgb="FF3F3F76"/>
        <rFont val="Malgun Gothic"/>
        <family val="2"/>
        <charset val="129"/>
      </rPr>
      <t>1</t>
    </r>
    <r>
      <rPr>
        <strike/>
        <sz val="11"/>
        <color rgb="FF3F3F76"/>
        <rFont val="等线"/>
        <family val="2"/>
        <charset val="134"/>
        <scheme val="minor"/>
      </rPr>
      <t>_0000_0000 ~ 0x</t>
    </r>
    <r>
      <rPr>
        <strike/>
        <sz val="11"/>
        <color rgb="FF3F3F76"/>
        <rFont val="Malgun Gothic"/>
        <family val="2"/>
        <charset val="129"/>
      </rPr>
      <t>1</t>
    </r>
    <r>
      <rPr>
        <strike/>
        <sz val="11"/>
        <color rgb="FF3F3F76"/>
        <rFont val="等线"/>
        <family val="2"/>
        <charset val="134"/>
        <scheme val="minor"/>
      </rPr>
      <t>_FFFF_FFFF</t>
    </r>
    <phoneticPr fontId="2" type="noConversion"/>
  </si>
  <si>
    <r>
      <t xml:space="preserve"> Write SODIMM w/ 0x</t>
    </r>
    <r>
      <rPr>
        <strike/>
        <sz val="11"/>
        <color rgb="FF3F3F76"/>
        <rFont val="Malgun Gothic"/>
        <family val="2"/>
        <charset val="129"/>
      </rPr>
      <t>2</t>
    </r>
    <r>
      <rPr>
        <strike/>
        <sz val="11"/>
        <color rgb="FF3F3F76"/>
        <rFont val="等线"/>
        <family val="2"/>
        <charset val="134"/>
        <scheme val="minor"/>
      </rPr>
      <t>_0000_0000 ~ 0x</t>
    </r>
    <r>
      <rPr>
        <strike/>
        <sz val="11"/>
        <color rgb="FF3F3F76"/>
        <rFont val="Malgun Gothic"/>
        <family val="2"/>
        <charset val="129"/>
      </rPr>
      <t>2</t>
    </r>
    <r>
      <rPr>
        <strike/>
        <sz val="11"/>
        <color rgb="FF3F3F76"/>
        <rFont val="等线"/>
        <family val="2"/>
        <charset val="134"/>
        <scheme val="minor"/>
      </rPr>
      <t>_FFFF_FFFF</t>
    </r>
    <phoneticPr fontId="2" type="noConversion"/>
  </si>
  <si>
    <r>
      <t xml:space="preserve"> Read SODIMM w/ 0x</t>
    </r>
    <r>
      <rPr>
        <strike/>
        <sz val="11"/>
        <color rgb="FF3F3F76"/>
        <rFont val="Malgun Gothic"/>
        <family val="2"/>
        <charset val="129"/>
      </rPr>
      <t>3</t>
    </r>
    <r>
      <rPr>
        <strike/>
        <sz val="11"/>
        <color rgb="FF3F3F76"/>
        <rFont val="等线"/>
        <family val="2"/>
        <charset val="134"/>
        <scheme val="minor"/>
      </rPr>
      <t>_0000_0000 ~ 0x</t>
    </r>
    <r>
      <rPr>
        <strike/>
        <sz val="11"/>
        <color rgb="FF3F3F76"/>
        <rFont val="Malgun Gothic"/>
        <family val="2"/>
        <charset val="129"/>
      </rPr>
      <t>3</t>
    </r>
    <r>
      <rPr>
        <strike/>
        <sz val="11"/>
        <color rgb="FF3F3F76"/>
        <rFont val="等线"/>
        <family val="2"/>
        <charset val="134"/>
        <scheme val="minor"/>
      </rPr>
      <t>_FFFF_FFFF, uppe</t>
    </r>
    <r>
      <rPr>
        <strike/>
        <sz val="11"/>
        <color rgb="FF3F3F76"/>
        <rFont val="Malgun Gothic"/>
        <family val="2"/>
        <charset val="129"/>
      </rPr>
      <t>st</t>
    </r>
    <r>
      <rPr>
        <strike/>
        <sz val="11"/>
        <color rgb="FF3F3F76"/>
        <rFont val="等线"/>
        <family val="2"/>
        <charset val="134"/>
        <scheme val="minor"/>
      </rPr>
      <t xml:space="preserve"> 4GB / 16GB</t>
    </r>
    <phoneticPr fontId="2" type="noConversion"/>
  </si>
  <si>
    <t>ERR[5:4]</t>
    <phoneticPr fontId="18" type="noConversion"/>
  </si>
  <si>
    <t>BUSY[7]</t>
    <phoneticPr fontId="2" type="noConversion"/>
  </si>
  <si>
    <t>ERR[5:4]</t>
    <phoneticPr fontId="2" type="noConversion"/>
  </si>
  <si>
    <t>RA.ID</t>
    <phoneticPr fontId="18" type="noConversion"/>
  </si>
  <si>
    <t>SLOT.ID[1:0]</t>
    <phoneticPr fontId="18" type="noConversion"/>
  </si>
  <si>
    <t>SITE.ID[15:8]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</si>
</sst>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9">
    <font>
      <sz val="11"/>
      <color theme="1"/>
      <name val="等线"/>
      <family val="2"/>
      <charset val="129"/>
      <scheme val="minor"/>
    </font>
    <font>
      <sz val="11"/>
      <color theme="1"/>
      <name val="等线"/>
      <family val="2"/>
      <scheme val="minor"/>
    </font>
    <font>
      <sz val="8"/>
      <name val="等线"/>
      <family val="2"/>
      <charset val="129"/>
      <scheme val="minor"/>
    </font>
    <font>
      <b/>
      <sz val="11"/>
      <color theme="1"/>
      <name val="等线"/>
      <family val="3"/>
      <charset val="129"/>
      <scheme val="minor"/>
    </font>
    <font>
      <sz val="11"/>
      <color rgb="FF006100"/>
      <name val="等线"/>
      <family val="2"/>
      <charset val="129"/>
      <scheme val="minor"/>
    </font>
    <font>
      <b/>
      <sz val="11"/>
      <color rgb="FF006100"/>
      <name val="等线"/>
      <family val="3"/>
      <charset val="129"/>
      <scheme val="minor"/>
    </font>
    <font>
      <sz val="11"/>
      <color rgb="FF9C6500"/>
      <name val="等线"/>
      <family val="2"/>
      <charset val="129"/>
      <scheme val="minor"/>
    </font>
    <font>
      <b/>
      <sz val="12"/>
      <color rgb="FF006100"/>
      <name val="等线"/>
      <family val="3"/>
      <charset val="129"/>
      <scheme val="minor"/>
    </font>
    <font>
      <sz val="11"/>
      <color theme="1"/>
      <name val="等线"/>
      <family val="2"/>
      <charset val="129"/>
      <scheme val="minor"/>
    </font>
    <font>
      <sz val="11"/>
      <color rgb="FF9C0006"/>
      <name val="等线"/>
      <family val="2"/>
      <charset val="129"/>
      <scheme val="minor"/>
    </font>
    <font>
      <b/>
      <sz val="12"/>
      <color rgb="FF9C0006"/>
      <name val="等线"/>
      <family val="3"/>
      <charset val="129"/>
      <scheme val="minor"/>
    </font>
    <font>
      <sz val="11"/>
      <color theme="1"/>
      <name val="等线"/>
      <family val="3"/>
      <charset val="129"/>
      <scheme val="minor"/>
    </font>
    <font>
      <b/>
      <sz val="12"/>
      <color theme="1"/>
      <name val="等线"/>
      <family val="3"/>
      <charset val="129"/>
      <scheme val="minor"/>
    </font>
    <font>
      <b/>
      <sz val="11"/>
      <color rgb="FF9C0006"/>
      <name val="等线"/>
      <family val="3"/>
      <charset val="129"/>
      <scheme val="minor"/>
    </font>
    <font>
      <b/>
      <sz val="11"/>
      <color theme="1"/>
      <name val="等线"/>
      <family val="2"/>
      <scheme val="minor"/>
    </font>
    <font>
      <sz val="11"/>
      <color theme="1"/>
      <name val="Malgun Gothic"/>
      <family val="2"/>
      <charset val="129"/>
    </font>
    <font>
      <b/>
      <sz val="11"/>
      <color rgb="FF006100"/>
      <name val="Malgun Gothic"/>
      <family val="3"/>
      <charset val="129"/>
    </font>
    <font>
      <b/>
      <sz val="11"/>
      <color rgb="FF9C6500"/>
      <name val="Malgun Gothic"/>
      <family val="3"/>
      <charset val="129"/>
    </font>
    <font>
      <sz val="9"/>
      <name val="等线"/>
      <family val="3"/>
      <charset val="134"/>
      <scheme val="minor"/>
    </font>
    <font>
      <b/>
      <sz val="11"/>
      <color theme="1"/>
      <name val="Malgun Gothic"/>
      <family val="2"/>
      <charset val="129"/>
    </font>
    <font>
      <b/>
      <sz val="11"/>
      <color rgb="FF006100"/>
      <name val="等线"/>
      <scheme val="minor"/>
    </font>
    <font>
      <sz val="11"/>
      <color theme="1"/>
      <name val="맑은 고딕"/>
      <family val="2"/>
      <charset val="129"/>
    </font>
    <font>
      <sz val="11"/>
      <name val="Malgun Gothic"/>
      <family val="2"/>
      <charset val="129"/>
    </font>
    <font>
      <sz val="11"/>
      <name val="맑은 고딕"/>
      <family val="2"/>
      <charset val="129"/>
    </font>
    <font>
      <b/>
      <sz val="11"/>
      <color rgb="FFFF0000"/>
      <name val="Malgun Gothic"/>
      <family val="2"/>
      <charset val="129"/>
    </font>
    <font>
      <b/>
      <sz val="11"/>
      <color rgb="FFFF0000"/>
      <name val="Malgun Gothic"/>
      <family val="2"/>
    </font>
    <font>
      <sz val="11"/>
      <color rgb="FF3F3F76"/>
      <name val="等线"/>
      <family val="2"/>
      <charset val="134"/>
      <scheme val="minor"/>
    </font>
    <font>
      <b/>
      <sz val="11"/>
      <color rgb="FF9C6500"/>
      <name val="等线"/>
      <family val="3"/>
      <charset val="129"/>
      <scheme val="minor"/>
    </font>
    <font>
      <b/>
      <sz val="11"/>
      <color rgb="FF006100"/>
      <name val="Malgun Gothic"/>
      <family val="2"/>
      <charset val="129"/>
    </font>
    <font>
      <b/>
      <sz val="11"/>
      <color rgb="FF006100"/>
      <name val="Malgun Gothic Semilight"/>
      <family val="2"/>
      <charset val="134"/>
    </font>
    <font>
      <b/>
      <sz val="11"/>
      <color theme="1"/>
      <name val="Malgun Gothic Semilight"/>
      <family val="2"/>
      <charset val="134"/>
    </font>
    <font>
      <b/>
      <sz val="11"/>
      <color rgb="FF9C0006"/>
      <name val="等线"/>
      <family val="3"/>
      <charset val="134"/>
      <scheme val="minor"/>
    </font>
    <font>
      <sz val="11"/>
      <color rgb="FF9C0006"/>
      <name val="Malgun Gothic"/>
      <family val="2"/>
      <charset val="129"/>
    </font>
    <font>
      <strike/>
      <sz val="11"/>
      <color rgb="FF3F3F76"/>
      <name val="等线"/>
      <family val="2"/>
      <charset val="134"/>
      <scheme val="minor"/>
    </font>
    <font>
      <strike/>
      <sz val="11"/>
      <color rgb="FF3F3F76"/>
      <name val="Malgun Gothic"/>
      <family val="2"/>
      <charset val="129"/>
    </font>
    <font>
      <strike/>
      <sz val="11"/>
      <color theme="1"/>
      <name val="Malgun Gothic"/>
      <family val="2"/>
      <charset val="129"/>
    </font>
    <font>
      <strike/>
      <sz val="11"/>
      <color theme="1"/>
      <name val="Malgun Gothic"/>
      <family val="2"/>
    </font>
    <font>
      <strike/>
      <sz val="11"/>
      <color theme="1"/>
      <name val="等线"/>
      <family val="2"/>
      <charset val="129"/>
      <scheme val="minor"/>
    </font>
    <font>
      <strike/>
      <sz val="11"/>
      <color theme="1"/>
      <name val="等线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theme="5" tint="-0.24994659260841701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FCC99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26" fillId="10" borderId="46" applyNumberFormat="0" applyAlignment="0" applyProtection="0">
      <alignment vertical="center"/>
    </xf>
  </cellStyleXfs>
  <cellXfs count="248">
    <xf numFmtId="0" fontId="0" fillId="0" borderId="0" xfId="0">
      <alignment vertical="center"/>
    </xf>
    <xf numFmtId="0" fontId="0" fillId="0" borderId="12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2" borderId="32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7" fillId="2" borderId="2" xfId="1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13" fillId="7" borderId="16" xfId="3" applyFont="1" applyBorder="1">
      <alignment vertical="center"/>
    </xf>
    <xf numFmtId="18" fontId="0" fillId="9" borderId="16" xfId="0" applyNumberFormat="1" applyFill="1" applyBorder="1" applyAlignment="1">
      <alignment vertical="top" indent="2"/>
    </xf>
    <xf numFmtId="18" fontId="0" fillId="9" borderId="16" xfId="0" applyNumberFormat="1" applyFill="1" applyBorder="1" applyAlignment="1">
      <alignment vertical="top"/>
    </xf>
    <xf numFmtId="0" fontId="0" fillId="0" borderId="29" xfId="0" applyBorder="1">
      <alignment vertical="center"/>
    </xf>
    <xf numFmtId="14" fontId="0" fillId="0" borderId="13" xfId="0" applyNumberForma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4" xfId="0" applyBorder="1">
      <alignment vertical="center"/>
    </xf>
    <xf numFmtId="0" fontId="15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1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8" fontId="22" fillId="5" borderId="16" xfId="0" applyNumberFormat="1" applyFont="1" applyFill="1" applyBorder="1" applyAlignment="1">
      <alignment vertical="top" indent="2"/>
    </xf>
    <xf numFmtId="18" fontId="23" fillId="5" borderId="16" xfId="0" applyNumberFormat="1" applyFont="1" applyFill="1" applyBorder="1" applyAlignment="1">
      <alignment vertical="top"/>
    </xf>
    <xf numFmtId="0" fontId="23" fillId="5" borderId="0" xfId="0" applyFont="1" applyFill="1">
      <alignment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>
      <alignment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8" fillId="2" borderId="49" xfId="1" applyFont="1" applyBorder="1" applyAlignment="1">
      <alignment vertical="center"/>
    </xf>
    <xf numFmtId="0" fontId="20" fillId="2" borderId="44" xfId="1" applyFont="1" applyBorder="1" applyAlignment="1">
      <alignment horizontal="center" vertical="center"/>
    </xf>
    <xf numFmtId="0" fontId="20" fillId="2" borderId="45" xfId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33" fillId="10" borderId="55" xfId="5" applyFont="1" applyBorder="1" applyAlignment="1">
      <alignment horizontal="center" vertical="center"/>
    </xf>
    <xf numFmtId="0" fontId="33" fillId="10" borderId="46" xfId="5" applyFont="1" applyAlignment="1">
      <alignment horizontal="center" vertical="center"/>
    </xf>
    <xf numFmtId="0" fontId="33" fillId="10" borderId="57" xfId="5" applyFont="1" applyBorder="1" applyAlignment="1">
      <alignment horizontal="center" vertical="center"/>
    </xf>
    <xf numFmtId="0" fontId="33" fillId="10" borderId="58" xfId="5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0" fillId="6" borderId="23" xfId="0" applyFill="1" applyBorder="1">
      <alignment vertical="center"/>
    </xf>
    <xf numFmtId="0" fontId="37" fillId="0" borderId="16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10" fillId="7" borderId="7" xfId="3" applyFont="1" applyBorder="1" applyAlignment="1">
      <alignment horizontal="center" vertical="center"/>
    </xf>
    <xf numFmtId="0" fontId="10" fillId="7" borderId="9" xfId="3" applyFont="1" applyBorder="1" applyAlignment="1">
      <alignment horizontal="center" vertical="center"/>
    </xf>
    <xf numFmtId="18" fontId="16" fillId="2" borderId="16" xfId="1" applyNumberFormat="1" applyFont="1" applyBorder="1" applyAlignment="1">
      <alignment vertical="top"/>
    </xf>
    <xf numFmtId="18" fontId="5" fillId="2" borderId="16" xfId="1" applyNumberFormat="1" applyFont="1" applyBorder="1" applyAlignment="1">
      <alignment vertical="top"/>
    </xf>
    <xf numFmtId="0" fontId="20" fillId="2" borderId="43" xfId="1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29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40" xfId="0" quotePrefix="1" applyBorder="1" applyAlignment="1">
      <alignment horizontal="center" vertical="center"/>
    </xf>
    <xf numFmtId="0" fontId="15" fillId="0" borderId="5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5" fillId="0" borderId="29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3" fillId="8" borderId="31" xfId="4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7" fillId="3" borderId="1" xfId="2" applyFont="1" applyBorder="1" applyAlignment="1">
      <alignment horizontal="left" vertical="center"/>
    </xf>
    <xf numFmtId="0" fontId="17" fillId="3" borderId="2" xfId="2" applyFont="1" applyBorder="1" applyAlignment="1">
      <alignment horizontal="left" vertical="center"/>
    </xf>
    <xf numFmtId="0" fontId="17" fillId="3" borderId="3" xfId="2" applyFont="1" applyBorder="1" applyAlignment="1">
      <alignment horizontal="left" vertical="center"/>
    </xf>
    <xf numFmtId="0" fontId="16" fillId="2" borderId="49" xfId="1" applyFont="1" applyBorder="1" applyAlignment="1">
      <alignment horizontal="center" vertical="center"/>
    </xf>
    <xf numFmtId="0" fontId="5" fillId="2" borderId="44" xfId="1" applyFont="1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7" fillId="3" borderId="1" xfId="2" applyFont="1" applyBorder="1" applyAlignment="1">
      <alignment horizontal="left" vertical="center"/>
    </xf>
    <xf numFmtId="0" fontId="27" fillId="3" borderId="2" xfId="2" applyFont="1" applyBorder="1" applyAlignment="1">
      <alignment horizontal="left" vertical="center"/>
    </xf>
    <xf numFmtId="0" fontId="27" fillId="3" borderId="3" xfId="2" applyFont="1" applyBorder="1" applyAlignment="1">
      <alignment horizontal="left" vertical="center"/>
    </xf>
    <xf numFmtId="0" fontId="5" fillId="2" borderId="17" xfId="1" applyFont="1" applyBorder="1" applyAlignment="1">
      <alignment horizontal="center" vertical="center"/>
    </xf>
    <xf numFmtId="0" fontId="5" fillId="2" borderId="18" xfId="1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6" fillId="2" borderId="44" xfId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5" fillId="2" borderId="17" xfId="1" applyFont="1" applyBorder="1" applyAlignment="1">
      <alignment horizontal="center" vertical="center" wrapText="1"/>
    </xf>
    <xf numFmtId="0" fontId="5" fillId="2" borderId="18" xfId="1" applyFont="1" applyBorder="1" applyAlignment="1">
      <alignment horizontal="center" vertical="center" wrapText="1"/>
    </xf>
    <xf numFmtId="0" fontId="5" fillId="2" borderId="22" xfId="1" applyFont="1" applyBorder="1" applyAlignment="1">
      <alignment horizontal="center" vertical="center" wrapText="1"/>
    </xf>
    <xf numFmtId="0" fontId="5" fillId="2" borderId="23" xfId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6" fillId="2" borderId="20" xfId="1" applyFont="1" applyBorder="1" applyAlignment="1">
      <alignment horizontal="center" vertical="center"/>
    </xf>
    <xf numFmtId="0" fontId="5" fillId="2" borderId="16" xfId="1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5" fillId="2" borderId="20" xfId="1" applyFont="1" applyBorder="1" applyAlignment="1">
      <alignment horizontal="center" vertical="center"/>
    </xf>
    <xf numFmtId="0" fontId="28" fillId="2" borderId="44" xfId="1" applyFont="1" applyBorder="1" applyAlignment="1">
      <alignment horizontal="center" vertical="center"/>
    </xf>
    <xf numFmtId="0" fontId="20" fillId="2" borderId="44" xfId="1" applyFont="1" applyBorder="1" applyAlignment="1">
      <alignment horizontal="center" vertical="center"/>
    </xf>
    <xf numFmtId="0" fontId="15" fillId="0" borderId="52" xfId="0" applyFont="1" applyBorder="1" applyAlignment="1">
      <alignment horizontal="left" vertical="center"/>
    </xf>
    <xf numFmtId="0" fontId="15" fillId="0" borderId="53" xfId="0" applyFont="1" applyBorder="1" applyAlignment="1">
      <alignment horizontal="left" vertical="center"/>
    </xf>
    <xf numFmtId="0" fontId="15" fillId="0" borderId="54" xfId="0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48" xfId="0" applyFont="1" applyBorder="1" applyAlignment="1">
      <alignment horizontal="left" vertical="center"/>
    </xf>
    <xf numFmtId="0" fontId="5" fillId="2" borderId="22" xfId="1" applyFont="1" applyBorder="1" applyAlignment="1">
      <alignment horizontal="center" vertical="center"/>
    </xf>
    <xf numFmtId="0" fontId="5" fillId="2" borderId="23" xfId="1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7" fillId="3" borderId="5" xfId="2" applyFont="1" applyBorder="1" applyAlignment="1">
      <alignment horizontal="left" vertical="center"/>
    </xf>
    <xf numFmtId="0" fontId="17" fillId="3" borderId="29" xfId="2" applyFont="1" applyBorder="1" applyAlignment="1">
      <alignment horizontal="left" vertical="center"/>
    </xf>
    <xf numFmtId="0" fontId="17" fillId="3" borderId="6" xfId="2" applyFont="1" applyBorder="1" applyAlignment="1">
      <alignment horizontal="left" vertical="center"/>
    </xf>
    <xf numFmtId="0" fontId="33" fillId="10" borderId="46" xfId="5" applyFont="1" applyAlignment="1">
      <alignment horizontal="left" vertical="center"/>
    </xf>
    <xf numFmtId="0" fontId="33" fillId="10" borderId="56" xfId="5" applyFont="1" applyBorder="1" applyAlignment="1">
      <alignment horizontal="left" vertical="center"/>
    </xf>
    <xf numFmtId="0" fontId="29" fillId="2" borderId="16" xfId="1" applyFont="1" applyBorder="1" applyAlignment="1">
      <alignment horizontal="center" vertical="center"/>
    </xf>
    <xf numFmtId="0" fontId="30" fillId="0" borderId="16" xfId="0" quotePrefix="1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1" fillId="7" borderId="16" xfId="3" quotePrefix="1" applyFont="1" applyBorder="1" applyAlignment="1">
      <alignment horizontal="center" vertical="center"/>
    </xf>
    <xf numFmtId="0" fontId="31" fillId="7" borderId="16" xfId="3" applyFont="1" applyBorder="1" applyAlignment="1">
      <alignment horizontal="center" vertical="center"/>
    </xf>
    <xf numFmtId="0" fontId="30" fillId="0" borderId="16" xfId="0" quotePrefix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3" fillId="10" borderId="58" xfId="5" applyFont="1" applyBorder="1" applyAlignment="1">
      <alignment horizontal="left" vertical="center"/>
    </xf>
    <xf numFmtId="0" fontId="33" fillId="10" borderId="59" xfId="5" applyFont="1" applyBorder="1" applyAlignment="1">
      <alignment horizontal="left" vertical="center"/>
    </xf>
    <xf numFmtId="0" fontId="0" fillId="0" borderId="5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9" fillId="7" borderId="60" xfId="3" applyBorder="1" applyAlignment="1">
      <alignment horizontal="left" vertical="center"/>
    </xf>
    <xf numFmtId="0" fontId="9" fillId="7" borderId="36" xfId="3" applyBorder="1" applyAlignment="1">
      <alignment horizontal="left" vertical="center"/>
    </xf>
    <xf numFmtId="0" fontId="9" fillId="7" borderId="61" xfId="3" applyBorder="1" applyAlignment="1">
      <alignment horizontal="left" vertical="center"/>
    </xf>
    <xf numFmtId="0" fontId="15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6" fillId="2" borderId="17" xfId="1" applyFont="1" applyBorder="1" applyAlignment="1">
      <alignment horizontal="center" vertical="center"/>
    </xf>
    <xf numFmtId="0" fontId="16" fillId="2" borderId="18" xfId="1" applyFont="1" applyBorder="1" applyAlignment="1">
      <alignment horizontal="center" vertical="center"/>
    </xf>
    <xf numFmtId="0" fontId="16" fillId="2" borderId="16" xfId="1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15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6" fillId="2" borderId="22" xfId="1" applyFont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6" fillId="2" borderId="23" xfId="1" applyFont="1" applyBorder="1" applyAlignment="1">
      <alignment horizontal="center" vertical="center"/>
    </xf>
  </cellXfs>
  <cellStyles count="6">
    <cellStyle name="好" xfId="1" builtinId="26"/>
    <cellStyle name="差" xfId="3" builtinId="27"/>
    <cellStyle name="常规" xfId="0" builtinId="0"/>
    <cellStyle name="注释" xfId="4" builtinId="10"/>
    <cellStyle name="输入" xfId="5" builtinId="20"/>
    <cellStyle name="适中" xfId="2" builtinId="28"/>
  </cellStyles>
  <dxfs count="5"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358588</xdr:colOff>
      <xdr:row>4</xdr:row>
      <xdr:rowOff>31148</xdr:rowOff>
    </xdr:from>
    <xdr:to>
      <xdr:col>36</xdr:col>
      <xdr:colOff>369793</xdr:colOff>
      <xdr:row>47</xdr:row>
      <xdr:rowOff>38256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D074DD-3AD5-1F29-1FA5-A5BE9719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9764" y="748324"/>
          <a:ext cx="10948147" cy="7716756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672353</xdr:colOff>
      <xdr:row>3</xdr:row>
      <xdr:rowOff>44823</xdr:rowOff>
    </xdr:from>
    <xdr:to>
      <xdr:col>18</xdr:col>
      <xdr:colOff>470647</xdr:colOff>
      <xdr:row>37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2D5F207-0D57-EC39-B50D-AED80D5A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53" y="582705"/>
          <a:ext cx="12102353" cy="6051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16</xdr:row>
      <xdr:rowOff>219074</xdr:rowOff>
    </xdr:from>
    <xdr:to>
      <xdr:col>4</xdr:col>
      <xdr:colOff>1181100</xdr:colOff>
      <xdr:row>22</xdr:row>
      <xdr:rowOff>47624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5FD6BED-6A91-48A5-9A54-970633D6806F}"/>
            </a:ext>
          </a:extLst>
        </xdr:cNvPr>
        <xdr:cNvSpPr txBox="1"/>
      </xdr:nvSpPr>
      <xdr:spPr>
        <a:xfrm>
          <a:off x="657225" y="3352799"/>
          <a:ext cx="40481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600" b="1">
              <a:solidFill>
                <a:srgbClr val="FF0000"/>
              </a:solidFill>
            </a:rPr>
            <a:t>- WRITE</a:t>
          </a:r>
          <a:r>
            <a:rPr lang="en-US" altLang="zh-CN" sz="1600" b="1" baseline="0">
              <a:solidFill>
                <a:srgbClr val="FF0000"/>
              </a:solidFill>
            </a:rPr>
            <a:t> : multiple FPGA </a:t>
          </a:r>
          <a:r>
            <a:rPr lang="ko-KR" altLang="en-US" sz="1600" b="1" baseline="0">
              <a:solidFill>
                <a:srgbClr val="FF0000"/>
              </a:solidFill>
            </a:rPr>
            <a:t>동시 쓰기 가능</a:t>
          </a:r>
          <a:endParaRPr lang="en-US" altLang="zh-CN" sz="1600" b="1" baseline="0">
            <a:solidFill>
              <a:srgbClr val="FF0000"/>
            </a:solidFill>
          </a:endParaRPr>
        </a:p>
        <a:p>
          <a:pPr algn="l"/>
          <a:r>
            <a:rPr lang="en-US" altLang="zh-CN" sz="1600" b="1" baseline="0">
              <a:solidFill>
                <a:srgbClr val="FF0000"/>
              </a:solidFill>
            </a:rPr>
            <a:t>- READ   : </a:t>
          </a:r>
          <a:r>
            <a:rPr lang="ko-KR" altLang="en-US" sz="1600" b="1" baseline="0">
              <a:solidFill>
                <a:srgbClr val="FF0000"/>
              </a:solidFill>
            </a:rPr>
            <a:t>하나의 </a:t>
          </a:r>
          <a:r>
            <a:rPr lang="en-US" altLang="ko-KR" sz="1600" b="1" baseline="0">
              <a:solidFill>
                <a:srgbClr val="FF0000"/>
              </a:solidFill>
            </a:rPr>
            <a:t>FPGA</a:t>
          </a:r>
          <a:r>
            <a:rPr lang="ko-KR" altLang="en-US" sz="1600" b="1" baseline="0">
              <a:solidFill>
                <a:srgbClr val="FF0000"/>
              </a:solidFill>
            </a:rPr>
            <a:t>만 읽기 가능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347381</xdr:colOff>
      <xdr:row>4</xdr:row>
      <xdr:rowOff>112057</xdr:rowOff>
    </xdr:from>
    <xdr:to>
      <xdr:col>51</xdr:col>
      <xdr:colOff>604447</xdr:colOff>
      <xdr:row>24</xdr:row>
      <xdr:rowOff>163605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EDE0AC0-B959-BEB1-686B-518AA6B5B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43057" y="885263"/>
          <a:ext cx="7249537" cy="4074460"/>
        </a:xfrm>
        <a:prstGeom prst="rect">
          <a:avLst/>
        </a:prstGeom>
      </xdr:spPr>
    </xdr:pic>
    <xdr:clientData/>
  </xdr:twoCellAnchor>
  <xdr:oneCellAnchor>
    <xdr:from>
      <xdr:col>18</xdr:col>
      <xdr:colOff>1</xdr:colOff>
      <xdr:row>44</xdr:row>
      <xdr:rowOff>179294</xdr:rowOff>
    </xdr:from>
    <xdr:ext cx="5830570" cy="374141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9A2410A-E4F3-E98A-A922-D6B811687424}"/>
            </a:ext>
          </a:extLst>
        </xdr:cNvPr>
        <xdr:cNvSpPr txBox="1"/>
      </xdr:nvSpPr>
      <xdr:spPr>
        <a:xfrm>
          <a:off x="10488707" y="9278470"/>
          <a:ext cx="583057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800" b="1">
              <a:solidFill>
                <a:srgbClr val="FF0000"/>
              </a:solidFill>
            </a:rPr>
            <a:t>WR/RD operation</a:t>
          </a:r>
          <a:r>
            <a:rPr lang="en-US" altLang="zh-CN" sz="1800" b="1" baseline="0">
              <a:solidFill>
                <a:srgbClr val="FF0000"/>
              </a:solidFill>
            </a:rPr>
            <a:t> only can be set when AURORA link is up.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zoomScale="85" zoomScaleNormal="85" workbookViewId="0">
      <pane xSplit="5" ySplit="8" topLeftCell="F9" activePane="bottomRight" state="frozen"/>
      <selection pane="topRight" activeCell="F1" sqref="F1"/>
      <selection pane="bottomLeft" activeCell="A15" sqref="A15"/>
      <selection pane="bottomRight" activeCell="E18" sqref="E18"/>
    </sheetView>
  </sheetViews>
  <sheetFormatPr defaultRowHeight="14.25"/>
  <cols>
    <col min="1" max="1" width="3.625" style="11" customWidth="1"/>
    <col min="2" max="2" width="15.625" style="11" customWidth="1"/>
    <col min="3" max="3" width="21" style="11" customWidth="1"/>
    <col min="4" max="4" width="16.125" style="20" customWidth="1"/>
    <col min="5" max="5" width="88" customWidth="1"/>
    <col min="6" max="6" width="18.375" style="11" customWidth="1"/>
    <col min="7" max="7" width="19" style="11" customWidth="1"/>
    <col min="8" max="8" width="42.125" customWidth="1"/>
  </cols>
  <sheetData>
    <row r="1" spans="1:8" ht="15" thickBot="1"/>
    <row r="2" spans="1:8" ht="16.5" thickBot="1">
      <c r="B2" s="13" t="s">
        <v>7</v>
      </c>
      <c r="C2" s="13" t="s">
        <v>8</v>
      </c>
      <c r="D2" s="19" t="s">
        <v>9</v>
      </c>
      <c r="E2" s="13" t="s">
        <v>10</v>
      </c>
      <c r="F2" s="13" t="s">
        <v>20</v>
      </c>
      <c r="G2" s="13" t="s">
        <v>21</v>
      </c>
    </row>
    <row r="3" spans="1:8">
      <c r="B3" s="81"/>
      <c r="C3" s="14" t="str">
        <f>C9</f>
        <v>LBx8-C2P</v>
      </c>
      <c r="D3" s="20">
        <f>D9</f>
        <v>0.6</v>
      </c>
      <c r="E3" s="1" t="s">
        <v>51</v>
      </c>
      <c r="F3" s="23">
        <f>B9</f>
        <v>44789</v>
      </c>
      <c r="G3" s="23">
        <f>G9</f>
        <v>0</v>
      </c>
    </row>
    <row r="4" spans="1:8" ht="16.5">
      <c r="B4" s="81"/>
      <c r="C4" s="54" t="str">
        <f>C13</f>
        <v>FM-ACCESS</v>
      </c>
      <c r="D4" s="20">
        <f>D13</f>
        <v>0.5</v>
      </c>
      <c r="E4" s="55" t="s">
        <v>61</v>
      </c>
      <c r="F4" s="23">
        <f>B13</f>
        <v>44986</v>
      </c>
      <c r="G4" s="23">
        <f>G13</f>
        <v>0</v>
      </c>
    </row>
    <row r="5" spans="1:8" ht="15" thickBot="1">
      <c r="B5" s="82"/>
      <c r="C5" s="15" t="str">
        <f>C16</f>
        <v>PJT-INFO</v>
      </c>
      <c r="D5" s="21">
        <f>D16</f>
        <v>0.5</v>
      </c>
      <c r="E5" s="10" t="s">
        <v>22</v>
      </c>
      <c r="F5" s="28">
        <f>B16</f>
        <v>44986</v>
      </c>
      <c r="G5" s="28">
        <f>G16</f>
        <v>0</v>
      </c>
    </row>
    <row r="8" spans="1:8" ht="15.75">
      <c r="A8" s="18" t="s">
        <v>18</v>
      </c>
      <c r="B8" s="18" t="s">
        <v>14</v>
      </c>
      <c r="C8" s="18" t="s">
        <v>8</v>
      </c>
      <c r="D8" s="22" t="s">
        <v>9</v>
      </c>
      <c r="E8" s="18" t="s">
        <v>16</v>
      </c>
      <c r="F8" s="18" t="s">
        <v>12</v>
      </c>
      <c r="G8" s="18" t="s">
        <v>13</v>
      </c>
      <c r="H8" s="18" t="s">
        <v>17</v>
      </c>
    </row>
    <row r="9" spans="1:8" ht="16.5">
      <c r="A9" s="48" t="s">
        <v>19</v>
      </c>
      <c r="B9" s="29">
        <v>44789</v>
      </c>
      <c r="C9" s="48" t="s">
        <v>50</v>
      </c>
      <c r="D9" s="36">
        <v>0.6</v>
      </c>
      <c r="E9" s="37" t="s">
        <v>59</v>
      </c>
      <c r="F9" s="17" t="s">
        <v>15</v>
      </c>
      <c r="G9" s="29"/>
      <c r="H9" s="30"/>
    </row>
    <row r="10" spans="1:8" ht="16.5">
      <c r="A10" s="48"/>
      <c r="B10" s="56">
        <v>44455</v>
      </c>
      <c r="C10" s="45" t="s">
        <v>50</v>
      </c>
      <c r="D10" s="49">
        <v>0.5</v>
      </c>
      <c r="E10" s="50" t="s">
        <v>11</v>
      </c>
      <c r="F10" s="17"/>
      <c r="G10" s="29"/>
      <c r="H10" s="30"/>
    </row>
    <row r="11" spans="1:8" ht="16.5">
      <c r="A11" s="48"/>
      <c r="B11" s="56"/>
      <c r="C11" s="45"/>
      <c r="D11" s="49"/>
      <c r="E11" s="50"/>
      <c r="F11" s="17"/>
      <c r="G11" s="29"/>
      <c r="H11" s="30"/>
    </row>
    <row r="12" spans="1:8" ht="16.5">
      <c r="A12" s="48"/>
      <c r="B12" s="56"/>
      <c r="C12" s="45"/>
      <c r="D12" s="49"/>
      <c r="E12" s="50"/>
      <c r="F12" s="17"/>
      <c r="G12" s="29"/>
      <c r="H12" s="30"/>
    </row>
    <row r="13" spans="1:8" ht="16.5">
      <c r="A13" s="48" t="s">
        <v>58</v>
      </c>
      <c r="B13" s="29">
        <v>44986</v>
      </c>
      <c r="C13" s="48" t="s">
        <v>195</v>
      </c>
      <c r="D13" s="36">
        <v>0.5</v>
      </c>
      <c r="E13" s="37" t="s">
        <v>11</v>
      </c>
      <c r="F13" s="32" t="s">
        <v>15</v>
      </c>
    </row>
    <row r="14" spans="1:8" ht="16.5">
      <c r="A14" s="48"/>
      <c r="B14" s="29"/>
      <c r="C14" s="48"/>
      <c r="D14" s="36"/>
      <c r="E14" s="37"/>
      <c r="F14" s="32"/>
    </row>
    <row r="16" spans="1:8" s="30" customFormat="1" ht="16.5">
      <c r="A16" s="48" t="s">
        <v>19</v>
      </c>
      <c r="B16" s="29">
        <v>44986</v>
      </c>
      <c r="C16" s="31" t="s">
        <v>37</v>
      </c>
      <c r="D16" s="36">
        <v>0.5</v>
      </c>
      <c r="E16" s="37" t="s">
        <v>11</v>
      </c>
      <c r="F16" s="32" t="s">
        <v>15</v>
      </c>
      <c r="G16" s="29"/>
    </row>
  </sheetData>
  <mergeCells count="1">
    <mergeCell ref="B3:B5"/>
  </mergeCells>
  <phoneticPr fontId="2" type="noConversion"/>
  <conditionalFormatting sqref="A1:A1048576">
    <cfRule type="cellIs" dxfId="4" priority="5" operator="equal">
      <formula>"N"</formula>
    </cfRule>
    <cfRule type="cellIs" dxfId="3" priority="6" operator="equal">
      <formula>"D"</formula>
    </cfRule>
    <cfRule type="cellIs" dxfId="2" priority="7" operator="equal">
      <formula>"P"</formula>
    </cfRule>
  </conditionalFormatting>
  <conditionalFormatting sqref="A13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A14">
    <cfRule type="iconSet" priority="16">
      <iconSet iconSet="3Symbols">
        <cfvo type="percent" val="0"/>
        <cfvo type="percent" val="33"/>
        <cfvo type="percent" val="67"/>
      </iconSet>
    </cfRule>
  </conditionalFormatting>
  <conditionalFormatting sqref="A15">
    <cfRule type="iconSet" priority="90">
      <iconSet iconSet="3Symbols">
        <cfvo type="percent" val="0"/>
        <cfvo type="percent" val="33"/>
        <cfvo type="percent" val="67"/>
      </iconSet>
    </cfRule>
  </conditionalFormatting>
  <conditionalFormatting sqref="A16:A1048576 A1:A12">
    <cfRule type="iconSet" priority="82">
      <iconSet iconSet="3Symbols">
        <cfvo type="percent" val="0"/>
        <cfvo type="percent" val="33"/>
        <cfvo type="percent" val="67"/>
      </iconSet>
    </cfRule>
  </conditionalFormatting>
  <conditionalFormatting sqref="F16">
    <cfRule type="cellIs" dxfId="1" priority="9" operator="equal">
      <formula>"-"</formula>
    </cfRule>
  </conditionalFormatting>
  <conditionalFormatting sqref="G1:G1048576 F9:F14">
    <cfRule type="cellIs" dxfId="0" priority="1" operator="equal">
      <formula>"-"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5" zoomScaleNormal="85" workbookViewId="0">
      <selection activeCell="R49" sqref="R49"/>
    </sheetView>
  </sheetViews>
  <sheetFormatPr defaultRowHeight="14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2"/>
  <sheetViews>
    <sheetView zoomScaleNormal="100" workbookViewId="0">
      <pane xSplit="7" ySplit="12" topLeftCell="H13" activePane="bottomRight" state="frozen"/>
      <selection pane="topRight" activeCell="H1" sqref="H1"/>
      <selection pane="bottomLeft" activeCell="A18" sqref="A18"/>
      <selection pane="bottomRight" activeCell="F26" sqref="F26"/>
    </sheetView>
  </sheetViews>
  <sheetFormatPr defaultRowHeight="14.25"/>
  <cols>
    <col min="2" max="2" width="27.125" customWidth="1"/>
    <col min="3" max="3" width="18.625" customWidth="1"/>
    <col min="4" max="4" width="19.75" customWidth="1"/>
    <col min="5" max="5" width="11.375" customWidth="1"/>
    <col min="6" max="6" width="23.375" customWidth="1"/>
    <col min="7" max="7" width="28" customWidth="1"/>
    <col min="8" max="8" width="9" style="11"/>
  </cols>
  <sheetData>
    <row r="2" spans="2:7">
      <c r="B2" s="24" t="s">
        <v>23</v>
      </c>
      <c r="C2" s="24" t="s">
        <v>24</v>
      </c>
      <c r="D2" s="24" t="s">
        <v>25</v>
      </c>
      <c r="E2" s="24" t="s">
        <v>26</v>
      </c>
      <c r="F2" s="24" t="s">
        <v>27</v>
      </c>
      <c r="G2" s="85" t="s">
        <v>6</v>
      </c>
    </row>
    <row r="3" spans="2:7" ht="16.5">
      <c r="B3" s="83" t="s">
        <v>55</v>
      </c>
      <c r="C3" s="84" t="s">
        <v>28</v>
      </c>
      <c r="D3" s="84" t="s">
        <v>28</v>
      </c>
      <c r="E3" s="84" t="s">
        <v>28</v>
      </c>
      <c r="F3" s="84" t="s">
        <v>28</v>
      </c>
      <c r="G3" s="85"/>
    </row>
    <row r="4" spans="2:7" ht="16.5">
      <c r="B4" s="25" t="s">
        <v>52</v>
      </c>
      <c r="C4" s="26" t="s">
        <v>30</v>
      </c>
      <c r="D4" s="26" t="s">
        <v>48</v>
      </c>
      <c r="E4" s="26" t="s">
        <v>29</v>
      </c>
      <c r="F4" s="26" t="s">
        <v>49</v>
      </c>
    </row>
    <row r="5" spans="2:7">
      <c r="B5" s="25"/>
      <c r="C5" s="26"/>
      <c r="D5" s="26"/>
      <c r="E5" s="26"/>
      <c r="F5" s="26"/>
    </row>
    <row r="6" spans="2:7" ht="16.5">
      <c r="B6" s="51" t="s">
        <v>195</v>
      </c>
      <c r="C6" s="52" t="s">
        <v>56</v>
      </c>
      <c r="D6" s="52" t="s">
        <v>196</v>
      </c>
      <c r="E6" s="52" t="s">
        <v>57</v>
      </c>
      <c r="F6" s="52" t="s">
        <v>197</v>
      </c>
      <c r="G6" s="53"/>
    </row>
    <row r="7" spans="2:7">
      <c r="B7" s="25"/>
      <c r="C7" s="26"/>
      <c r="D7" s="26"/>
      <c r="E7" s="26"/>
      <c r="F7" s="26"/>
    </row>
    <row r="8" spans="2:7" ht="16.5">
      <c r="B8" s="25" t="s">
        <v>53</v>
      </c>
      <c r="C8" s="26" t="s">
        <v>30</v>
      </c>
      <c r="D8" s="26" t="s">
        <v>46</v>
      </c>
      <c r="E8" s="26" t="s">
        <v>29</v>
      </c>
      <c r="F8" s="26" t="s">
        <v>47</v>
      </c>
    </row>
    <row r="9" spans="2:7">
      <c r="B9" s="25"/>
      <c r="C9" s="26"/>
      <c r="D9" s="26"/>
      <c r="E9" s="26"/>
      <c r="F9" s="26"/>
    </row>
    <row r="10" spans="2:7">
      <c r="B10" s="25"/>
      <c r="C10" s="26"/>
      <c r="D10" s="26"/>
      <c r="E10" s="26"/>
      <c r="F10" s="26"/>
    </row>
    <row r="11" spans="2:7" ht="16.5">
      <c r="B11" s="25" t="s">
        <v>54</v>
      </c>
      <c r="C11" s="26" t="s">
        <v>30</v>
      </c>
      <c r="D11" s="26" t="s">
        <v>44</v>
      </c>
      <c r="E11" s="26" t="s">
        <v>31</v>
      </c>
      <c r="F11" s="26" t="s">
        <v>45</v>
      </c>
    </row>
    <row r="12" spans="2:7">
      <c r="B12" s="25"/>
      <c r="C12" s="26"/>
      <c r="D12" s="26"/>
      <c r="E12" s="26"/>
      <c r="F12" s="26"/>
    </row>
  </sheetData>
  <mergeCells count="2">
    <mergeCell ref="B3:F3"/>
    <mergeCell ref="G2:G3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"/>
  <sheetViews>
    <sheetView zoomScale="85" zoomScaleNormal="85" workbookViewId="0">
      <pane xSplit="39" ySplit="10" topLeftCell="AN11" activePane="bottomRight" state="frozen"/>
      <selection pane="topRight" activeCell="AN1" sqref="AN1"/>
      <selection pane="bottomLeft" activeCell="A11" sqref="A11"/>
      <selection pane="bottomRight" activeCell="Q46" sqref="Q46"/>
    </sheetView>
  </sheetViews>
  <sheetFormatPr defaultRowHeight="14.2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5" thickBot="1"/>
    <row r="2" spans="1:39" ht="15" thickBot="1">
      <c r="B2" s="7" t="s">
        <v>3</v>
      </c>
      <c r="C2" s="7" t="s">
        <v>2</v>
      </c>
      <c r="D2" s="8" t="s">
        <v>1</v>
      </c>
      <c r="E2" s="8" t="s">
        <v>0</v>
      </c>
      <c r="F2" s="6" t="s">
        <v>4</v>
      </c>
      <c r="G2" s="9"/>
      <c r="H2" s="3">
        <v>31</v>
      </c>
      <c r="I2" s="4">
        <f>H2-1</f>
        <v>30</v>
      </c>
      <c r="J2" s="4">
        <f>I2-1</f>
        <v>29</v>
      </c>
      <c r="K2" s="4">
        <f t="shared" ref="K2:AM2" si="0">J2-1</f>
        <v>28</v>
      </c>
      <c r="L2" s="4">
        <f t="shared" si="0"/>
        <v>27</v>
      </c>
      <c r="M2" s="4">
        <f t="shared" si="0"/>
        <v>26</v>
      </c>
      <c r="N2" s="4">
        <f t="shared" si="0"/>
        <v>25</v>
      </c>
      <c r="O2" s="4">
        <f t="shared" si="0"/>
        <v>24</v>
      </c>
      <c r="P2" s="4">
        <f t="shared" si="0"/>
        <v>23</v>
      </c>
      <c r="Q2" s="4">
        <f t="shared" si="0"/>
        <v>22</v>
      </c>
      <c r="R2" s="4">
        <f t="shared" si="0"/>
        <v>21</v>
      </c>
      <c r="S2" s="4">
        <f t="shared" si="0"/>
        <v>20</v>
      </c>
      <c r="T2" s="4">
        <f t="shared" si="0"/>
        <v>19</v>
      </c>
      <c r="U2" s="4">
        <f t="shared" si="0"/>
        <v>18</v>
      </c>
      <c r="V2" s="4">
        <f t="shared" si="0"/>
        <v>17</v>
      </c>
      <c r="W2" s="4">
        <f t="shared" si="0"/>
        <v>16</v>
      </c>
      <c r="X2" s="4">
        <f t="shared" si="0"/>
        <v>15</v>
      </c>
      <c r="Y2" s="4">
        <f t="shared" si="0"/>
        <v>14</v>
      </c>
      <c r="Z2" s="4">
        <f t="shared" si="0"/>
        <v>13</v>
      </c>
      <c r="AA2" s="4">
        <f t="shared" si="0"/>
        <v>12</v>
      </c>
      <c r="AB2" s="4">
        <f t="shared" si="0"/>
        <v>11</v>
      </c>
      <c r="AC2" s="4">
        <f t="shared" si="0"/>
        <v>10</v>
      </c>
      <c r="AD2" s="4">
        <f t="shared" si="0"/>
        <v>9</v>
      </c>
      <c r="AE2" s="4">
        <f t="shared" si="0"/>
        <v>8</v>
      </c>
      <c r="AF2" s="4">
        <f t="shared" si="0"/>
        <v>7</v>
      </c>
      <c r="AG2" s="4">
        <f t="shared" si="0"/>
        <v>6</v>
      </c>
      <c r="AH2" s="4">
        <f t="shared" si="0"/>
        <v>5</v>
      </c>
      <c r="AI2" s="4">
        <f t="shared" si="0"/>
        <v>4</v>
      </c>
      <c r="AJ2" s="4">
        <f t="shared" si="0"/>
        <v>3</v>
      </c>
      <c r="AK2" s="4">
        <f t="shared" si="0"/>
        <v>2</v>
      </c>
      <c r="AL2" s="4">
        <f t="shared" si="0"/>
        <v>1</v>
      </c>
      <c r="AM2" s="5">
        <f t="shared" si="0"/>
        <v>0</v>
      </c>
    </row>
    <row r="3" spans="1:39" ht="16.5" customHeight="1">
      <c r="A3" s="11">
        <v>0</v>
      </c>
      <c r="B3" s="89" t="s">
        <v>38</v>
      </c>
      <c r="C3" s="103" t="s">
        <v>39</v>
      </c>
      <c r="D3" s="34" t="str">
        <f>DEC2HEX(A3*4, 3)</f>
        <v>000</v>
      </c>
      <c r="E3" s="106" t="s">
        <v>0</v>
      </c>
      <c r="F3" s="35" t="s">
        <v>5</v>
      </c>
      <c r="G3" s="27"/>
      <c r="H3" s="94" t="s">
        <v>194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6"/>
    </row>
    <row r="4" spans="1:39">
      <c r="A4" s="11">
        <v>1</v>
      </c>
      <c r="B4" s="90"/>
      <c r="C4" s="104"/>
      <c r="D4" s="11" t="str">
        <f>DEC2HEX(A4*4, 3)</f>
        <v>004</v>
      </c>
      <c r="E4" s="107"/>
      <c r="F4" s="2" t="s">
        <v>5</v>
      </c>
      <c r="H4" s="97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9"/>
    </row>
    <row r="5" spans="1:39">
      <c r="A5" s="11">
        <v>2</v>
      </c>
      <c r="B5" s="90"/>
      <c r="C5" s="104"/>
      <c r="D5" s="11" t="str">
        <f t="shared" ref="D5:D9" si="1">DEC2HEX(A5*4, 3)</f>
        <v>008</v>
      </c>
      <c r="E5" s="107"/>
      <c r="F5" s="2" t="s">
        <v>5</v>
      </c>
      <c r="H5" s="97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9"/>
    </row>
    <row r="6" spans="1:39">
      <c r="A6" s="11">
        <v>3</v>
      </c>
      <c r="B6" s="90"/>
      <c r="C6" s="104"/>
      <c r="D6" s="11" t="str">
        <f t="shared" si="1"/>
        <v>00C</v>
      </c>
      <c r="E6" s="107"/>
      <c r="F6" s="2" t="s">
        <v>5</v>
      </c>
      <c r="H6" s="100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2"/>
    </row>
    <row r="7" spans="1:39">
      <c r="A7" s="11">
        <v>4</v>
      </c>
      <c r="B7" s="90"/>
      <c r="C7" s="104"/>
      <c r="D7" s="11" t="str">
        <f t="shared" si="1"/>
        <v>010</v>
      </c>
      <c r="E7" s="12" t="s">
        <v>41</v>
      </c>
      <c r="F7" s="2" t="s">
        <v>5</v>
      </c>
      <c r="H7" s="108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92" t="s">
        <v>32</v>
      </c>
      <c r="Y7" s="92"/>
      <c r="Z7" s="92"/>
      <c r="AA7" s="92"/>
      <c r="AB7" s="92"/>
      <c r="AC7" s="92"/>
      <c r="AD7" s="92"/>
      <c r="AE7" s="92"/>
      <c r="AF7" s="92" t="s">
        <v>33</v>
      </c>
      <c r="AG7" s="92"/>
      <c r="AH7" s="92"/>
      <c r="AI7" s="92"/>
      <c r="AJ7" s="92"/>
      <c r="AK7" s="92"/>
      <c r="AL7" s="92"/>
      <c r="AM7" s="93"/>
    </row>
    <row r="8" spans="1:39">
      <c r="A8" s="11">
        <v>5</v>
      </c>
      <c r="B8" s="90"/>
      <c r="C8" s="104"/>
      <c r="D8" s="11" t="str">
        <f t="shared" si="1"/>
        <v>014</v>
      </c>
      <c r="E8" s="12" t="s">
        <v>42</v>
      </c>
      <c r="F8" s="2" t="s">
        <v>5</v>
      </c>
      <c r="H8" s="110"/>
      <c r="I8" s="111"/>
      <c r="J8" s="111"/>
      <c r="K8" s="111"/>
      <c r="L8" s="111"/>
      <c r="M8" s="111"/>
      <c r="N8" s="111"/>
      <c r="O8" s="112"/>
      <c r="P8" s="113" t="s">
        <v>34</v>
      </c>
      <c r="Q8" s="113"/>
      <c r="R8" s="113"/>
      <c r="S8" s="113"/>
      <c r="T8" s="113"/>
      <c r="U8" s="113"/>
      <c r="V8" s="113"/>
      <c r="W8" s="113"/>
      <c r="X8" s="113" t="s">
        <v>36</v>
      </c>
      <c r="Y8" s="113"/>
      <c r="Z8" s="113"/>
      <c r="AA8" s="113"/>
      <c r="AB8" s="113"/>
      <c r="AC8" s="113"/>
      <c r="AD8" s="113"/>
      <c r="AE8" s="113"/>
      <c r="AF8" s="114" t="s">
        <v>35</v>
      </c>
      <c r="AG8" s="115"/>
      <c r="AH8" s="115"/>
      <c r="AI8" s="115"/>
      <c r="AJ8" s="115"/>
      <c r="AK8" s="115"/>
      <c r="AL8" s="115"/>
      <c r="AM8" s="116"/>
    </row>
    <row r="9" spans="1:39" ht="16.5">
      <c r="A9" s="11">
        <v>6</v>
      </c>
      <c r="B9" s="90"/>
      <c r="C9" s="104"/>
      <c r="D9" s="11" t="str">
        <f t="shared" si="1"/>
        <v>018</v>
      </c>
      <c r="E9" s="39" t="s">
        <v>40</v>
      </c>
      <c r="F9" s="41" t="s">
        <v>4</v>
      </c>
      <c r="H9" s="117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9"/>
    </row>
    <row r="10" spans="1:39" ht="17.25" thickBot="1">
      <c r="A10" s="11">
        <v>7</v>
      </c>
      <c r="B10" s="91"/>
      <c r="C10" s="105"/>
      <c r="D10" s="33" t="str">
        <f>DEC2HEX(A10*4, 3)</f>
        <v>01C</v>
      </c>
      <c r="E10" s="40" t="s">
        <v>40</v>
      </c>
      <c r="F10" s="42" t="s">
        <v>4</v>
      </c>
      <c r="G10" s="38"/>
      <c r="H10" s="86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8"/>
    </row>
  </sheetData>
  <mergeCells count="13">
    <mergeCell ref="H10:AM10"/>
    <mergeCell ref="B3:B10"/>
    <mergeCell ref="X7:AE7"/>
    <mergeCell ref="AF7:AM7"/>
    <mergeCell ref="H3:AM6"/>
    <mergeCell ref="C3:C10"/>
    <mergeCell ref="E3:E6"/>
    <mergeCell ref="H7:W7"/>
    <mergeCell ref="H8:O8"/>
    <mergeCell ref="P8:W8"/>
    <mergeCell ref="X8:AE8"/>
    <mergeCell ref="AF8:AM8"/>
    <mergeCell ref="H9:AM9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8CAE-65CB-40C9-BB97-69F66C66DF3C}">
  <dimension ref="A1:AM50"/>
  <sheetViews>
    <sheetView workbookViewId="0">
      <selection activeCell="AJ32" sqref="AJ32"/>
    </sheetView>
  </sheetViews>
  <sheetFormatPr defaultRowHeight="14.25"/>
  <cols>
    <col min="1" max="1" width="3.75" customWidth="1"/>
    <col min="2" max="2" width="20" style="11" customWidth="1"/>
    <col min="3" max="4" width="11.25" customWidth="1"/>
    <col min="5" max="5" width="22.5" customWidth="1"/>
    <col min="6" max="6" width="6.25" style="11" customWidth="1"/>
    <col min="7" max="7" width="2.5" customWidth="1"/>
    <col min="8" max="38" width="5.375" customWidth="1"/>
    <col min="39" max="39" width="5.375" style="11" customWidth="1"/>
    <col min="40" max="45" width="6.25" customWidth="1"/>
  </cols>
  <sheetData>
    <row r="1" spans="1:39" ht="15" thickBot="1">
      <c r="H1" s="139">
        <v>3</v>
      </c>
      <c r="I1" s="139"/>
      <c r="J1" s="139"/>
      <c r="K1" s="139"/>
      <c r="L1" s="139"/>
      <c r="M1" s="139"/>
      <c r="N1" s="139"/>
      <c r="O1" s="139"/>
      <c r="P1" s="139">
        <v>2</v>
      </c>
      <c r="Q1" s="139"/>
      <c r="R1" s="139"/>
      <c r="S1" s="139"/>
      <c r="T1" s="139"/>
      <c r="U1" s="139"/>
      <c r="V1" s="139"/>
      <c r="W1" s="139"/>
      <c r="X1" s="139">
        <v>1</v>
      </c>
      <c r="Y1" s="139"/>
      <c r="Z1" s="139"/>
      <c r="AA1" s="139"/>
      <c r="AB1" s="139"/>
      <c r="AC1" s="139"/>
      <c r="AD1" s="139"/>
      <c r="AE1" s="139"/>
      <c r="AF1" s="139">
        <v>0</v>
      </c>
      <c r="AG1" s="139"/>
      <c r="AH1" s="139"/>
      <c r="AI1" s="139"/>
      <c r="AJ1" s="139"/>
      <c r="AK1" s="139"/>
      <c r="AL1" s="139"/>
      <c r="AM1" s="139"/>
    </row>
    <row r="2" spans="1:39" ht="15" thickBot="1">
      <c r="B2" s="7" t="s">
        <v>3</v>
      </c>
      <c r="C2" s="7" t="s">
        <v>2</v>
      </c>
      <c r="D2" s="8" t="s">
        <v>1</v>
      </c>
      <c r="E2" s="8" t="s">
        <v>0</v>
      </c>
      <c r="F2" s="6" t="s">
        <v>4</v>
      </c>
      <c r="G2" s="9"/>
      <c r="H2" s="3">
        <v>31</v>
      </c>
      <c r="I2" s="4">
        <f>H2-1</f>
        <v>30</v>
      </c>
      <c r="J2" s="4">
        <f>I2-1</f>
        <v>29</v>
      </c>
      <c r="K2" s="4">
        <f t="shared" ref="K2:AM2" si="0">J2-1</f>
        <v>28</v>
      </c>
      <c r="L2" s="4">
        <f t="shared" si="0"/>
        <v>27</v>
      </c>
      <c r="M2" s="4">
        <f t="shared" si="0"/>
        <v>26</v>
      </c>
      <c r="N2" s="4">
        <f t="shared" si="0"/>
        <v>25</v>
      </c>
      <c r="O2" s="4">
        <f t="shared" si="0"/>
        <v>24</v>
      </c>
      <c r="P2" s="4">
        <f t="shared" si="0"/>
        <v>23</v>
      </c>
      <c r="Q2" s="4">
        <f t="shared" si="0"/>
        <v>22</v>
      </c>
      <c r="R2" s="4">
        <f t="shared" si="0"/>
        <v>21</v>
      </c>
      <c r="S2" s="4">
        <f t="shared" si="0"/>
        <v>20</v>
      </c>
      <c r="T2" s="4">
        <f t="shared" si="0"/>
        <v>19</v>
      </c>
      <c r="U2" s="4">
        <f t="shared" si="0"/>
        <v>18</v>
      </c>
      <c r="V2" s="4">
        <f t="shared" si="0"/>
        <v>17</v>
      </c>
      <c r="W2" s="4">
        <f t="shared" si="0"/>
        <v>16</v>
      </c>
      <c r="X2" s="4">
        <f t="shared" si="0"/>
        <v>15</v>
      </c>
      <c r="Y2" s="4">
        <f t="shared" si="0"/>
        <v>14</v>
      </c>
      <c r="Z2" s="4">
        <f t="shared" si="0"/>
        <v>13</v>
      </c>
      <c r="AA2" s="4">
        <f t="shared" si="0"/>
        <v>12</v>
      </c>
      <c r="AB2" s="4">
        <f t="shared" si="0"/>
        <v>11</v>
      </c>
      <c r="AC2" s="4">
        <f t="shared" si="0"/>
        <v>10</v>
      </c>
      <c r="AD2" s="4">
        <f t="shared" si="0"/>
        <v>9</v>
      </c>
      <c r="AE2" s="4">
        <f t="shared" si="0"/>
        <v>8</v>
      </c>
      <c r="AF2" s="4">
        <f t="shared" si="0"/>
        <v>7</v>
      </c>
      <c r="AG2" s="4">
        <f t="shared" si="0"/>
        <v>6</v>
      </c>
      <c r="AH2" s="4">
        <f t="shared" si="0"/>
        <v>5</v>
      </c>
      <c r="AI2" s="4">
        <f t="shared" si="0"/>
        <v>4</v>
      </c>
      <c r="AJ2" s="4">
        <f t="shared" si="0"/>
        <v>3</v>
      </c>
      <c r="AK2" s="4">
        <f t="shared" si="0"/>
        <v>2</v>
      </c>
      <c r="AL2" s="4">
        <f t="shared" si="0"/>
        <v>1</v>
      </c>
      <c r="AM2" s="5">
        <f t="shared" si="0"/>
        <v>0</v>
      </c>
    </row>
    <row r="3" spans="1:39" ht="16.5" customHeight="1">
      <c r="A3" s="11">
        <v>0</v>
      </c>
      <c r="B3" s="106" t="s">
        <v>123</v>
      </c>
      <c r="C3" s="121" t="s">
        <v>43</v>
      </c>
      <c r="D3" s="61" t="str">
        <f>DEC2HEX(A3*4, 3)</f>
        <v>000</v>
      </c>
      <c r="E3" s="106" t="s">
        <v>0</v>
      </c>
      <c r="F3" s="35" t="s">
        <v>5</v>
      </c>
      <c r="G3" s="27"/>
      <c r="H3" s="124" t="s">
        <v>124</v>
      </c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6"/>
    </row>
    <row r="4" spans="1:39">
      <c r="A4" s="11">
        <v>1</v>
      </c>
      <c r="B4" s="107"/>
      <c r="C4" s="122"/>
      <c r="D4" s="12" t="str">
        <f>DEC2HEX(A4*4, 3)</f>
        <v>004</v>
      </c>
      <c r="E4" s="107"/>
      <c r="F4" s="2" t="s">
        <v>5</v>
      </c>
      <c r="H4" s="127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9"/>
    </row>
    <row r="5" spans="1:39">
      <c r="A5" s="11">
        <v>2</v>
      </c>
      <c r="B5" s="107"/>
      <c r="C5" s="122"/>
      <c r="D5" s="12" t="str">
        <f t="shared" ref="D5:D14" si="1">DEC2HEX(A5*4, 3)</f>
        <v>008</v>
      </c>
      <c r="E5" s="107"/>
      <c r="F5" s="2" t="s">
        <v>5</v>
      </c>
      <c r="H5" s="127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9"/>
    </row>
    <row r="6" spans="1:39">
      <c r="A6" s="11">
        <v>3</v>
      </c>
      <c r="B6" s="107"/>
      <c r="C6" s="122"/>
      <c r="D6" s="12" t="str">
        <f t="shared" si="1"/>
        <v>00C</v>
      </c>
      <c r="E6" s="107"/>
      <c r="F6" s="2" t="s">
        <v>5</v>
      </c>
      <c r="H6" s="127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9"/>
    </row>
    <row r="7" spans="1:39">
      <c r="A7" s="11">
        <v>4</v>
      </c>
      <c r="B7" s="107"/>
      <c r="C7" s="122"/>
      <c r="D7" s="12" t="str">
        <f t="shared" si="1"/>
        <v>010</v>
      </c>
      <c r="E7" s="12" t="s">
        <v>41</v>
      </c>
      <c r="F7" s="2" t="s">
        <v>5</v>
      </c>
      <c r="H7" s="108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92" t="s">
        <v>32</v>
      </c>
      <c r="Y7" s="92"/>
      <c r="Z7" s="92"/>
      <c r="AA7" s="92"/>
      <c r="AB7" s="92"/>
      <c r="AC7" s="92"/>
      <c r="AD7" s="92"/>
      <c r="AE7" s="92"/>
      <c r="AF7" s="92" t="s">
        <v>33</v>
      </c>
      <c r="AG7" s="92"/>
      <c r="AH7" s="92"/>
      <c r="AI7" s="92"/>
      <c r="AJ7" s="92"/>
      <c r="AK7" s="92"/>
      <c r="AL7" s="92"/>
      <c r="AM7" s="93"/>
    </row>
    <row r="8" spans="1:39">
      <c r="A8" s="11">
        <v>5</v>
      </c>
      <c r="B8" s="107"/>
      <c r="C8" s="122"/>
      <c r="D8" s="12" t="str">
        <f t="shared" si="1"/>
        <v>014</v>
      </c>
      <c r="E8" s="12" t="s">
        <v>42</v>
      </c>
      <c r="F8" s="2" t="s">
        <v>5</v>
      </c>
      <c r="H8" s="108"/>
      <c r="I8" s="109"/>
      <c r="J8" s="109"/>
      <c r="K8" s="109"/>
      <c r="L8" s="109"/>
      <c r="M8" s="109"/>
      <c r="N8" s="109"/>
      <c r="O8" s="109"/>
      <c r="P8" s="92" t="s">
        <v>34</v>
      </c>
      <c r="Q8" s="92"/>
      <c r="R8" s="92"/>
      <c r="S8" s="92"/>
      <c r="T8" s="92"/>
      <c r="U8" s="92"/>
      <c r="V8" s="92"/>
      <c r="W8" s="92"/>
      <c r="X8" s="92" t="s">
        <v>36</v>
      </c>
      <c r="Y8" s="92"/>
      <c r="Z8" s="92"/>
      <c r="AA8" s="92"/>
      <c r="AB8" s="92"/>
      <c r="AC8" s="92"/>
      <c r="AD8" s="92"/>
      <c r="AE8" s="92"/>
      <c r="AF8" s="92" t="s">
        <v>35</v>
      </c>
      <c r="AG8" s="92"/>
      <c r="AH8" s="92"/>
      <c r="AI8" s="92"/>
      <c r="AJ8" s="92"/>
      <c r="AK8" s="92"/>
      <c r="AL8" s="92"/>
      <c r="AM8" s="93"/>
    </row>
    <row r="9" spans="1:39" ht="16.5">
      <c r="A9" s="11">
        <v>6</v>
      </c>
      <c r="B9" s="107"/>
      <c r="C9" s="122"/>
      <c r="D9" s="12" t="str">
        <f t="shared" si="1"/>
        <v>018</v>
      </c>
      <c r="E9" s="39" t="s">
        <v>40</v>
      </c>
      <c r="F9" s="2" t="s">
        <v>4</v>
      </c>
      <c r="H9" s="108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30"/>
    </row>
    <row r="10" spans="1:39" ht="16.5">
      <c r="A10" s="11">
        <v>7</v>
      </c>
      <c r="B10" s="107"/>
      <c r="C10" s="122"/>
      <c r="D10" s="12" t="str">
        <f t="shared" si="1"/>
        <v>01C</v>
      </c>
      <c r="E10" s="39" t="s">
        <v>40</v>
      </c>
      <c r="F10" s="41" t="s">
        <v>4</v>
      </c>
      <c r="H10" s="108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30"/>
    </row>
    <row r="11" spans="1:39" ht="16.5">
      <c r="A11" s="11">
        <v>8</v>
      </c>
      <c r="B11" s="107"/>
      <c r="C11" s="122"/>
      <c r="D11" s="12" t="str">
        <f t="shared" si="1"/>
        <v>020</v>
      </c>
      <c r="E11" s="39" t="s">
        <v>125</v>
      </c>
      <c r="F11" s="41" t="s">
        <v>4</v>
      </c>
      <c r="H11" s="131" t="s">
        <v>126</v>
      </c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3"/>
    </row>
    <row r="12" spans="1:39" ht="16.5">
      <c r="A12" s="11">
        <v>9</v>
      </c>
      <c r="B12" s="107"/>
      <c r="C12" s="122"/>
      <c r="D12" s="12" t="str">
        <f t="shared" si="1"/>
        <v>024</v>
      </c>
      <c r="E12" s="12" t="s">
        <v>127</v>
      </c>
      <c r="F12" s="2" t="s">
        <v>4</v>
      </c>
      <c r="H12" s="62" t="s">
        <v>128</v>
      </c>
      <c r="I12" s="134"/>
      <c r="J12" s="135"/>
      <c r="K12" s="77" t="s">
        <v>129</v>
      </c>
      <c r="L12" s="136" t="s">
        <v>130</v>
      </c>
      <c r="M12" s="137"/>
      <c r="N12" s="43" t="s">
        <v>131</v>
      </c>
      <c r="O12" s="44" t="s">
        <v>132</v>
      </c>
      <c r="P12" s="134"/>
      <c r="Q12" s="138"/>
      <c r="R12" s="138"/>
      <c r="S12" s="135"/>
      <c r="T12" s="79" t="s">
        <v>133</v>
      </c>
      <c r="U12" s="80" t="s">
        <v>134</v>
      </c>
      <c r="V12" s="43" t="s">
        <v>135</v>
      </c>
      <c r="W12" s="44" t="s">
        <v>136</v>
      </c>
      <c r="X12" s="140" t="s">
        <v>137</v>
      </c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3"/>
    </row>
    <row r="13" spans="1:39">
      <c r="A13" s="11">
        <v>10</v>
      </c>
      <c r="B13" s="107"/>
      <c r="C13" s="122"/>
      <c r="D13" s="12" t="str">
        <f t="shared" si="1"/>
        <v>028</v>
      </c>
      <c r="E13" s="12" t="s">
        <v>138</v>
      </c>
      <c r="F13" s="2" t="s">
        <v>60</v>
      </c>
      <c r="H13" s="141" t="s">
        <v>138</v>
      </c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3"/>
    </row>
    <row r="14" spans="1:39" ht="16.5">
      <c r="A14" s="11">
        <v>11</v>
      </c>
      <c r="B14" s="107"/>
      <c r="C14" s="122"/>
      <c r="D14" s="12" t="str">
        <f t="shared" si="1"/>
        <v>02C</v>
      </c>
      <c r="E14" s="39" t="s">
        <v>139</v>
      </c>
      <c r="F14" s="41" t="s">
        <v>4</v>
      </c>
      <c r="H14" s="108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92" t="s">
        <v>140</v>
      </c>
      <c r="AG14" s="92"/>
      <c r="AH14" s="92"/>
      <c r="AI14" s="92"/>
      <c r="AJ14" s="92"/>
      <c r="AK14" s="92"/>
      <c r="AL14" s="92"/>
      <c r="AM14" s="93"/>
    </row>
    <row r="15" spans="1:39" ht="17.25" thickBot="1">
      <c r="A15" s="11">
        <v>12</v>
      </c>
      <c r="B15" s="120"/>
      <c r="C15" s="123"/>
      <c r="D15" s="60" t="str">
        <f>DEC2HEX(A15*4, 3)</f>
        <v>030</v>
      </c>
      <c r="E15" s="60" t="s">
        <v>141</v>
      </c>
      <c r="F15" s="42" t="s">
        <v>5</v>
      </c>
      <c r="G15" s="38"/>
      <c r="H15" s="144" t="s">
        <v>142</v>
      </c>
      <c r="I15" s="145"/>
      <c r="J15" s="145"/>
      <c r="K15" s="145"/>
      <c r="L15" s="145"/>
      <c r="M15" s="145"/>
      <c r="N15" s="145"/>
      <c r="O15" s="145"/>
      <c r="P15" s="146" t="s">
        <v>143</v>
      </c>
      <c r="Q15" s="145"/>
      <c r="R15" s="145"/>
      <c r="S15" s="145"/>
      <c r="T15" s="145"/>
      <c r="U15" s="145"/>
      <c r="V15" s="145"/>
      <c r="W15" s="145"/>
      <c r="X15" s="147" t="s">
        <v>144</v>
      </c>
      <c r="Y15" s="148"/>
      <c r="Z15" s="148"/>
      <c r="AA15" s="148"/>
      <c r="AB15" s="148"/>
      <c r="AC15" s="148"/>
      <c r="AD15" s="148"/>
      <c r="AE15" s="148"/>
      <c r="AF15" s="58" t="s">
        <v>145</v>
      </c>
      <c r="AG15" s="58" t="s">
        <v>146</v>
      </c>
      <c r="AH15" s="58" t="s">
        <v>147</v>
      </c>
      <c r="AI15" s="58" t="s">
        <v>148</v>
      </c>
      <c r="AJ15" s="58" t="s">
        <v>149</v>
      </c>
      <c r="AK15" s="58"/>
      <c r="AL15" s="58"/>
      <c r="AM15" s="59" t="s">
        <v>112</v>
      </c>
    </row>
    <row r="16" spans="1:39" ht="15" thickBot="1"/>
    <row r="17" spans="1:34" ht="17.25" thickBot="1">
      <c r="I17" s="149" t="s">
        <v>150</v>
      </c>
      <c r="J17" s="150"/>
      <c r="K17" s="150"/>
      <c r="L17" s="150"/>
      <c r="M17" s="150"/>
      <c r="N17" s="150"/>
      <c r="O17" s="150"/>
      <c r="P17" s="151"/>
    </row>
    <row r="18" spans="1:34" ht="17.25" thickBot="1">
      <c r="I18" s="152" t="s">
        <v>151</v>
      </c>
      <c r="J18" s="153"/>
      <c r="K18" s="154" t="s">
        <v>152</v>
      </c>
      <c r="L18" s="154"/>
      <c r="M18" s="154"/>
      <c r="N18" s="154"/>
      <c r="O18" s="154"/>
      <c r="P18" s="155"/>
    </row>
    <row r="19" spans="1:34" ht="15" thickBot="1"/>
    <row r="20" spans="1:34" ht="17.25" thickBot="1">
      <c r="I20" s="156" t="s">
        <v>153</v>
      </c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8"/>
    </row>
    <row r="21" spans="1:34" ht="17.25" thickBot="1">
      <c r="I21" s="159" t="s">
        <v>154</v>
      </c>
      <c r="J21" s="160"/>
      <c r="K21" s="161" t="s">
        <v>155</v>
      </c>
      <c r="L21" s="162"/>
      <c r="M21" s="162"/>
      <c r="N21" s="162"/>
      <c r="O21" s="162"/>
      <c r="P21" s="163"/>
      <c r="R21" s="152" t="s">
        <v>156</v>
      </c>
      <c r="S21" s="164"/>
      <c r="T21" s="164"/>
      <c r="U21" s="165" t="s">
        <v>157</v>
      </c>
      <c r="V21" s="165"/>
      <c r="W21" s="165"/>
      <c r="X21" s="165"/>
      <c r="Y21" s="166"/>
      <c r="AA21" s="167" t="s">
        <v>158</v>
      </c>
      <c r="AB21" s="168"/>
      <c r="AC21" s="171" t="s">
        <v>159</v>
      </c>
      <c r="AD21" s="172"/>
      <c r="AE21" s="172"/>
      <c r="AF21" s="172"/>
      <c r="AG21" s="172"/>
      <c r="AH21" s="173"/>
    </row>
    <row r="22" spans="1:34" ht="17.25" thickBot="1">
      <c r="I22" s="176" t="s">
        <v>160</v>
      </c>
      <c r="J22" s="177"/>
      <c r="K22" s="178" t="s">
        <v>161</v>
      </c>
      <c r="L22" s="179"/>
      <c r="M22" s="179"/>
      <c r="N22" s="179"/>
      <c r="O22" s="179"/>
      <c r="P22" s="180"/>
      <c r="AA22" s="169"/>
      <c r="AB22" s="170"/>
      <c r="AC22" s="174"/>
      <c r="AD22" s="174"/>
      <c r="AE22" s="174"/>
      <c r="AF22" s="174"/>
      <c r="AG22" s="174"/>
      <c r="AH22" s="175"/>
    </row>
    <row r="23" spans="1:34" ht="17.25" thickBot="1">
      <c r="I23" s="181" t="s">
        <v>162</v>
      </c>
      <c r="J23" s="177"/>
      <c r="K23" s="178" t="s">
        <v>163</v>
      </c>
      <c r="L23" s="179"/>
      <c r="M23" s="179"/>
      <c r="N23" s="179"/>
      <c r="O23" s="179"/>
      <c r="P23" s="180"/>
      <c r="R23" s="63" t="s">
        <v>129</v>
      </c>
      <c r="S23" s="182" t="s">
        <v>130</v>
      </c>
      <c r="T23" s="183"/>
      <c r="U23" s="64" t="s">
        <v>131</v>
      </c>
      <c r="V23" s="65" t="s">
        <v>132</v>
      </c>
    </row>
    <row r="24" spans="1:34" ht="17.25" thickBot="1">
      <c r="I24" s="190" t="s">
        <v>164</v>
      </c>
      <c r="J24" s="191"/>
      <c r="K24" s="192" t="s">
        <v>165</v>
      </c>
      <c r="L24" s="193"/>
      <c r="M24" s="193"/>
      <c r="N24" s="193"/>
      <c r="O24" s="193"/>
      <c r="P24" s="194"/>
      <c r="R24" s="66">
        <v>0</v>
      </c>
      <c r="S24" s="67" t="s">
        <v>166</v>
      </c>
      <c r="T24" s="67" t="s">
        <v>167</v>
      </c>
      <c r="U24" s="68">
        <v>1</v>
      </c>
      <c r="V24" s="68">
        <v>0</v>
      </c>
      <c r="W24" s="184" t="s">
        <v>168</v>
      </c>
      <c r="X24" s="185"/>
      <c r="Y24" s="185"/>
      <c r="Z24" s="185"/>
      <c r="AA24" s="185"/>
      <c r="AB24" s="185"/>
      <c r="AC24" s="185"/>
      <c r="AD24" s="185"/>
      <c r="AE24" s="185"/>
      <c r="AF24" s="185"/>
      <c r="AG24" s="186"/>
    </row>
    <row r="25" spans="1:34" ht="17.25" thickBot="1">
      <c r="A25" s="46"/>
      <c r="K25" s="69"/>
      <c r="L25" s="57"/>
      <c r="M25" s="57"/>
      <c r="N25" s="57"/>
      <c r="O25" s="57"/>
      <c r="P25" s="57"/>
      <c r="R25" s="62">
        <v>0</v>
      </c>
      <c r="S25" s="47" t="s">
        <v>166</v>
      </c>
      <c r="T25" s="47" t="s">
        <v>167</v>
      </c>
      <c r="U25" s="43">
        <v>0</v>
      </c>
      <c r="V25" s="43">
        <v>1</v>
      </c>
      <c r="W25" s="187" t="s">
        <v>169</v>
      </c>
      <c r="X25" s="188"/>
      <c r="Y25" s="188"/>
      <c r="Z25" s="188"/>
      <c r="AA25" s="188"/>
      <c r="AB25" s="188"/>
      <c r="AC25" s="188"/>
      <c r="AD25" s="188"/>
      <c r="AE25" s="188"/>
      <c r="AF25" s="188"/>
      <c r="AG25" s="189"/>
    </row>
    <row r="26" spans="1:34" ht="16.5">
      <c r="I26" s="195" t="s">
        <v>170</v>
      </c>
      <c r="J26" s="196"/>
      <c r="K26" s="196"/>
      <c r="L26" s="196"/>
      <c r="M26" s="196"/>
      <c r="N26" s="196"/>
      <c r="O26" s="196"/>
      <c r="P26" s="197"/>
      <c r="R26" s="73">
        <v>1</v>
      </c>
      <c r="S26" s="74">
        <v>0</v>
      </c>
      <c r="T26" s="74">
        <v>0</v>
      </c>
      <c r="U26" s="74">
        <v>1</v>
      </c>
      <c r="V26" s="74">
        <v>0</v>
      </c>
      <c r="W26" s="198" t="s">
        <v>207</v>
      </c>
      <c r="X26" s="198"/>
      <c r="Y26" s="198"/>
      <c r="Z26" s="198"/>
      <c r="AA26" s="198"/>
      <c r="AB26" s="198"/>
      <c r="AC26" s="198"/>
      <c r="AD26" s="198"/>
      <c r="AE26" s="198"/>
      <c r="AF26" s="198"/>
      <c r="AG26" s="199"/>
    </row>
    <row r="27" spans="1:34" ht="16.5">
      <c r="I27" s="200">
        <v>0</v>
      </c>
      <c r="J27" s="200"/>
      <c r="K27" s="201" t="s">
        <v>171</v>
      </c>
      <c r="L27" s="202"/>
      <c r="M27" s="202"/>
      <c r="N27" s="202"/>
      <c r="O27" s="202"/>
      <c r="P27" s="202"/>
      <c r="R27" s="73">
        <v>1</v>
      </c>
      <c r="S27" s="74">
        <v>0</v>
      </c>
      <c r="T27" s="74">
        <v>1</v>
      </c>
      <c r="U27" s="74">
        <v>0</v>
      </c>
      <c r="V27" s="74">
        <v>1</v>
      </c>
      <c r="W27" s="198" t="s">
        <v>208</v>
      </c>
      <c r="X27" s="198"/>
      <c r="Y27" s="198"/>
      <c r="Z27" s="198"/>
      <c r="AA27" s="198"/>
      <c r="AB27" s="198"/>
      <c r="AC27" s="198"/>
      <c r="AD27" s="198"/>
      <c r="AE27" s="198"/>
      <c r="AF27" s="198"/>
      <c r="AG27" s="199"/>
    </row>
    <row r="28" spans="1:34" ht="16.5">
      <c r="I28" s="200">
        <v>1</v>
      </c>
      <c r="J28" s="200"/>
      <c r="K28" s="203" t="s">
        <v>172</v>
      </c>
      <c r="L28" s="204"/>
      <c r="M28" s="204"/>
      <c r="N28" s="204"/>
      <c r="O28" s="204"/>
      <c r="P28" s="204"/>
      <c r="R28" s="73">
        <v>1</v>
      </c>
      <c r="S28" s="74">
        <v>1</v>
      </c>
      <c r="T28" s="74">
        <v>0</v>
      </c>
      <c r="U28" s="74">
        <v>1</v>
      </c>
      <c r="V28" s="74">
        <v>0</v>
      </c>
      <c r="W28" s="198" t="s">
        <v>209</v>
      </c>
      <c r="X28" s="198"/>
      <c r="Y28" s="198"/>
      <c r="Z28" s="198"/>
      <c r="AA28" s="198"/>
      <c r="AB28" s="198"/>
      <c r="AC28" s="198"/>
      <c r="AD28" s="198"/>
      <c r="AE28" s="198"/>
      <c r="AF28" s="198"/>
      <c r="AG28" s="199"/>
    </row>
    <row r="29" spans="1:34" ht="17.25" thickBot="1">
      <c r="I29" s="200">
        <v>2</v>
      </c>
      <c r="J29" s="200"/>
      <c r="K29" s="205" t="s">
        <v>173</v>
      </c>
      <c r="L29" s="206"/>
      <c r="M29" s="206"/>
      <c r="N29" s="206"/>
      <c r="O29" s="206"/>
      <c r="P29" s="206"/>
      <c r="R29" s="75">
        <v>1</v>
      </c>
      <c r="S29" s="76">
        <v>1</v>
      </c>
      <c r="T29" s="76">
        <v>1</v>
      </c>
      <c r="U29" s="76">
        <v>0</v>
      </c>
      <c r="V29" s="76">
        <v>1</v>
      </c>
      <c r="W29" s="207" t="s">
        <v>210</v>
      </c>
      <c r="X29" s="207"/>
      <c r="Y29" s="207"/>
      <c r="Z29" s="207"/>
      <c r="AA29" s="207"/>
      <c r="AB29" s="207"/>
      <c r="AC29" s="207"/>
      <c r="AD29" s="207"/>
      <c r="AE29" s="207"/>
      <c r="AF29" s="207"/>
      <c r="AG29" s="208"/>
    </row>
    <row r="30" spans="1:34" ht="16.5">
      <c r="I30" s="200">
        <v>3</v>
      </c>
      <c r="J30" s="200"/>
      <c r="K30" s="205" t="s">
        <v>174</v>
      </c>
      <c r="L30" s="206"/>
      <c r="M30" s="206"/>
      <c r="N30" s="206"/>
      <c r="O30" s="206"/>
      <c r="P30" s="206"/>
    </row>
    <row r="31" spans="1:34" ht="15" thickBot="1"/>
    <row r="32" spans="1:34" ht="17.25" thickBot="1">
      <c r="A32" s="46"/>
      <c r="I32" s="195" t="s">
        <v>175</v>
      </c>
      <c r="J32" s="196"/>
      <c r="K32" s="196"/>
      <c r="L32" s="196"/>
      <c r="M32" s="196"/>
      <c r="N32" s="196"/>
      <c r="O32" s="196"/>
      <c r="P32" s="197"/>
    </row>
    <row r="33" spans="1:39" ht="16.5">
      <c r="A33" s="46"/>
      <c r="I33" s="159" t="s">
        <v>176</v>
      </c>
      <c r="J33" s="160"/>
      <c r="K33" s="209" t="s">
        <v>177</v>
      </c>
      <c r="L33" s="210"/>
      <c r="M33" s="210"/>
      <c r="N33" s="210"/>
      <c r="O33" s="210"/>
      <c r="P33" s="211"/>
    </row>
    <row r="34" spans="1:39" ht="17.25" thickBot="1">
      <c r="I34" s="190"/>
      <c r="J34" s="191"/>
      <c r="K34" s="212" t="s">
        <v>178</v>
      </c>
      <c r="L34" s="213"/>
      <c r="M34" s="213"/>
      <c r="N34" s="213"/>
      <c r="O34" s="213"/>
      <c r="P34" s="214"/>
    </row>
    <row r="35" spans="1:39" ht="15" thickBot="1"/>
    <row r="36" spans="1:39" ht="17.25" thickBot="1">
      <c r="I36" s="149" t="s">
        <v>179</v>
      </c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1"/>
    </row>
    <row r="37" spans="1:39" ht="16.5">
      <c r="I37" s="159" t="s">
        <v>180</v>
      </c>
      <c r="J37" s="160"/>
      <c r="K37" s="161" t="s">
        <v>181</v>
      </c>
      <c r="L37" s="162"/>
      <c r="M37" s="162"/>
      <c r="N37" s="162"/>
      <c r="O37" s="162"/>
      <c r="P37" s="163"/>
      <c r="R37" s="159" t="s">
        <v>182</v>
      </c>
      <c r="S37" s="160"/>
      <c r="T37" s="161" t="s">
        <v>183</v>
      </c>
      <c r="U37" s="162"/>
      <c r="V37" s="162"/>
      <c r="W37" s="162"/>
      <c r="X37" s="162"/>
      <c r="Y37" s="163"/>
    </row>
    <row r="38" spans="1:39" ht="17.25" thickBot="1">
      <c r="I38" s="181" t="s">
        <v>184</v>
      </c>
      <c r="J38" s="177"/>
      <c r="K38" s="178" t="s">
        <v>185</v>
      </c>
      <c r="L38" s="179"/>
      <c r="M38" s="179"/>
      <c r="N38" s="179"/>
      <c r="O38" s="179"/>
      <c r="P38" s="180"/>
      <c r="R38" s="190" t="s">
        <v>186</v>
      </c>
      <c r="S38" s="191"/>
      <c r="T38" s="193" t="s">
        <v>187</v>
      </c>
      <c r="U38" s="193"/>
      <c r="V38" s="193"/>
      <c r="W38" s="193"/>
      <c r="X38" s="193"/>
      <c r="Y38" s="194"/>
      <c r="AM38"/>
    </row>
    <row r="39" spans="1:39">
      <c r="I39" s="181" t="s">
        <v>188</v>
      </c>
      <c r="J39" s="177"/>
      <c r="K39" s="215" t="s">
        <v>189</v>
      </c>
      <c r="L39" s="216"/>
      <c r="M39" s="216"/>
      <c r="N39" s="216"/>
      <c r="O39" s="216"/>
      <c r="P39" s="217"/>
      <c r="AM39"/>
    </row>
    <row r="40" spans="1:39" ht="15" thickBot="1">
      <c r="I40" s="190" t="s">
        <v>190</v>
      </c>
      <c r="J40" s="191"/>
      <c r="K40" s="218" t="s">
        <v>191</v>
      </c>
      <c r="L40" s="174"/>
      <c r="M40" s="174"/>
      <c r="N40" s="174"/>
      <c r="O40" s="174"/>
      <c r="P40" s="175"/>
      <c r="AM40"/>
    </row>
    <row r="41" spans="1:39">
      <c r="AM41"/>
    </row>
    <row r="42" spans="1:39">
      <c r="AM42"/>
    </row>
    <row r="43" spans="1:39">
      <c r="AM43"/>
    </row>
    <row r="44" spans="1:39">
      <c r="AM44"/>
    </row>
    <row r="45" spans="1:39">
      <c r="AM45"/>
    </row>
    <row r="46" spans="1:39">
      <c r="AM46"/>
    </row>
    <row r="47" spans="1:39">
      <c r="AM47"/>
    </row>
    <row r="48" spans="1:39">
      <c r="AM48"/>
    </row>
    <row r="49" spans="39:39">
      <c r="AM49"/>
    </row>
    <row r="50" spans="39:39">
      <c r="AM50"/>
    </row>
  </sheetData>
  <mergeCells count="77">
    <mergeCell ref="I39:J39"/>
    <mergeCell ref="K39:P39"/>
    <mergeCell ref="I40:J40"/>
    <mergeCell ref="K40:P40"/>
    <mergeCell ref="I36:Y36"/>
    <mergeCell ref="I37:J37"/>
    <mergeCell ref="K37:P37"/>
    <mergeCell ref="R37:S37"/>
    <mergeCell ref="T37:Y37"/>
    <mergeCell ref="I38:J38"/>
    <mergeCell ref="K38:P38"/>
    <mergeCell ref="R38:S38"/>
    <mergeCell ref="T38:Y38"/>
    <mergeCell ref="I30:J30"/>
    <mergeCell ref="K30:P30"/>
    <mergeCell ref="I32:P32"/>
    <mergeCell ref="I33:J34"/>
    <mergeCell ref="K33:P33"/>
    <mergeCell ref="K34:P34"/>
    <mergeCell ref="I28:J28"/>
    <mergeCell ref="K28:P28"/>
    <mergeCell ref="W28:AG28"/>
    <mergeCell ref="I29:J29"/>
    <mergeCell ref="K29:P29"/>
    <mergeCell ref="W29:AG29"/>
    <mergeCell ref="I26:P26"/>
    <mergeCell ref="W26:AG26"/>
    <mergeCell ref="I27:J27"/>
    <mergeCell ref="K27:P27"/>
    <mergeCell ref="W27:AG27"/>
    <mergeCell ref="I23:J23"/>
    <mergeCell ref="K23:P23"/>
    <mergeCell ref="S23:T23"/>
    <mergeCell ref="W24:AG24"/>
    <mergeCell ref="W25:AG25"/>
    <mergeCell ref="I24:J24"/>
    <mergeCell ref="K24:P24"/>
    <mergeCell ref="I17:P17"/>
    <mergeCell ref="I18:J18"/>
    <mergeCell ref="K18:P18"/>
    <mergeCell ref="I20:AH20"/>
    <mergeCell ref="I21:J21"/>
    <mergeCell ref="K21:P21"/>
    <mergeCell ref="R21:T21"/>
    <mergeCell ref="U21:Y21"/>
    <mergeCell ref="AA21:AB22"/>
    <mergeCell ref="AC21:AH22"/>
    <mergeCell ref="I22:J22"/>
    <mergeCell ref="K22:P22"/>
    <mergeCell ref="X12:AM12"/>
    <mergeCell ref="H13:AM13"/>
    <mergeCell ref="H14:AE14"/>
    <mergeCell ref="AF14:AM14"/>
    <mergeCell ref="H15:O15"/>
    <mergeCell ref="P15:W15"/>
    <mergeCell ref="X15:AE15"/>
    <mergeCell ref="H1:O1"/>
    <mergeCell ref="P1:W1"/>
    <mergeCell ref="X1:AE1"/>
    <mergeCell ref="AF1:AM1"/>
    <mergeCell ref="AF7:AM7"/>
    <mergeCell ref="B3:B15"/>
    <mergeCell ref="C3:C15"/>
    <mergeCell ref="E3:E6"/>
    <mergeCell ref="H3:AM6"/>
    <mergeCell ref="H7:W7"/>
    <mergeCell ref="X7:AE7"/>
    <mergeCell ref="H9:AM9"/>
    <mergeCell ref="H8:O8"/>
    <mergeCell ref="P8:W8"/>
    <mergeCell ref="X8:AE8"/>
    <mergeCell ref="AF8:AM8"/>
    <mergeCell ref="H10:AM10"/>
    <mergeCell ref="H11:AM11"/>
    <mergeCell ref="I12:J12"/>
    <mergeCell ref="L12:M12"/>
    <mergeCell ref="P12:S12"/>
  </mergeCells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515B-AFA7-4FBE-902F-C2C6FDDBD703}">
  <sheetPr>
    <pageSetUpPr fitToPage="1"/>
  </sheetPr>
  <dimension ref="A1:AM73"/>
  <sheetViews>
    <sheetView tabSelected="1" zoomScale="85" zoomScaleNormal="85" workbookViewId="0">
      <pane xSplit="39" ySplit="30" topLeftCell="AN34" activePane="bottomRight" state="frozen"/>
      <selection pane="topRight" activeCell="AN1" sqref="AN1"/>
      <selection pane="bottomLeft" activeCell="A16" sqref="A16"/>
      <selection pane="bottomRight" activeCell="H14" sqref="H14:AM14"/>
    </sheetView>
  </sheetViews>
  <sheetFormatPr defaultRowHeight="14.25"/>
  <cols>
    <col min="1" max="1" width="3.75" customWidth="1"/>
    <col min="2" max="2" width="20" style="11" customWidth="1"/>
    <col min="3" max="4" width="11.25" customWidth="1"/>
    <col min="5" max="5" width="22.5" customWidth="1"/>
    <col min="6" max="6" width="6.25" style="11" customWidth="1"/>
    <col min="7" max="7" width="2.5" customWidth="1"/>
    <col min="8" max="38" width="5.375" customWidth="1"/>
    <col min="39" max="39" width="5.375" style="11" customWidth="1"/>
    <col min="40" max="45" width="6.25" customWidth="1"/>
  </cols>
  <sheetData>
    <row r="1" spans="1:39" ht="15" thickBot="1">
      <c r="H1" s="139">
        <v>3</v>
      </c>
      <c r="I1" s="139"/>
      <c r="J1" s="139"/>
      <c r="K1" s="139"/>
      <c r="L1" s="139"/>
      <c r="M1" s="139"/>
      <c r="N1" s="139"/>
      <c r="O1" s="139"/>
      <c r="P1" s="139">
        <v>2</v>
      </c>
      <c r="Q1" s="139"/>
      <c r="R1" s="139"/>
      <c r="S1" s="139"/>
      <c r="T1" s="139"/>
      <c r="U1" s="139"/>
      <c r="V1" s="139"/>
      <c r="W1" s="139"/>
      <c r="X1" s="139">
        <v>1</v>
      </c>
      <c r="Y1" s="139"/>
      <c r="Z1" s="139"/>
      <c r="AA1" s="139"/>
      <c r="AB1" s="139"/>
      <c r="AC1" s="139"/>
      <c r="AD1" s="139"/>
      <c r="AE1" s="139"/>
      <c r="AF1" s="139">
        <v>0</v>
      </c>
      <c r="AG1" s="139"/>
      <c r="AH1" s="139"/>
      <c r="AI1" s="139"/>
      <c r="AJ1" s="139"/>
      <c r="AK1" s="139"/>
      <c r="AL1" s="139"/>
      <c r="AM1" s="139"/>
    </row>
    <row r="2" spans="1:39" ht="15" thickBot="1">
      <c r="B2" s="7" t="s">
        <v>3</v>
      </c>
      <c r="C2" s="7" t="s">
        <v>2</v>
      </c>
      <c r="D2" s="8" t="s">
        <v>1</v>
      </c>
      <c r="E2" s="8" t="s">
        <v>0</v>
      </c>
      <c r="F2" s="6" t="s">
        <v>4</v>
      </c>
      <c r="G2" s="9"/>
      <c r="H2" s="3">
        <v>31</v>
      </c>
      <c r="I2" s="4">
        <f>H2-1</f>
        <v>30</v>
      </c>
      <c r="J2" s="4">
        <f>I2-1</f>
        <v>29</v>
      </c>
      <c r="K2" s="4">
        <f t="shared" ref="K2:AM2" si="0">J2-1</f>
        <v>28</v>
      </c>
      <c r="L2" s="4">
        <f t="shared" si="0"/>
        <v>27</v>
      </c>
      <c r="M2" s="4">
        <f t="shared" si="0"/>
        <v>26</v>
      </c>
      <c r="N2" s="4">
        <f t="shared" si="0"/>
        <v>25</v>
      </c>
      <c r="O2" s="4">
        <f t="shared" si="0"/>
        <v>24</v>
      </c>
      <c r="P2" s="4">
        <f t="shared" si="0"/>
        <v>23</v>
      </c>
      <c r="Q2" s="4">
        <f t="shared" si="0"/>
        <v>22</v>
      </c>
      <c r="R2" s="4">
        <f t="shared" si="0"/>
        <v>21</v>
      </c>
      <c r="S2" s="4">
        <f t="shared" si="0"/>
        <v>20</v>
      </c>
      <c r="T2" s="4">
        <f t="shared" si="0"/>
        <v>19</v>
      </c>
      <c r="U2" s="4">
        <f t="shared" si="0"/>
        <v>18</v>
      </c>
      <c r="V2" s="4">
        <f t="shared" si="0"/>
        <v>17</v>
      </c>
      <c r="W2" s="4">
        <f t="shared" si="0"/>
        <v>16</v>
      </c>
      <c r="X2" s="4">
        <f t="shared" si="0"/>
        <v>15</v>
      </c>
      <c r="Y2" s="4">
        <f t="shared" si="0"/>
        <v>14</v>
      </c>
      <c r="Z2" s="4">
        <f t="shared" si="0"/>
        <v>13</v>
      </c>
      <c r="AA2" s="4">
        <f t="shared" si="0"/>
        <v>12</v>
      </c>
      <c r="AB2" s="4">
        <f t="shared" si="0"/>
        <v>11</v>
      </c>
      <c r="AC2" s="4">
        <f t="shared" si="0"/>
        <v>10</v>
      </c>
      <c r="AD2" s="4">
        <f t="shared" si="0"/>
        <v>9</v>
      </c>
      <c r="AE2" s="4">
        <f t="shared" si="0"/>
        <v>8</v>
      </c>
      <c r="AF2" s="4">
        <f t="shared" si="0"/>
        <v>7</v>
      </c>
      <c r="AG2" s="4">
        <f t="shared" si="0"/>
        <v>6</v>
      </c>
      <c r="AH2" s="4">
        <f t="shared" si="0"/>
        <v>5</v>
      </c>
      <c r="AI2" s="4">
        <f t="shared" si="0"/>
        <v>4</v>
      </c>
      <c r="AJ2" s="4">
        <f t="shared" si="0"/>
        <v>3</v>
      </c>
      <c r="AK2" s="4">
        <f t="shared" si="0"/>
        <v>2</v>
      </c>
      <c r="AL2" s="4">
        <f t="shared" si="0"/>
        <v>1</v>
      </c>
      <c r="AM2" s="5">
        <f t="shared" si="0"/>
        <v>0</v>
      </c>
    </row>
    <row r="3" spans="1:39" ht="16.5" customHeight="1">
      <c r="A3" s="11">
        <v>0</v>
      </c>
      <c r="B3" s="106" t="s">
        <v>193</v>
      </c>
      <c r="C3" s="121" t="s">
        <v>198</v>
      </c>
      <c r="D3" s="16" t="str">
        <f>DEC2HEX(A3*4, 3)</f>
        <v>000</v>
      </c>
      <c r="E3" s="106" t="s">
        <v>0</v>
      </c>
      <c r="F3" s="35" t="s">
        <v>5</v>
      </c>
      <c r="G3" s="27"/>
      <c r="H3" s="124" t="s">
        <v>192</v>
      </c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6"/>
    </row>
    <row r="4" spans="1:39">
      <c r="A4" s="11">
        <v>1</v>
      </c>
      <c r="B4" s="107"/>
      <c r="C4" s="122"/>
      <c r="D4" s="14" t="str">
        <f>DEC2HEX(A4*4, 3)</f>
        <v>004</v>
      </c>
      <c r="E4" s="107"/>
      <c r="F4" s="2" t="s">
        <v>5</v>
      </c>
      <c r="H4" s="127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9"/>
    </row>
    <row r="5" spans="1:39">
      <c r="A5" s="11">
        <v>2</v>
      </c>
      <c r="B5" s="107"/>
      <c r="C5" s="122"/>
      <c r="D5" s="14" t="str">
        <f t="shared" ref="D5:D29" si="1">DEC2HEX(A5*4, 3)</f>
        <v>008</v>
      </c>
      <c r="E5" s="107"/>
      <c r="F5" s="2" t="s">
        <v>5</v>
      </c>
      <c r="H5" s="127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9"/>
    </row>
    <row r="6" spans="1:39">
      <c r="A6" s="11">
        <v>3</v>
      </c>
      <c r="B6" s="107"/>
      <c r="C6" s="122"/>
      <c r="D6" s="14" t="str">
        <f t="shared" si="1"/>
        <v>00C</v>
      </c>
      <c r="E6" s="107"/>
      <c r="F6" s="2" t="s">
        <v>5</v>
      </c>
      <c r="H6" s="127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9"/>
    </row>
    <row r="7" spans="1:39">
      <c r="A7" s="11">
        <v>4</v>
      </c>
      <c r="B7" s="107"/>
      <c r="C7" s="122"/>
      <c r="D7" s="14" t="str">
        <f t="shared" si="1"/>
        <v>010</v>
      </c>
      <c r="E7" s="12" t="s">
        <v>41</v>
      </c>
      <c r="F7" s="2" t="s">
        <v>5</v>
      </c>
      <c r="H7" s="108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92" t="s">
        <v>32</v>
      </c>
      <c r="Y7" s="92"/>
      <c r="Z7" s="92"/>
      <c r="AA7" s="92"/>
      <c r="AB7" s="92"/>
      <c r="AC7" s="92"/>
      <c r="AD7" s="92"/>
      <c r="AE7" s="92"/>
      <c r="AF7" s="92" t="s">
        <v>33</v>
      </c>
      <c r="AG7" s="92"/>
      <c r="AH7" s="92"/>
      <c r="AI7" s="92"/>
      <c r="AJ7" s="92"/>
      <c r="AK7" s="92"/>
      <c r="AL7" s="92"/>
      <c r="AM7" s="93"/>
    </row>
    <row r="8" spans="1:39">
      <c r="A8" s="11">
        <v>5</v>
      </c>
      <c r="B8" s="107"/>
      <c r="C8" s="122"/>
      <c r="D8" s="14" t="str">
        <f t="shared" si="1"/>
        <v>014</v>
      </c>
      <c r="E8" s="12" t="s">
        <v>42</v>
      </c>
      <c r="F8" s="2" t="s">
        <v>5</v>
      </c>
      <c r="H8" s="108"/>
      <c r="I8" s="109"/>
      <c r="J8" s="109"/>
      <c r="K8" s="109"/>
      <c r="L8" s="109"/>
      <c r="M8" s="109"/>
      <c r="N8" s="109"/>
      <c r="O8" s="109"/>
      <c r="P8" s="92" t="s">
        <v>34</v>
      </c>
      <c r="Q8" s="92"/>
      <c r="R8" s="92"/>
      <c r="S8" s="92"/>
      <c r="T8" s="92"/>
      <c r="U8" s="92"/>
      <c r="V8" s="92"/>
      <c r="W8" s="92"/>
      <c r="X8" s="92" t="s">
        <v>36</v>
      </c>
      <c r="Y8" s="92"/>
      <c r="Z8" s="92"/>
      <c r="AA8" s="92"/>
      <c r="AB8" s="92"/>
      <c r="AC8" s="92"/>
      <c r="AD8" s="92"/>
      <c r="AE8" s="92"/>
      <c r="AF8" s="92" t="s">
        <v>35</v>
      </c>
      <c r="AG8" s="92"/>
      <c r="AH8" s="92"/>
      <c r="AI8" s="92"/>
      <c r="AJ8" s="92"/>
      <c r="AK8" s="92"/>
      <c r="AL8" s="92"/>
      <c r="AM8" s="93"/>
    </row>
    <row r="9" spans="1:39" ht="16.5">
      <c r="A9" s="11">
        <v>6</v>
      </c>
      <c r="B9" s="107"/>
      <c r="C9" s="122"/>
      <c r="D9" s="14" t="str">
        <f t="shared" si="1"/>
        <v>018</v>
      </c>
      <c r="E9" s="39" t="s">
        <v>40</v>
      </c>
      <c r="F9" s="2" t="s">
        <v>4</v>
      </c>
      <c r="H9" s="108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30"/>
    </row>
    <row r="10" spans="1:39" ht="16.5">
      <c r="A10" s="11">
        <v>7</v>
      </c>
      <c r="B10" s="107"/>
      <c r="C10" s="122"/>
      <c r="D10" s="14" t="str">
        <f t="shared" si="1"/>
        <v>01C</v>
      </c>
      <c r="E10" s="39" t="s">
        <v>40</v>
      </c>
      <c r="F10" s="41" t="s">
        <v>4</v>
      </c>
      <c r="H10" s="108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30"/>
    </row>
    <row r="11" spans="1:39" ht="16.5">
      <c r="A11" s="11">
        <v>8</v>
      </c>
      <c r="B11" s="107"/>
      <c r="C11" s="122"/>
      <c r="D11" s="14" t="str">
        <f t="shared" si="1"/>
        <v>020</v>
      </c>
      <c r="E11" s="39" t="s">
        <v>71</v>
      </c>
      <c r="F11" s="41" t="s">
        <v>60</v>
      </c>
      <c r="H11" s="108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233"/>
      <c r="Y11" s="234"/>
      <c r="Z11" s="234"/>
      <c r="AA11" s="234"/>
      <c r="AB11" s="234"/>
      <c r="AC11" s="232"/>
      <c r="AD11" s="230" t="s">
        <v>203</v>
      </c>
      <c r="AE11" s="232"/>
      <c r="AF11" s="233"/>
      <c r="AG11" s="234"/>
      <c r="AH11" s="234"/>
      <c r="AI11" s="234"/>
      <c r="AJ11" s="234"/>
      <c r="AK11" s="232"/>
      <c r="AL11" s="230" t="s">
        <v>200</v>
      </c>
      <c r="AM11" s="231"/>
    </row>
    <row r="12" spans="1:39" ht="16.5">
      <c r="A12" s="11">
        <v>9</v>
      </c>
      <c r="B12" s="107"/>
      <c r="C12" s="122"/>
      <c r="D12" s="14" t="str">
        <f t="shared" si="1"/>
        <v>024</v>
      </c>
      <c r="E12" s="39" t="s">
        <v>68</v>
      </c>
      <c r="F12" s="41" t="s">
        <v>67</v>
      </c>
      <c r="H12" s="108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43"/>
      <c r="Y12" s="43"/>
      <c r="Z12" s="43" t="s">
        <v>69</v>
      </c>
      <c r="AA12" s="43" t="s">
        <v>70</v>
      </c>
      <c r="AB12" s="43"/>
      <c r="AC12" s="43"/>
      <c r="AD12" s="43"/>
      <c r="AE12" s="70" t="s">
        <v>201</v>
      </c>
      <c r="AF12" s="43"/>
      <c r="AG12" s="43"/>
      <c r="AH12" s="43" t="s">
        <v>69</v>
      </c>
      <c r="AI12" s="43" t="s">
        <v>70</v>
      </c>
      <c r="AJ12" s="43"/>
      <c r="AK12" s="43"/>
      <c r="AL12" s="43"/>
      <c r="AM12" s="71" t="s">
        <v>202</v>
      </c>
    </row>
    <row r="13" spans="1:39" ht="16.5">
      <c r="A13" s="11">
        <v>10</v>
      </c>
      <c r="B13" s="107"/>
      <c r="C13" s="122"/>
      <c r="D13" s="14" t="str">
        <f t="shared" si="1"/>
        <v>028</v>
      </c>
      <c r="E13" s="39" t="s">
        <v>214</v>
      </c>
      <c r="F13" s="41" t="s">
        <v>67</v>
      </c>
      <c r="H13" s="244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5"/>
      <c r="X13" s="230" t="s">
        <v>216</v>
      </c>
      <c r="Y13" s="234"/>
      <c r="Z13" s="234"/>
      <c r="AA13" s="234"/>
      <c r="AB13" s="234"/>
      <c r="AC13" s="234"/>
      <c r="AD13" s="234"/>
      <c r="AE13" s="232"/>
      <c r="AF13" s="134"/>
      <c r="AG13" s="138"/>
      <c r="AH13" s="138"/>
      <c r="AI13" s="138"/>
      <c r="AJ13" s="138"/>
      <c r="AK13" s="135"/>
      <c r="AL13" s="230" t="s">
        <v>215</v>
      </c>
      <c r="AM13" s="231"/>
    </row>
    <row r="14" spans="1:39" ht="16.5">
      <c r="A14" s="11">
        <v>11</v>
      </c>
      <c r="B14" s="107"/>
      <c r="C14" s="122"/>
      <c r="D14" s="14" t="str">
        <f t="shared" si="1"/>
        <v>02C</v>
      </c>
      <c r="E14" s="39"/>
      <c r="F14" s="41"/>
      <c r="H14" s="108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30"/>
    </row>
    <row r="15" spans="1:39" ht="16.5">
      <c r="A15" s="11">
        <v>12</v>
      </c>
      <c r="B15" s="107"/>
      <c r="C15" s="122"/>
      <c r="D15" s="14" t="str">
        <f t="shared" si="1"/>
        <v>030</v>
      </c>
      <c r="E15" s="236" t="s">
        <v>79</v>
      </c>
      <c r="F15" s="41" t="s">
        <v>4</v>
      </c>
      <c r="H15" s="131" t="s">
        <v>76</v>
      </c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3"/>
    </row>
    <row r="16" spans="1:39" ht="16.5" customHeight="1">
      <c r="A16" s="11">
        <v>13</v>
      </c>
      <c r="B16" s="107"/>
      <c r="C16" s="122"/>
      <c r="D16" s="14" t="str">
        <f t="shared" si="1"/>
        <v>034</v>
      </c>
      <c r="E16" s="236"/>
      <c r="F16" s="2" t="s">
        <v>4</v>
      </c>
      <c r="H16" s="131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3"/>
    </row>
    <row r="17" spans="1:39">
      <c r="A17" s="11">
        <v>14</v>
      </c>
      <c r="B17" s="107"/>
      <c r="C17" s="122"/>
      <c r="D17" s="14" t="str">
        <f t="shared" si="1"/>
        <v>038</v>
      </c>
      <c r="E17" s="236" t="s">
        <v>119</v>
      </c>
      <c r="F17" s="2" t="s">
        <v>60</v>
      </c>
      <c r="H17" s="131" t="s">
        <v>122</v>
      </c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3"/>
    </row>
    <row r="18" spans="1:39" ht="16.5">
      <c r="A18" s="11">
        <v>15</v>
      </c>
      <c r="B18" s="107"/>
      <c r="C18" s="122"/>
      <c r="D18" s="14" t="str">
        <f t="shared" si="1"/>
        <v>03C</v>
      </c>
      <c r="E18" s="236"/>
      <c r="F18" s="41" t="s">
        <v>4</v>
      </c>
      <c r="H18" s="131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3"/>
    </row>
    <row r="19" spans="1:39" ht="16.5">
      <c r="A19" s="11">
        <v>16</v>
      </c>
      <c r="B19" s="107"/>
      <c r="C19" s="122"/>
      <c r="D19" s="14" t="str">
        <f t="shared" si="1"/>
        <v>040</v>
      </c>
      <c r="E19" s="12" t="s">
        <v>63</v>
      </c>
      <c r="F19" s="41" t="s">
        <v>4</v>
      </c>
      <c r="H19" s="237" t="s">
        <v>75</v>
      </c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9"/>
    </row>
    <row r="20" spans="1:39">
      <c r="A20" s="11">
        <v>17</v>
      </c>
      <c r="B20" s="107"/>
      <c r="C20" s="122"/>
      <c r="D20" s="14" t="str">
        <f t="shared" si="1"/>
        <v>044</v>
      </c>
      <c r="E20" s="12" t="s">
        <v>64</v>
      </c>
      <c r="F20" s="2" t="s">
        <v>60</v>
      </c>
      <c r="H20" s="108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43" t="s">
        <v>62</v>
      </c>
      <c r="AG20" s="109"/>
      <c r="AH20" s="109"/>
      <c r="AI20" s="109"/>
      <c r="AJ20" s="109"/>
      <c r="AK20" s="109"/>
      <c r="AL20" s="43" t="s">
        <v>66</v>
      </c>
      <c r="AM20" s="44" t="s">
        <v>65</v>
      </c>
    </row>
    <row r="21" spans="1:39" ht="16.5">
      <c r="A21" s="11">
        <v>18</v>
      </c>
      <c r="B21" s="107"/>
      <c r="C21" s="122"/>
      <c r="D21" s="14" t="str">
        <f t="shared" si="1"/>
        <v>048</v>
      </c>
      <c r="E21" s="12" t="s">
        <v>116</v>
      </c>
      <c r="F21" s="2" t="s">
        <v>67</v>
      </c>
      <c r="H21" s="237" t="s">
        <v>117</v>
      </c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9"/>
    </row>
    <row r="22" spans="1:39" ht="16.5">
      <c r="A22" s="11">
        <v>19</v>
      </c>
      <c r="B22" s="107"/>
      <c r="C22" s="122"/>
      <c r="D22" s="14" t="str">
        <f t="shared" si="1"/>
        <v>04C</v>
      </c>
      <c r="E22" s="39" t="s">
        <v>81</v>
      </c>
      <c r="F22" s="41" t="s">
        <v>67</v>
      </c>
      <c r="H22" s="244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5"/>
      <c r="AF22" s="47" t="s">
        <v>83</v>
      </c>
      <c r="AG22" s="109"/>
      <c r="AH22" s="109"/>
      <c r="AI22" s="109"/>
      <c r="AJ22" s="109"/>
      <c r="AK22" s="109"/>
      <c r="AL22" s="43" t="s">
        <v>66</v>
      </c>
      <c r="AM22" s="44" t="s">
        <v>65</v>
      </c>
    </row>
    <row r="23" spans="1:39" ht="16.5">
      <c r="A23" s="11">
        <v>20</v>
      </c>
      <c r="B23" s="107"/>
      <c r="C23" s="122"/>
      <c r="D23" s="14" t="str">
        <f t="shared" si="1"/>
        <v>050</v>
      </c>
      <c r="E23" s="236" t="s">
        <v>80</v>
      </c>
      <c r="F23" s="41" t="s">
        <v>4</v>
      </c>
      <c r="H23" s="131" t="s">
        <v>77</v>
      </c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3"/>
    </row>
    <row r="24" spans="1:39">
      <c r="A24" s="11">
        <v>21</v>
      </c>
      <c r="B24" s="107"/>
      <c r="C24" s="122"/>
      <c r="D24" s="14" t="str">
        <f t="shared" si="1"/>
        <v>054</v>
      </c>
      <c r="E24" s="236"/>
      <c r="F24" s="2" t="s">
        <v>4</v>
      </c>
      <c r="H24" s="131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3"/>
    </row>
    <row r="25" spans="1:39">
      <c r="A25" s="11">
        <v>22</v>
      </c>
      <c r="B25" s="107"/>
      <c r="C25" s="122"/>
      <c r="D25" s="14" t="str">
        <f t="shared" si="1"/>
        <v>058</v>
      </c>
      <c r="E25" s="236" t="s">
        <v>120</v>
      </c>
      <c r="F25" s="2" t="s">
        <v>60</v>
      </c>
      <c r="H25" s="131" t="s">
        <v>121</v>
      </c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3"/>
    </row>
    <row r="26" spans="1:39" ht="16.5">
      <c r="A26" s="11">
        <v>23</v>
      </c>
      <c r="B26" s="107"/>
      <c r="C26" s="122"/>
      <c r="D26" s="14" t="str">
        <f t="shared" si="1"/>
        <v>05C</v>
      </c>
      <c r="E26" s="236"/>
      <c r="F26" s="41" t="s">
        <v>4</v>
      </c>
      <c r="H26" s="131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3"/>
    </row>
    <row r="27" spans="1:39" ht="16.5">
      <c r="A27" s="11">
        <v>24</v>
      </c>
      <c r="B27" s="107"/>
      <c r="C27" s="122"/>
      <c r="D27" s="14" t="str">
        <f t="shared" si="1"/>
        <v>060</v>
      </c>
      <c r="E27" s="12" t="s">
        <v>73</v>
      </c>
      <c r="F27" s="41" t="s">
        <v>4</v>
      </c>
      <c r="H27" s="237" t="s">
        <v>78</v>
      </c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AK27" s="238"/>
      <c r="AL27" s="238"/>
      <c r="AM27" s="239"/>
    </row>
    <row r="28" spans="1:39" ht="16.5">
      <c r="A28" s="11">
        <v>25</v>
      </c>
      <c r="B28" s="107"/>
      <c r="C28" s="122"/>
      <c r="D28" s="14" t="str">
        <f t="shared" si="1"/>
        <v>064</v>
      </c>
      <c r="E28" s="12" t="s">
        <v>74</v>
      </c>
      <c r="F28" s="2" t="s">
        <v>60</v>
      </c>
      <c r="H28" s="108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43" t="s">
        <v>62</v>
      </c>
      <c r="AG28" s="109"/>
      <c r="AH28" s="109"/>
      <c r="AI28" s="109"/>
      <c r="AJ28" s="109"/>
      <c r="AK28" s="109"/>
      <c r="AL28" s="43" t="s">
        <v>66</v>
      </c>
      <c r="AM28" s="44" t="s">
        <v>65</v>
      </c>
    </row>
    <row r="29" spans="1:39" ht="16.5">
      <c r="A29" s="11">
        <v>26</v>
      </c>
      <c r="B29" s="107"/>
      <c r="C29" s="122"/>
      <c r="D29" s="14" t="str">
        <f t="shared" si="1"/>
        <v>068</v>
      </c>
      <c r="E29" s="39" t="s">
        <v>115</v>
      </c>
      <c r="F29" s="41" t="s">
        <v>67</v>
      </c>
      <c r="H29" s="237" t="s">
        <v>118</v>
      </c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9"/>
    </row>
    <row r="30" spans="1:39" ht="17.25" thickBot="1">
      <c r="A30" s="11">
        <v>27</v>
      </c>
      <c r="B30" s="120"/>
      <c r="C30" s="123"/>
      <c r="D30" s="15" t="str">
        <f>DEC2HEX(A30*4, 3)</f>
        <v>06C</v>
      </c>
      <c r="E30" s="40" t="s">
        <v>82</v>
      </c>
      <c r="F30" s="42" t="s">
        <v>67</v>
      </c>
      <c r="G30" s="38"/>
      <c r="H30" s="241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3"/>
      <c r="AF30" s="72" t="s">
        <v>83</v>
      </c>
      <c r="AG30" s="78"/>
      <c r="AH30" s="245" t="s">
        <v>211</v>
      </c>
      <c r="AI30" s="246"/>
      <c r="AJ30" s="78"/>
      <c r="AK30" s="78"/>
      <c r="AL30" s="58" t="s">
        <v>66</v>
      </c>
      <c r="AM30" s="59" t="s">
        <v>65</v>
      </c>
    </row>
    <row r="31" spans="1:39" ht="15" thickBot="1">
      <c r="E31" s="11"/>
    </row>
    <row r="32" spans="1:39" ht="17.25" thickBot="1">
      <c r="I32" s="195" t="s">
        <v>199</v>
      </c>
      <c r="J32" s="196"/>
      <c r="K32" s="196"/>
      <c r="L32" s="196"/>
      <c r="M32" s="196"/>
      <c r="N32" s="196"/>
      <c r="O32" s="196"/>
      <c r="P32" s="196"/>
      <c r="Q32" s="197"/>
      <c r="S32" s="195" t="s">
        <v>87</v>
      </c>
      <c r="T32" s="196"/>
      <c r="U32" s="196"/>
      <c r="V32" s="196"/>
      <c r="W32" s="196"/>
      <c r="X32" s="196"/>
      <c r="Y32" s="196"/>
      <c r="Z32" s="196"/>
      <c r="AA32" s="197"/>
    </row>
    <row r="33" spans="1:39" ht="16.5">
      <c r="I33" s="224" t="s">
        <v>84</v>
      </c>
      <c r="J33" s="160"/>
      <c r="K33" s="161" t="s">
        <v>85</v>
      </c>
      <c r="L33" s="161"/>
      <c r="M33" s="161"/>
      <c r="N33" s="161"/>
      <c r="O33" s="161"/>
      <c r="P33" s="161"/>
      <c r="Q33" s="222"/>
      <c r="S33" s="224" t="s">
        <v>90</v>
      </c>
      <c r="T33" s="160"/>
      <c r="U33" s="161" t="s">
        <v>93</v>
      </c>
      <c r="V33" s="161"/>
      <c r="W33" s="161"/>
      <c r="X33" s="161"/>
      <c r="Y33" s="161"/>
      <c r="Z33" s="161"/>
      <c r="AA33" s="222"/>
    </row>
    <row r="34" spans="1:39" ht="17.25" thickBot="1">
      <c r="I34" s="240" t="s">
        <v>72</v>
      </c>
      <c r="J34" s="191"/>
      <c r="K34" s="192" t="s">
        <v>86</v>
      </c>
      <c r="L34" s="192"/>
      <c r="M34" s="192"/>
      <c r="N34" s="192"/>
      <c r="O34" s="192"/>
      <c r="P34" s="192"/>
      <c r="Q34" s="235"/>
      <c r="S34" s="176" t="s">
        <v>89</v>
      </c>
      <c r="T34" s="177"/>
      <c r="U34" s="178" t="s">
        <v>92</v>
      </c>
      <c r="V34" s="178"/>
      <c r="W34" s="178"/>
      <c r="X34" s="178"/>
      <c r="Y34" s="178"/>
      <c r="Z34" s="178"/>
      <c r="AA34" s="223"/>
    </row>
    <row r="35" spans="1:39" ht="17.25" thickBot="1">
      <c r="I35" s="57"/>
      <c r="J35" s="57"/>
      <c r="K35" s="57"/>
      <c r="L35" s="57"/>
      <c r="M35" s="57"/>
      <c r="N35" s="57"/>
      <c r="O35" s="57"/>
      <c r="P35" s="57"/>
      <c r="S35" s="240" t="s">
        <v>88</v>
      </c>
      <c r="T35" s="191"/>
      <c r="U35" s="192" t="s">
        <v>91</v>
      </c>
      <c r="V35" s="192"/>
      <c r="W35" s="192"/>
      <c r="X35" s="192"/>
      <c r="Y35" s="192"/>
      <c r="Z35" s="192"/>
      <c r="AA35" s="235"/>
    </row>
    <row r="36" spans="1:39" ht="15" thickBot="1"/>
    <row r="37" spans="1:39" ht="17.25" thickBot="1">
      <c r="I37" s="195" t="s">
        <v>94</v>
      </c>
      <c r="J37" s="196"/>
      <c r="K37" s="196"/>
      <c r="L37" s="196"/>
      <c r="M37" s="196"/>
      <c r="N37" s="196"/>
      <c r="O37" s="196"/>
      <c r="P37" s="196"/>
      <c r="Q37" s="197"/>
      <c r="S37" s="195" t="s">
        <v>97</v>
      </c>
      <c r="T37" s="196"/>
      <c r="U37" s="196"/>
      <c r="V37" s="196"/>
      <c r="W37" s="196"/>
      <c r="X37" s="196"/>
      <c r="Y37" s="196"/>
      <c r="Z37" s="196"/>
      <c r="AA37" s="197"/>
    </row>
    <row r="38" spans="1:39" ht="16.5">
      <c r="I38" s="224" t="s">
        <v>95</v>
      </c>
      <c r="J38" s="160"/>
      <c r="K38" s="161" t="s">
        <v>100</v>
      </c>
      <c r="L38" s="161"/>
      <c r="M38" s="161"/>
      <c r="N38" s="161"/>
      <c r="O38" s="161"/>
      <c r="P38" s="161"/>
      <c r="Q38" s="222"/>
      <c r="S38" s="224" t="s">
        <v>95</v>
      </c>
      <c r="T38" s="160"/>
      <c r="U38" s="161" t="s">
        <v>98</v>
      </c>
      <c r="V38" s="161"/>
      <c r="W38" s="161"/>
      <c r="X38" s="161"/>
      <c r="Y38" s="161"/>
      <c r="Z38" s="161"/>
      <c r="AA38" s="222"/>
    </row>
    <row r="39" spans="1:39" ht="17.25" thickBot="1">
      <c r="C39" s="46"/>
      <c r="I39" s="240" t="s">
        <v>96</v>
      </c>
      <c r="J39" s="191"/>
      <c r="K39" s="192" t="s">
        <v>101</v>
      </c>
      <c r="L39" s="192"/>
      <c r="M39" s="192"/>
      <c r="N39" s="192"/>
      <c r="O39" s="192"/>
      <c r="P39" s="192"/>
      <c r="Q39" s="235"/>
      <c r="S39" s="240" t="s">
        <v>96</v>
      </c>
      <c r="T39" s="191"/>
      <c r="U39" s="192" t="s">
        <v>99</v>
      </c>
      <c r="V39" s="192"/>
      <c r="W39" s="192"/>
      <c r="X39" s="192"/>
      <c r="Y39" s="192"/>
      <c r="Z39" s="192"/>
      <c r="AA39" s="235"/>
    </row>
    <row r="40" spans="1:39" ht="17.25" thickBot="1">
      <c r="C40" s="46"/>
      <c r="I40" s="57"/>
      <c r="J40" s="57"/>
      <c r="K40" s="57"/>
      <c r="L40" s="57"/>
      <c r="M40" s="57"/>
      <c r="N40" s="57"/>
      <c r="O40" s="57"/>
      <c r="P40" s="57"/>
    </row>
    <row r="41" spans="1:39" ht="17.25" thickBot="1">
      <c r="C41" s="46"/>
      <c r="I41" s="149" t="s">
        <v>102</v>
      </c>
      <c r="J41" s="150"/>
      <c r="K41" s="150"/>
      <c r="L41" s="150"/>
      <c r="M41" s="150"/>
      <c r="N41" s="150"/>
      <c r="O41" s="150"/>
      <c r="P41" s="150"/>
      <c r="Q41" s="151"/>
      <c r="S41" s="195" t="s">
        <v>104</v>
      </c>
      <c r="T41" s="196"/>
      <c r="U41" s="196"/>
      <c r="V41" s="196"/>
      <c r="W41" s="196"/>
      <c r="X41" s="196"/>
      <c r="Y41" s="196"/>
      <c r="Z41" s="196"/>
      <c r="AA41" s="197"/>
    </row>
    <row r="42" spans="1:39" ht="17.25" thickBot="1">
      <c r="C42" s="46"/>
      <c r="F42" s="45"/>
      <c r="I42" s="219" t="s">
        <v>103</v>
      </c>
      <c r="J42" s="220"/>
      <c r="K42" s="220"/>
      <c r="L42" s="220"/>
      <c r="M42" s="220"/>
      <c r="N42" s="220"/>
      <c r="O42" s="220"/>
      <c r="P42" s="220"/>
      <c r="Q42" s="221"/>
      <c r="S42" s="224" t="s">
        <v>105</v>
      </c>
      <c r="T42" s="160"/>
      <c r="U42" s="161" t="s">
        <v>108</v>
      </c>
      <c r="V42" s="161"/>
      <c r="W42" s="161"/>
      <c r="X42" s="161"/>
      <c r="Y42" s="161"/>
      <c r="Z42" s="161"/>
      <c r="AA42" s="222"/>
      <c r="AM42" s="45"/>
    </row>
    <row r="43" spans="1:39" ht="17.25" thickBot="1">
      <c r="I43" s="227" t="s">
        <v>204</v>
      </c>
      <c r="J43" s="228"/>
      <c r="K43" s="228"/>
      <c r="L43" s="228"/>
      <c r="M43" s="228"/>
      <c r="N43" s="228"/>
      <c r="O43" s="228"/>
      <c r="P43" s="228"/>
      <c r="Q43" s="229"/>
      <c r="S43" s="240" t="s">
        <v>106</v>
      </c>
      <c r="T43" s="191"/>
      <c r="U43" s="192" t="s">
        <v>109</v>
      </c>
      <c r="V43" s="192"/>
      <c r="W43" s="192"/>
      <c r="X43" s="192"/>
      <c r="Y43" s="192"/>
      <c r="Z43" s="192"/>
      <c r="AA43" s="235"/>
    </row>
    <row r="44" spans="1:39" ht="17.25" thickBot="1">
      <c r="S44" s="240" t="s">
        <v>107</v>
      </c>
      <c r="T44" s="191"/>
      <c r="U44" s="192" t="s">
        <v>110</v>
      </c>
      <c r="V44" s="192"/>
      <c r="W44" s="192"/>
      <c r="X44" s="192"/>
      <c r="Y44" s="192"/>
      <c r="Z44" s="192"/>
      <c r="AA44" s="235"/>
    </row>
    <row r="45" spans="1:39" ht="15" thickBot="1"/>
    <row r="46" spans="1:39" ht="17.25" thickBot="1">
      <c r="A46" s="46"/>
      <c r="I46" s="149" t="s">
        <v>113</v>
      </c>
      <c r="J46" s="150"/>
      <c r="K46" s="150"/>
      <c r="L46" s="150"/>
      <c r="M46" s="150"/>
      <c r="N46" s="150"/>
      <c r="O46" s="150"/>
      <c r="P46" s="150"/>
      <c r="Q46" s="151"/>
    </row>
    <row r="47" spans="1:39" ht="17.25" thickBot="1">
      <c r="I47" s="219" t="s">
        <v>114</v>
      </c>
      <c r="J47" s="220"/>
      <c r="K47" s="220"/>
      <c r="L47" s="220"/>
      <c r="M47" s="220"/>
      <c r="N47" s="220"/>
      <c r="O47" s="220"/>
      <c r="P47" s="220"/>
      <c r="Q47" s="221"/>
    </row>
    <row r="48" spans="1:39" ht="17.25" customHeight="1" thickBot="1"/>
    <row r="49" spans="1:39" ht="16.5" customHeight="1" thickBot="1">
      <c r="I49" s="195" t="s">
        <v>111</v>
      </c>
      <c r="J49" s="196"/>
      <c r="K49" s="196"/>
      <c r="L49" s="196"/>
      <c r="M49" s="196"/>
      <c r="N49" s="196"/>
      <c r="O49" s="196"/>
      <c r="P49" s="196"/>
      <c r="Q49" s="197"/>
    </row>
    <row r="50" spans="1:39" ht="16.5" customHeight="1">
      <c r="I50" s="224" t="s">
        <v>212</v>
      </c>
      <c r="J50" s="225"/>
      <c r="K50" s="161" t="s">
        <v>205</v>
      </c>
      <c r="L50" s="161"/>
      <c r="M50" s="161"/>
      <c r="N50" s="161"/>
      <c r="O50" s="161"/>
      <c r="P50" s="161"/>
      <c r="Q50" s="222"/>
    </row>
    <row r="51" spans="1:39" ht="16.5" customHeight="1">
      <c r="I51" s="176"/>
      <c r="J51" s="226"/>
      <c r="K51" s="178" t="s">
        <v>206</v>
      </c>
      <c r="L51" s="178"/>
      <c r="M51" s="178"/>
      <c r="N51" s="178"/>
      <c r="O51" s="178"/>
      <c r="P51" s="178"/>
      <c r="Q51" s="223"/>
    </row>
    <row r="52" spans="1:39" ht="16.5">
      <c r="I52" s="176" t="s">
        <v>213</v>
      </c>
      <c r="J52" s="226"/>
      <c r="K52" s="178">
        <v>0</v>
      </c>
      <c r="L52" s="178"/>
      <c r="M52" s="178"/>
      <c r="N52" s="178"/>
      <c r="O52" s="178"/>
      <c r="P52" s="178"/>
      <c r="Q52" s="223"/>
    </row>
    <row r="53" spans="1:39" ht="16.5">
      <c r="I53" s="176"/>
      <c r="J53" s="226"/>
      <c r="K53" s="178">
        <v>1</v>
      </c>
      <c r="L53" s="178"/>
      <c r="M53" s="178"/>
      <c r="N53" s="178"/>
      <c r="O53" s="178"/>
      <c r="P53" s="178"/>
      <c r="Q53" s="223"/>
    </row>
    <row r="54" spans="1:39" ht="16.5">
      <c r="I54" s="176"/>
      <c r="J54" s="226"/>
      <c r="K54" s="178">
        <v>2</v>
      </c>
      <c r="L54" s="178"/>
      <c r="M54" s="178"/>
      <c r="N54" s="178"/>
      <c r="O54" s="178"/>
      <c r="P54" s="178"/>
      <c r="Q54" s="223"/>
    </row>
    <row r="55" spans="1:39" ht="16.5" customHeight="1" thickBot="1">
      <c r="A55" s="46"/>
      <c r="I55" s="240"/>
      <c r="J55" s="247"/>
      <c r="K55" s="192">
        <v>3</v>
      </c>
      <c r="L55" s="192"/>
      <c r="M55" s="192"/>
      <c r="N55" s="192"/>
      <c r="O55" s="192"/>
      <c r="P55" s="192"/>
      <c r="Q55" s="235"/>
    </row>
    <row r="56" spans="1:39" ht="16.5">
      <c r="A56" s="46"/>
    </row>
    <row r="60" spans="1:39" ht="16.5">
      <c r="I60" s="46"/>
    </row>
    <row r="61" spans="1:39" ht="16.5">
      <c r="I61" s="46"/>
      <c r="AM61"/>
    </row>
    <row r="62" spans="1:39">
      <c r="AM62"/>
    </row>
    <row r="63" spans="1:39">
      <c r="AM63"/>
    </row>
    <row r="64" spans="1:39">
      <c r="AM64"/>
    </row>
    <row r="65" spans="39:39">
      <c r="AM65"/>
    </row>
    <row r="66" spans="39:39">
      <c r="AM66"/>
    </row>
    <row r="67" spans="39:39">
      <c r="AM67"/>
    </row>
    <row r="68" spans="39:39">
      <c r="AM68"/>
    </row>
    <row r="69" spans="39:39">
      <c r="AM69"/>
    </row>
    <row r="70" spans="39:39">
      <c r="AM70"/>
    </row>
    <row r="71" spans="39:39">
      <c r="AM71"/>
    </row>
    <row r="72" spans="39:39">
      <c r="AM72"/>
    </row>
    <row r="73" spans="39:39">
      <c r="AM73"/>
    </row>
  </sheetData>
  <mergeCells count="91">
    <mergeCell ref="K52:Q52"/>
    <mergeCell ref="K53:Q53"/>
    <mergeCell ref="I52:J55"/>
    <mergeCell ref="K54:Q54"/>
    <mergeCell ref="K55:Q55"/>
    <mergeCell ref="AG22:AK22"/>
    <mergeCell ref="AG20:AK20"/>
    <mergeCell ref="AG28:AK28"/>
    <mergeCell ref="H30:AE30"/>
    <mergeCell ref="H22:AE22"/>
    <mergeCell ref="H20:AE20"/>
    <mergeCell ref="AH30:AI30"/>
    <mergeCell ref="I34:J34"/>
    <mergeCell ref="I32:Q32"/>
    <mergeCell ref="K33:Q33"/>
    <mergeCell ref="K34:Q34"/>
    <mergeCell ref="S32:AA32"/>
    <mergeCell ref="I33:J33"/>
    <mergeCell ref="S33:T33"/>
    <mergeCell ref="U33:AA33"/>
    <mergeCell ref="S35:T35"/>
    <mergeCell ref="U35:AA35"/>
    <mergeCell ref="S34:T34"/>
    <mergeCell ref="U34:AA34"/>
    <mergeCell ref="S37:AA37"/>
    <mergeCell ref="S38:T38"/>
    <mergeCell ref="I49:Q49"/>
    <mergeCell ref="S44:T44"/>
    <mergeCell ref="U44:AA44"/>
    <mergeCell ref="I42:Q42"/>
    <mergeCell ref="U38:AA38"/>
    <mergeCell ref="S39:T39"/>
    <mergeCell ref="U39:AA39"/>
    <mergeCell ref="I41:Q41"/>
    <mergeCell ref="S41:AA41"/>
    <mergeCell ref="S42:T42"/>
    <mergeCell ref="U42:AA42"/>
    <mergeCell ref="S43:T43"/>
    <mergeCell ref="U43:AA43"/>
    <mergeCell ref="I39:J39"/>
    <mergeCell ref="I46:Q46"/>
    <mergeCell ref="I37:Q37"/>
    <mergeCell ref="I38:J38"/>
    <mergeCell ref="K38:Q38"/>
    <mergeCell ref="K39:Q39"/>
    <mergeCell ref="E15:E16"/>
    <mergeCell ref="E17:E18"/>
    <mergeCell ref="H17:AM18"/>
    <mergeCell ref="E23:E24"/>
    <mergeCell ref="H23:AM24"/>
    <mergeCell ref="E25:E26"/>
    <mergeCell ref="H25:AM26"/>
    <mergeCell ref="H19:AM19"/>
    <mergeCell ref="H27:AM27"/>
    <mergeCell ref="H21:AM21"/>
    <mergeCell ref="H29:AM29"/>
    <mergeCell ref="H28:AE28"/>
    <mergeCell ref="H1:O1"/>
    <mergeCell ref="P1:W1"/>
    <mergeCell ref="X1:AE1"/>
    <mergeCell ref="AF1:AM1"/>
    <mergeCell ref="H14:AM14"/>
    <mergeCell ref="AL11:AM11"/>
    <mergeCell ref="AD11:AE11"/>
    <mergeCell ref="AF11:AK11"/>
    <mergeCell ref="X11:AC11"/>
    <mergeCell ref="AL13:AM13"/>
    <mergeCell ref="AF13:AK13"/>
    <mergeCell ref="X13:AE13"/>
    <mergeCell ref="H13:W13"/>
    <mergeCell ref="B3:B30"/>
    <mergeCell ref="C3:C30"/>
    <mergeCell ref="E3:E6"/>
    <mergeCell ref="H3:AM6"/>
    <mergeCell ref="H7:W7"/>
    <mergeCell ref="X7:AE7"/>
    <mergeCell ref="H10:AM10"/>
    <mergeCell ref="AF7:AM7"/>
    <mergeCell ref="H8:O8"/>
    <mergeCell ref="P8:W8"/>
    <mergeCell ref="X8:AE8"/>
    <mergeCell ref="AF8:AM8"/>
    <mergeCell ref="H9:AM9"/>
    <mergeCell ref="H15:AM16"/>
    <mergeCell ref="H11:W11"/>
    <mergeCell ref="H12:W12"/>
    <mergeCell ref="I47:Q47"/>
    <mergeCell ref="K50:Q50"/>
    <mergeCell ref="K51:Q51"/>
    <mergeCell ref="I50:J51"/>
    <mergeCell ref="I43:Q43"/>
  </mergeCells>
  <phoneticPr fontId="18" type="noConversion"/>
  <pageMargins left="0.7" right="0.7" top="0.75" bottom="0.75" header="0.3" footer="0.3"/>
  <pageSetup paperSize="9" scale="48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IP List w Rev.His</vt:lpstr>
      <vt:lpstr>Block Diagram</vt:lpstr>
      <vt:lpstr>Addres Map</vt:lpstr>
      <vt:lpstr>PJT-INFO</vt:lpstr>
      <vt:lpstr>LBx8-C2P</vt:lpstr>
      <vt:lpstr>FM-ACCESS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JZXU</dc:creator>
  <cp:lastModifiedBy>Jingzhe Xu</cp:lastModifiedBy>
  <cp:lastPrinted>2018-07-16T07:17:19Z</cp:lastPrinted>
  <dcterms:created xsi:type="dcterms:W3CDTF">2016-07-27T07:39:59Z</dcterms:created>
  <dcterms:modified xsi:type="dcterms:W3CDTF">2023-06-25T05:29:44Z</dcterms:modified>
</cp:coreProperties>
</file>