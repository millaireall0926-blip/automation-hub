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MBT\hsbi\document\"/>
    </mc:Choice>
  </mc:AlternateContent>
  <xr:revisionPtr revIDLastSave="0" documentId="8_{D7EFF63B-189D-47E9-BC0B-5DD895EE51C7}" xr6:coauthVersionLast="47" xr6:coauthVersionMax="47" xr10:uidLastSave="{00000000-0000-0000-0000-000000000000}"/>
  <bookViews>
    <workbookView xWindow="-28920" yWindow="-120" windowWidth="29040" windowHeight="15720" firstSheet="3" activeTab="9" xr2:uid="{00000000-000D-0000-FFFF-FFFF00000000}"/>
  </bookViews>
  <sheets>
    <sheet name="IP List w Rev.His" sheetId="28" r:id="rId1"/>
    <sheet name="Block Diagram" sheetId="41" r:id="rId2"/>
    <sheet name="Addres Map" sheetId="43" r:id="rId3"/>
    <sheet name="PJT-INFO" sheetId="45" r:id="rId4"/>
    <sheet name="BOARD-ID" sheetId="42" r:id="rId5"/>
    <sheet name="CFGx8-C2X" sheetId="55" r:id="rId6"/>
    <sheet name="LBx8-C2P" sheetId="54" r:id="rId7"/>
    <sheet name="LBx8-C2T" sheetId="56" r:id="rId8"/>
    <sheet name="ADC-AD7606" sheetId="38" r:id="rId9"/>
    <sheet name="DAC-AD5381" sheetId="49" r:id="rId10"/>
    <sheet name="PPS" sheetId="37" r:id="rId11"/>
    <sheet name="CFG-PROM" sheetId="59" r:id="rId12"/>
    <sheet name="PINMAP" sheetId="60" r:id="rId13"/>
    <sheet name="DPS-ADC" sheetId="58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0" l="1"/>
  <c r="G4" i="60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35" i="60"/>
  <c r="G36" i="60"/>
  <c r="G37" i="60"/>
  <c r="G38" i="60"/>
  <c r="G39" i="60"/>
  <c r="G40" i="60"/>
  <c r="G4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64" i="60"/>
  <c r="G65" i="60"/>
  <c r="G66" i="60"/>
  <c r="G67" i="60"/>
  <c r="G68" i="60"/>
  <c r="G69" i="60"/>
  <c r="G70" i="60"/>
  <c r="G71" i="60"/>
  <c r="G72" i="60"/>
  <c r="G73" i="60"/>
  <c r="G74" i="60"/>
  <c r="G75" i="60"/>
  <c r="G76" i="60"/>
  <c r="G77" i="60"/>
  <c r="G78" i="60"/>
  <c r="G79" i="60"/>
  <c r="G80" i="60"/>
  <c r="G81" i="60"/>
  <c r="G82" i="60"/>
  <c r="G83" i="60"/>
  <c r="G84" i="60"/>
  <c r="G85" i="60"/>
  <c r="G86" i="60"/>
  <c r="G87" i="60"/>
  <c r="G88" i="60"/>
  <c r="G89" i="60"/>
  <c r="G90" i="60"/>
  <c r="G91" i="60"/>
  <c r="G92" i="60"/>
  <c r="G93" i="60"/>
  <c r="G94" i="60"/>
  <c r="G95" i="60"/>
  <c r="G96" i="60"/>
  <c r="G97" i="60"/>
  <c r="G98" i="60"/>
  <c r="G99" i="60"/>
  <c r="G100" i="60"/>
  <c r="G101" i="60"/>
  <c r="G102" i="60"/>
  <c r="G103" i="60"/>
  <c r="G104" i="60"/>
  <c r="G105" i="60"/>
  <c r="G106" i="60"/>
  <c r="G107" i="60"/>
  <c r="G108" i="60"/>
  <c r="G109" i="60"/>
  <c r="G110" i="60"/>
  <c r="G111" i="60"/>
  <c r="G112" i="60"/>
  <c r="G113" i="60"/>
  <c r="G114" i="60"/>
  <c r="G115" i="60"/>
  <c r="G116" i="60"/>
  <c r="G117" i="60"/>
  <c r="G118" i="60"/>
  <c r="G119" i="60"/>
  <c r="G120" i="60"/>
  <c r="G121" i="60"/>
  <c r="G122" i="60"/>
  <c r="G123" i="60"/>
  <c r="G124" i="60"/>
  <c r="G125" i="60"/>
  <c r="G126" i="60"/>
  <c r="G127" i="60"/>
  <c r="G128" i="60"/>
  <c r="G129" i="60"/>
  <c r="G130" i="60"/>
  <c r="G131" i="60"/>
  <c r="G132" i="60"/>
  <c r="G133" i="60"/>
  <c r="G134" i="60"/>
  <c r="G135" i="60"/>
  <c r="G136" i="60"/>
  <c r="G137" i="60"/>
  <c r="G138" i="60"/>
  <c r="G139" i="60"/>
  <c r="G140" i="60"/>
  <c r="G141" i="60"/>
  <c r="G142" i="60"/>
  <c r="G143" i="60"/>
  <c r="G144" i="60"/>
  <c r="G145" i="60"/>
  <c r="G146" i="60"/>
  <c r="G147" i="60"/>
  <c r="G148" i="60"/>
  <c r="G149" i="60"/>
  <c r="G150" i="60"/>
  <c r="G151" i="60"/>
  <c r="G152" i="60"/>
  <c r="G153" i="60"/>
  <c r="G154" i="60"/>
  <c r="G155" i="60"/>
  <c r="G156" i="60"/>
  <c r="G157" i="60"/>
  <c r="G158" i="60"/>
  <c r="G159" i="60"/>
  <c r="G160" i="60"/>
  <c r="G161" i="60"/>
  <c r="G162" i="60"/>
  <c r="G163" i="60"/>
  <c r="G164" i="60"/>
  <c r="G165" i="60"/>
  <c r="G166" i="60"/>
  <c r="G167" i="60"/>
  <c r="G168" i="60"/>
  <c r="G169" i="60"/>
  <c r="G170" i="60"/>
  <c r="G171" i="60"/>
  <c r="G172" i="60"/>
  <c r="G173" i="60"/>
  <c r="G174" i="60"/>
  <c r="G175" i="60"/>
  <c r="G176" i="60"/>
  <c r="G177" i="60"/>
  <c r="G178" i="60"/>
  <c r="G179" i="60"/>
  <c r="G180" i="60"/>
  <c r="G181" i="60"/>
  <c r="G182" i="60"/>
  <c r="G183" i="60"/>
  <c r="G184" i="60"/>
  <c r="G185" i="60"/>
  <c r="G186" i="60"/>
  <c r="G187" i="60"/>
  <c r="G188" i="60"/>
  <c r="G189" i="60"/>
  <c r="G190" i="60"/>
  <c r="G191" i="60"/>
  <c r="G192" i="60"/>
  <c r="G193" i="60"/>
  <c r="G194" i="60"/>
  <c r="G195" i="60"/>
  <c r="G196" i="60"/>
  <c r="G197" i="60"/>
  <c r="G198" i="60"/>
  <c r="G199" i="60"/>
  <c r="G200" i="60"/>
  <c r="G201" i="60"/>
  <c r="G202" i="60"/>
  <c r="G203" i="60"/>
  <c r="G204" i="60"/>
  <c r="G205" i="60"/>
  <c r="G206" i="60"/>
  <c r="G207" i="60"/>
  <c r="G208" i="60"/>
  <c r="G209" i="60"/>
  <c r="G210" i="60"/>
  <c r="G211" i="60"/>
  <c r="G212" i="60"/>
  <c r="G213" i="60"/>
  <c r="G214" i="60"/>
  <c r="G215" i="60"/>
  <c r="G216" i="60"/>
  <c r="G217" i="60"/>
  <c r="G218" i="60"/>
  <c r="G219" i="60"/>
  <c r="G220" i="60"/>
  <c r="G221" i="60"/>
  <c r="G222" i="60"/>
  <c r="G223" i="60"/>
  <c r="G224" i="60"/>
  <c r="G225" i="60"/>
  <c r="G226" i="60"/>
  <c r="G227" i="60"/>
  <c r="G228" i="60"/>
  <c r="G229" i="60"/>
  <c r="G230" i="60"/>
  <c r="G231" i="60"/>
  <c r="G232" i="60"/>
  <c r="G233" i="60"/>
  <c r="G234" i="60"/>
  <c r="G235" i="60"/>
  <c r="G236" i="60"/>
  <c r="G237" i="60"/>
  <c r="G238" i="60"/>
  <c r="G239" i="60"/>
  <c r="G240" i="60"/>
  <c r="G241" i="60"/>
  <c r="G242" i="60"/>
  <c r="G243" i="60"/>
  <c r="G244" i="60"/>
  <c r="G245" i="60"/>
  <c r="G246" i="60"/>
  <c r="G247" i="60"/>
  <c r="G248" i="60"/>
  <c r="G249" i="60"/>
  <c r="G250" i="60"/>
  <c r="G251" i="60"/>
  <c r="G252" i="60"/>
  <c r="G253" i="60"/>
  <c r="G254" i="60"/>
  <c r="G255" i="60"/>
  <c r="G256" i="60"/>
  <c r="G257" i="60"/>
  <c r="G258" i="60"/>
  <c r="G259" i="60"/>
  <c r="G260" i="60"/>
  <c r="G261" i="60"/>
  <c r="G262" i="60"/>
  <c r="G263" i="60"/>
  <c r="G264" i="60"/>
  <c r="G265" i="60"/>
  <c r="F3" i="60"/>
  <c r="F4" i="60"/>
  <c r="F5" i="60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56" i="60"/>
  <c r="F57" i="60"/>
  <c r="F58" i="60"/>
  <c r="F59" i="60"/>
  <c r="F60" i="60"/>
  <c r="F61" i="60"/>
  <c r="F62" i="60"/>
  <c r="F63" i="60"/>
  <c r="F64" i="60"/>
  <c r="F65" i="60"/>
  <c r="F66" i="60"/>
  <c r="F67" i="60"/>
  <c r="F68" i="60"/>
  <c r="F69" i="60"/>
  <c r="F70" i="60"/>
  <c r="F71" i="60"/>
  <c r="F72" i="60"/>
  <c r="F73" i="60"/>
  <c r="F74" i="60"/>
  <c r="F75" i="60"/>
  <c r="F76" i="60"/>
  <c r="F77" i="60"/>
  <c r="F78" i="60"/>
  <c r="F79" i="60"/>
  <c r="F80" i="60"/>
  <c r="F81" i="60"/>
  <c r="F82" i="60"/>
  <c r="F83" i="60"/>
  <c r="F84" i="60"/>
  <c r="F85" i="60"/>
  <c r="F86" i="60"/>
  <c r="F87" i="60"/>
  <c r="F88" i="60"/>
  <c r="F89" i="60"/>
  <c r="F90" i="60"/>
  <c r="F91" i="60"/>
  <c r="F92" i="60"/>
  <c r="F93" i="60"/>
  <c r="F94" i="60"/>
  <c r="F95" i="60"/>
  <c r="F96" i="60"/>
  <c r="F97" i="60"/>
  <c r="F98" i="60"/>
  <c r="F99" i="60"/>
  <c r="F100" i="60"/>
  <c r="F101" i="60"/>
  <c r="F102" i="60"/>
  <c r="F103" i="60"/>
  <c r="F104" i="60"/>
  <c r="F105" i="60"/>
  <c r="F106" i="60"/>
  <c r="F107" i="60"/>
  <c r="F108" i="60"/>
  <c r="F109" i="60"/>
  <c r="F110" i="60"/>
  <c r="F111" i="60"/>
  <c r="F112" i="60"/>
  <c r="F113" i="60"/>
  <c r="F114" i="60"/>
  <c r="F115" i="60"/>
  <c r="F116" i="60"/>
  <c r="F117" i="60"/>
  <c r="F118" i="60"/>
  <c r="F119" i="60"/>
  <c r="F120" i="60"/>
  <c r="F121" i="60"/>
  <c r="F122" i="60"/>
  <c r="F123" i="60"/>
  <c r="F124" i="60"/>
  <c r="F125" i="60"/>
  <c r="F126" i="60"/>
  <c r="F127" i="60"/>
  <c r="F128" i="60"/>
  <c r="F129" i="60"/>
  <c r="F130" i="60"/>
  <c r="F131" i="60"/>
  <c r="F132" i="60"/>
  <c r="F133" i="60"/>
  <c r="F134" i="60"/>
  <c r="F135" i="60"/>
  <c r="F136" i="60"/>
  <c r="F137" i="60"/>
  <c r="F138" i="60"/>
  <c r="F139" i="60"/>
  <c r="F140" i="60"/>
  <c r="F141" i="60"/>
  <c r="F142" i="60"/>
  <c r="F143" i="60"/>
  <c r="F144" i="60"/>
  <c r="F145" i="60"/>
  <c r="F146" i="60"/>
  <c r="F147" i="60"/>
  <c r="F148" i="60"/>
  <c r="F149" i="60"/>
  <c r="F150" i="60"/>
  <c r="F151" i="60"/>
  <c r="F152" i="60"/>
  <c r="F153" i="60"/>
  <c r="F154" i="60"/>
  <c r="F155" i="60"/>
  <c r="F156" i="60"/>
  <c r="F157" i="60"/>
  <c r="F158" i="60"/>
  <c r="F159" i="60"/>
  <c r="F160" i="60"/>
  <c r="F161" i="60"/>
  <c r="F162" i="60"/>
  <c r="F163" i="60"/>
  <c r="F164" i="60"/>
  <c r="F165" i="60"/>
  <c r="F166" i="60"/>
  <c r="F167" i="60"/>
  <c r="F168" i="60"/>
  <c r="F169" i="60"/>
  <c r="F170" i="60"/>
  <c r="F171" i="60"/>
  <c r="F172" i="60"/>
  <c r="F173" i="60"/>
  <c r="F174" i="60"/>
  <c r="F175" i="60"/>
  <c r="F176" i="60"/>
  <c r="F177" i="60"/>
  <c r="F178" i="60"/>
  <c r="F179" i="60"/>
  <c r="F180" i="60"/>
  <c r="F181" i="60"/>
  <c r="F182" i="60"/>
  <c r="F183" i="60"/>
  <c r="F184" i="60"/>
  <c r="F185" i="60"/>
  <c r="F186" i="60"/>
  <c r="F187" i="60"/>
  <c r="F188" i="60"/>
  <c r="F189" i="60"/>
  <c r="F190" i="60"/>
  <c r="F191" i="60"/>
  <c r="F192" i="60"/>
  <c r="F193" i="60"/>
  <c r="F194" i="60"/>
  <c r="F195" i="60"/>
  <c r="F196" i="60"/>
  <c r="F197" i="60"/>
  <c r="F198" i="60"/>
  <c r="F199" i="60"/>
  <c r="F200" i="60"/>
  <c r="F201" i="60"/>
  <c r="F202" i="60"/>
  <c r="F203" i="60"/>
  <c r="F204" i="60"/>
  <c r="F205" i="60"/>
  <c r="F206" i="60"/>
  <c r="F207" i="60"/>
  <c r="F208" i="60"/>
  <c r="F209" i="60"/>
  <c r="F210" i="60"/>
  <c r="F211" i="60"/>
  <c r="F212" i="60"/>
  <c r="F213" i="60"/>
  <c r="F214" i="60"/>
  <c r="F215" i="60"/>
  <c r="F216" i="60"/>
  <c r="F217" i="60"/>
  <c r="F218" i="60"/>
  <c r="F219" i="60"/>
  <c r="F220" i="60"/>
  <c r="F221" i="60"/>
  <c r="F222" i="60"/>
  <c r="F223" i="60"/>
  <c r="F224" i="60"/>
  <c r="F225" i="60"/>
  <c r="F226" i="60"/>
  <c r="F227" i="60"/>
  <c r="F228" i="60"/>
  <c r="F229" i="60"/>
  <c r="F230" i="60"/>
  <c r="F231" i="60"/>
  <c r="F232" i="60"/>
  <c r="F233" i="60"/>
  <c r="F234" i="60"/>
  <c r="F235" i="60"/>
  <c r="F236" i="60"/>
  <c r="F237" i="60"/>
  <c r="F238" i="60"/>
  <c r="F239" i="60"/>
  <c r="F240" i="60"/>
  <c r="F241" i="60"/>
  <c r="F242" i="60"/>
  <c r="F243" i="60"/>
  <c r="F244" i="60"/>
  <c r="F245" i="60"/>
  <c r="F246" i="60"/>
  <c r="F247" i="60"/>
  <c r="F248" i="60"/>
  <c r="F249" i="60"/>
  <c r="F250" i="60"/>
  <c r="F251" i="60"/>
  <c r="F252" i="60"/>
  <c r="F253" i="60"/>
  <c r="F254" i="60"/>
  <c r="F255" i="60"/>
  <c r="F256" i="60"/>
  <c r="F257" i="60"/>
  <c r="F258" i="60"/>
  <c r="F259" i="60"/>
  <c r="F260" i="60"/>
  <c r="F261" i="60"/>
  <c r="F262" i="60"/>
  <c r="F263" i="60"/>
  <c r="F264" i="60"/>
  <c r="F265" i="60"/>
  <c r="G2" i="60"/>
  <c r="F2" i="60"/>
  <c r="G10" i="28"/>
  <c r="F10" i="28"/>
  <c r="D10" i="28"/>
  <c r="C10" i="28"/>
  <c r="D24" i="59" l="1"/>
  <c r="D23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8" i="59"/>
  <c r="D7" i="59"/>
  <c r="D6" i="59"/>
  <c r="D5" i="59"/>
  <c r="D4" i="59"/>
  <c r="D3" i="59"/>
  <c r="I2" i="59"/>
  <c r="J2" i="59" s="1"/>
  <c r="K2" i="59" s="1"/>
  <c r="L2" i="59" s="1"/>
  <c r="M2" i="59" s="1"/>
  <c r="N2" i="59" s="1"/>
  <c r="O2" i="59" s="1"/>
  <c r="P2" i="59" s="1"/>
  <c r="Q2" i="59" s="1"/>
  <c r="R2" i="59" s="1"/>
  <c r="S2" i="59" s="1"/>
  <c r="T2" i="59" s="1"/>
  <c r="U2" i="59" s="1"/>
  <c r="V2" i="59" s="1"/>
  <c r="W2" i="59" s="1"/>
  <c r="X2" i="59" s="1"/>
  <c r="Y2" i="59" s="1"/>
  <c r="Z2" i="59" s="1"/>
  <c r="AA2" i="59" s="1"/>
  <c r="AB2" i="59" s="1"/>
  <c r="AC2" i="59" s="1"/>
  <c r="AD2" i="59" s="1"/>
  <c r="AE2" i="59" s="1"/>
  <c r="AF2" i="59" s="1"/>
  <c r="AG2" i="59" s="1"/>
  <c r="AH2" i="59" s="1"/>
  <c r="AI2" i="59" s="1"/>
  <c r="AJ2" i="59" s="1"/>
  <c r="AK2" i="59" s="1"/>
  <c r="AL2" i="59" s="1"/>
  <c r="AM2" i="59" s="1"/>
  <c r="D16" i="42"/>
  <c r="D17" i="42"/>
  <c r="D18" i="42"/>
  <c r="D14" i="42"/>
  <c r="D15" i="42" l="1"/>
  <c r="D19" i="42"/>
  <c r="D20" i="42"/>
  <c r="D21" i="42"/>
  <c r="D22" i="42"/>
  <c r="D14" i="56" l="1"/>
  <c r="D13" i="56"/>
  <c r="D15" i="58" l="1"/>
  <c r="D14" i="58"/>
  <c r="D13" i="58"/>
  <c r="D12" i="58"/>
  <c r="D11" i="58"/>
  <c r="D10" i="58"/>
  <c r="D9" i="58"/>
  <c r="D8" i="58"/>
  <c r="D7" i="58"/>
  <c r="D6" i="58"/>
  <c r="D5" i="58"/>
  <c r="D4" i="58"/>
  <c r="D3" i="58"/>
  <c r="I2" i="58"/>
  <c r="J2" i="58" s="1"/>
  <c r="K2" i="58" s="1"/>
  <c r="L2" i="58" s="1"/>
  <c r="M2" i="58" s="1"/>
  <c r="N2" i="58" s="1"/>
  <c r="O2" i="58" s="1"/>
  <c r="P2" i="58" s="1"/>
  <c r="Q2" i="58" s="1"/>
  <c r="R2" i="58" s="1"/>
  <c r="S2" i="58" s="1"/>
  <c r="T2" i="58" s="1"/>
  <c r="U2" i="58" s="1"/>
  <c r="V2" i="58" s="1"/>
  <c r="W2" i="58" s="1"/>
  <c r="X2" i="58" s="1"/>
  <c r="Y2" i="58" s="1"/>
  <c r="Z2" i="58" s="1"/>
  <c r="AA2" i="58" s="1"/>
  <c r="AB2" i="58" s="1"/>
  <c r="AC2" i="58" s="1"/>
  <c r="AD2" i="58" s="1"/>
  <c r="AE2" i="58" s="1"/>
  <c r="AF2" i="58" s="1"/>
  <c r="AG2" i="58" s="1"/>
  <c r="AH2" i="58" s="1"/>
  <c r="AI2" i="58" s="1"/>
  <c r="AJ2" i="58" s="1"/>
  <c r="AK2" i="58" s="1"/>
  <c r="AL2" i="58" s="1"/>
  <c r="AM2" i="58" s="1"/>
  <c r="D24" i="37"/>
  <c r="D23" i="37"/>
  <c r="D15" i="56"/>
  <c r="D12" i="56"/>
  <c r="D11" i="56"/>
  <c r="D10" i="56"/>
  <c r="D9" i="56"/>
  <c r="D8" i="56"/>
  <c r="D7" i="56"/>
  <c r="D6" i="56"/>
  <c r="D5" i="56"/>
  <c r="D4" i="56"/>
  <c r="D3" i="56"/>
  <c r="I2" i="56"/>
  <c r="J2" i="56" s="1"/>
  <c r="K2" i="56" s="1"/>
  <c r="L2" i="56" s="1"/>
  <c r="M2" i="56" s="1"/>
  <c r="N2" i="56" s="1"/>
  <c r="O2" i="56" s="1"/>
  <c r="P2" i="56" s="1"/>
  <c r="Q2" i="56" s="1"/>
  <c r="R2" i="56" s="1"/>
  <c r="S2" i="56" s="1"/>
  <c r="T2" i="56" s="1"/>
  <c r="U2" i="56" s="1"/>
  <c r="V2" i="56" s="1"/>
  <c r="W2" i="56" s="1"/>
  <c r="X2" i="56" s="1"/>
  <c r="Y2" i="56" s="1"/>
  <c r="Z2" i="56" s="1"/>
  <c r="AA2" i="56" s="1"/>
  <c r="AB2" i="56" s="1"/>
  <c r="AC2" i="56" s="1"/>
  <c r="AD2" i="56" s="1"/>
  <c r="AE2" i="56" s="1"/>
  <c r="AF2" i="56" s="1"/>
  <c r="AG2" i="56" s="1"/>
  <c r="AH2" i="56" s="1"/>
  <c r="AI2" i="56" s="1"/>
  <c r="AJ2" i="56" s="1"/>
  <c r="AK2" i="56" s="1"/>
  <c r="AL2" i="56" s="1"/>
  <c r="AM2" i="56" s="1"/>
  <c r="D11" i="55"/>
  <c r="D12" i="55"/>
  <c r="D13" i="55"/>
  <c r="D15" i="55"/>
  <c r="D14" i="55"/>
  <c r="D10" i="55"/>
  <c r="D9" i="55"/>
  <c r="D8" i="55"/>
  <c r="D7" i="55"/>
  <c r="D6" i="55"/>
  <c r="D5" i="55"/>
  <c r="D4" i="55"/>
  <c r="D3" i="55"/>
  <c r="I2" i="55"/>
  <c r="J2" i="55" s="1"/>
  <c r="K2" i="55" s="1"/>
  <c r="L2" i="55" s="1"/>
  <c r="M2" i="55" s="1"/>
  <c r="N2" i="55" s="1"/>
  <c r="O2" i="55" s="1"/>
  <c r="P2" i="55" s="1"/>
  <c r="Q2" i="55" s="1"/>
  <c r="R2" i="55" s="1"/>
  <c r="S2" i="55" s="1"/>
  <c r="T2" i="55" s="1"/>
  <c r="U2" i="55" s="1"/>
  <c r="V2" i="55" s="1"/>
  <c r="W2" i="55" s="1"/>
  <c r="X2" i="55" s="1"/>
  <c r="Y2" i="55" s="1"/>
  <c r="Z2" i="55" s="1"/>
  <c r="AA2" i="55" s="1"/>
  <c r="AB2" i="55" s="1"/>
  <c r="AC2" i="55" s="1"/>
  <c r="AD2" i="55" s="1"/>
  <c r="AE2" i="55" s="1"/>
  <c r="AF2" i="55" s="1"/>
  <c r="AG2" i="55" s="1"/>
  <c r="AH2" i="55" s="1"/>
  <c r="AI2" i="55" s="1"/>
  <c r="AJ2" i="55" s="1"/>
  <c r="AK2" i="55" s="1"/>
  <c r="AL2" i="55" s="1"/>
  <c r="AM2" i="55" s="1"/>
  <c r="D11" i="54"/>
  <c r="D12" i="54"/>
  <c r="D15" i="54"/>
  <c r="D14" i="54"/>
  <c r="D13" i="54"/>
  <c r="D10" i="54"/>
  <c r="D9" i="54"/>
  <c r="D8" i="54"/>
  <c r="D7" i="54"/>
  <c r="D6" i="54"/>
  <c r="D5" i="54"/>
  <c r="D4" i="54"/>
  <c r="D3" i="54"/>
  <c r="I2" i="54"/>
  <c r="J2" i="54" s="1"/>
  <c r="K2" i="54" s="1"/>
  <c r="L2" i="54" s="1"/>
  <c r="M2" i="54" s="1"/>
  <c r="N2" i="54" s="1"/>
  <c r="O2" i="54" s="1"/>
  <c r="P2" i="54" s="1"/>
  <c r="Q2" i="54" s="1"/>
  <c r="R2" i="54" s="1"/>
  <c r="S2" i="54" s="1"/>
  <c r="T2" i="54" s="1"/>
  <c r="U2" i="54" s="1"/>
  <c r="V2" i="54" s="1"/>
  <c r="W2" i="54" s="1"/>
  <c r="X2" i="54" s="1"/>
  <c r="Y2" i="54" s="1"/>
  <c r="Z2" i="54" s="1"/>
  <c r="AA2" i="54" s="1"/>
  <c r="AB2" i="54" s="1"/>
  <c r="AC2" i="54" s="1"/>
  <c r="AD2" i="54" s="1"/>
  <c r="AE2" i="54" s="1"/>
  <c r="AF2" i="54" s="1"/>
  <c r="AG2" i="54" s="1"/>
  <c r="AH2" i="54" s="1"/>
  <c r="AI2" i="54" s="1"/>
  <c r="AJ2" i="54" s="1"/>
  <c r="AK2" i="54" s="1"/>
  <c r="AL2" i="54" s="1"/>
  <c r="AM2" i="54" s="1"/>
  <c r="C11" i="28" l="1"/>
  <c r="C9" i="28"/>
  <c r="C8" i="28"/>
  <c r="C7" i="28"/>
  <c r="C6" i="28"/>
  <c r="C5" i="28"/>
  <c r="C4" i="28"/>
  <c r="C3" i="28"/>
  <c r="D16" i="37"/>
  <c r="D17" i="37"/>
  <c r="D18" i="37"/>
  <c r="D19" i="37"/>
  <c r="D20" i="37"/>
  <c r="D11" i="37"/>
  <c r="D12" i="37"/>
  <c r="D13" i="37"/>
  <c r="D14" i="37"/>
  <c r="D15" i="37"/>
  <c r="D10" i="37"/>
  <c r="D9" i="37"/>
  <c r="D8" i="37"/>
  <c r="D7" i="37"/>
  <c r="D6" i="37"/>
  <c r="D5" i="37"/>
  <c r="D4" i="37"/>
  <c r="D3" i="37"/>
  <c r="D15" i="49"/>
  <c r="D11" i="49"/>
  <c r="D12" i="49"/>
  <c r="D13" i="49"/>
  <c r="D14" i="49"/>
  <c r="D10" i="49"/>
  <c r="D9" i="49"/>
  <c r="D8" i="49"/>
  <c r="D7" i="49"/>
  <c r="D6" i="49"/>
  <c r="D5" i="49"/>
  <c r="D4" i="49"/>
  <c r="D3" i="49"/>
  <c r="D5" i="38"/>
  <c r="D6" i="38"/>
  <c r="D7" i="38"/>
  <c r="D8" i="38"/>
  <c r="D9" i="38"/>
  <c r="D10" i="38"/>
  <c r="D11" i="38"/>
  <c r="D12" i="38"/>
  <c r="D13" i="38"/>
  <c r="D14" i="38"/>
  <c r="D15" i="38"/>
  <c r="D18" i="38"/>
  <c r="D19" i="38"/>
  <c r="D20" i="38"/>
  <c r="D21" i="38"/>
  <c r="D4" i="38"/>
  <c r="D3" i="38"/>
  <c r="D5" i="42"/>
  <c r="D6" i="42"/>
  <c r="D7" i="42"/>
  <c r="D8" i="42"/>
  <c r="D9" i="42"/>
  <c r="D10" i="42"/>
  <c r="D11" i="42"/>
  <c r="D12" i="42"/>
  <c r="D13" i="42"/>
  <c r="D4" i="42"/>
  <c r="D3" i="42"/>
  <c r="D8" i="45" l="1"/>
  <c r="D9" i="45"/>
  <c r="D10" i="45"/>
  <c r="D5" i="45"/>
  <c r="D6" i="45"/>
  <c r="D7" i="45"/>
  <c r="D4" i="45"/>
  <c r="D3" i="45"/>
  <c r="I2" i="45" l="1"/>
  <c r="J2" i="45" s="1"/>
  <c r="K2" i="45" s="1"/>
  <c r="L2" i="45" s="1"/>
  <c r="M2" i="45" s="1"/>
  <c r="N2" i="45" s="1"/>
  <c r="O2" i="45" s="1"/>
  <c r="P2" i="45" s="1"/>
  <c r="Q2" i="45" s="1"/>
  <c r="R2" i="45" s="1"/>
  <c r="S2" i="45" s="1"/>
  <c r="T2" i="45" s="1"/>
  <c r="U2" i="45" s="1"/>
  <c r="V2" i="45" s="1"/>
  <c r="W2" i="45" s="1"/>
  <c r="X2" i="45" s="1"/>
  <c r="Y2" i="45" s="1"/>
  <c r="Z2" i="45" s="1"/>
  <c r="AA2" i="45" s="1"/>
  <c r="AB2" i="45" s="1"/>
  <c r="AC2" i="45" s="1"/>
  <c r="AD2" i="45" s="1"/>
  <c r="AE2" i="45" s="1"/>
  <c r="AF2" i="45" s="1"/>
  <c r="AG2" i="45" s="1"/>
  <c r="AH2" i="45" s="1"/>
  <c r="AI2" i="45" s="1"/>
  <c r="AJ2" i="45" s="1"/>
  <c r="AK2" i="45" s="1"/>
  <c r="AL2" i="45" s="1"/>
  <c r="AM2" i="45" s="1"/>
  <c r="I2" i="49" l="1"/>
  <c r="J2" i="49" s="1"/>
  <c r="K2" i="49" s="1"/>
  <c r="L2" i="49" s="1"/>
  <c r="M2" i="49" s="1"/>
  <c r="N2" i="49" s="1"/>
  <c r="O2" i="49" s="1"/>
  <c r="P2" i="49" s="1"/>
  <c r="Q2" i="49" s="1"/>
  <c r="R2" i="49" s="1"/>
  <c r="S2" i="49" s="1"/>
  <c r="T2" i="49" s="1"/>
  <c r="U2" i="49" s="1"/>
  <c r="V2" i="49" s="1"/>
  <c r="W2" i="49" s="1"/>
  <c r="X2" i="49" s="1"/>
  <c r="Y2" i="49" s="1"/>
  <c r="Z2" i="49" s="1"/>
  <c r="AA2" i="49" s="1"/>
  <c r="AB2" i="49" s="1"/>
  <c r="AC2" i="49" s="1"/>
  <c r="AD2" i="49" s="1"/>
  <c r="AE2" i="49" s="1"/>
  <c r="AF2" i="49" s="1"/>
  <c r="AG2" i="49" s="1"/>
  <c r="AH2" i="49" s="1"/>
  <c r="AI2" i="49" s="1"/>
  <c r="AJ2" i="49" s="1"/>
  <c r="AK2" i="49" s="1"/>
  <c r="AL2" i="49" s="1"/>
  <c r="AM2" i="49" s="1"/>
  <c r="I2" i="42" l="1"/>
  <c r="J2" i="42" s="1"/>
  <c r="K2" i="42" s="1"/>
  <c r="L2" i="42" s="1"/>
  <c r="M2" i="42" s="1"/>
  <c r="N2" i="42" s="1"/>
  <c r="O2" i="42" s="1"/>
  <c r="P2" i="42" s="1"/>
  <c r="Q2" i="42" s="1"/>
  <c r="R2" i="42" s="1"/>
  <c r="S2" i="42" s="1"/>
  <c r="T2" i="42" s="1"/>
  <c r="U2" i="42" s="1"/>
  <c r="V2" i="42" s="1"/>
  <c r="W2" i="42" s="1"/>
  <c r="X2" i="42" s="1"/>
  <c r="Y2" i="42" s="1"/>
  <c r="Z2" i="42" s="1"/>
  <c r="AA2" i="42" s="1"/>
  <c r="AB2" i="42" s="1"/>
  <c r="AC2" i="42" s="1"/>
  <c r="AD2" i="42" s="1"/>
  <c r="AE2" i="42" s="1"/>
  <c r="AF2" i="42" s="1"/>
  <c r="AG2" i="42" s="1"/>
  <c r="AH2" i="42" s="1"/>
  <c r="AI2" i="42" s="1"/>
  <c r="AJ2" i="42" s="1"/>
  <c r="AK2" i="42" s="1"/>
  <c r="AL2" i="42" s="1"/>
  <c r="AM2" i="42" s="1"/>
  <c r="I2" i="37" l="1"/>
  <c r="J2" i="37" s="1"/>
  <c r="K2" i="37" s="1"/>
  <c r="L2" i="37" s="1"/>
  <c r="M2" i="37" s="1"/>
  <c r="N2" i="37" s="1"/>
  <c r="O2" i="37" s="1"/>
  <c r="P2" i="37" s="1"/>
  <c r="Q2" i="37" s="1"/>
  <c r="R2" i="37" s="1"/>
  <c r="S2" i="37" s="1"/>
  <c r="T2" i="37" s="1"/>
  <c r="U2" i="37" s="1"/>
  <c r="V2" i="37" s="1"/>
  <c r="W2" i="37" s="1"/>
  <c r="X2" i="37" s="1"/>
  <c r="Y2" i="37" s="1"/>
  <c r="Z2" i="37" s="1"/>
  <c r="AA2" i="37" s="1"/>
  <c r="AB2" i="37" s="1"/>
  <c r="AC2" i="37" s="1"/>
  <c r="AD2" i="37" s="1"/>
  <c r="AE2" i="37" s="1"/>
  <c r="AF2" i="37" s="1"/>
  <c r="AG2" i="37" s="1"/>
  <c r="AH2" i="37" s="1"/>
  <c r="AI2" i="37" s="1"/>
  <c r="AJ2" i="37" s="1"/>
  <c r="AK2" i="37" s="1"/>
  <c r="AL2" i="37" s="1"/>
  <c r="AM2" i="37" s="1"/>
  <c r="F11" i="28" l="1"/>
  <c r="G11" i="28" l="1"/>
  <c r="G9" i="28"/>
  <c r="G8" i="28"/>
  <c r="G7" i="28"/>
  <c r="G6" i="28"/>
  <c r="G5" i="28"/>
  <c r="G4" i="28"/>
  <c r="G3" i="28"/>
  <c r="F9" i="28"/>
  <c r="F8" i="28"/>
  <c r="F7" i="28"/>
  <c r="F6" i="28"/>
  <c r="F5" i="28"/>
  <c r="F4" i="28"/>
  <c r="F3" i="28"/>
  <c r="D11" i="28"/>
  <c r="D9" i="28"/>
  <c r="D8" i="28" l="1"/>
  <c r="D7" i="28"/>
  <c r="D6" i="28"/>
  <c r="D3" i="28"/>
  <c r="I2" i="38" l="1"/>
  <c r="J2" i="38" s="1"/>
  <c r="K2" i="38" s="1"/>
  <c r="L2" i="38" s="1"/>
  <c r="M2" i="38" s="1"/>
  <c r="N2" i="38" s="1"/>
  <c r="O2" i="38" s="1"/>
  <c r="P2" i="38" s="1"/>
  <c r="Q2" i="38" s="1"/>
  <c r="R2" i="38" s="1"/>
  <c r="S2" i="38" s="1"/>
  <c r="T2" i="38" s="1"/>
  <c r="U2" i="38" s="1"/>
  <c r="V2" i="38" s="1"/>
  <c r="W2" i="38" s="1"/>
  <c r="X2" i="38" s="1"/>
  <c r="Y2" i="38" s="1"/>
  <c r="Z2" i="38" s="1"/>
  <c r="AA2" i="38" s="1"/>
  <c r="AB2" i="38" s="1"/>
  <c r="AC2" i="38" s="1"/>
  <c r="AD2" i="38" s="1"/>
  <c r="AE2" i="38" s="1"/>
  <c r="AF2" i="38" s="1"/>
  <c r="AG2" i="38" s="1"/>
  <c r="AH2" i="38" s="1"/>
  <c r="AI2" i="38" s="1"/>
  <c r="AJ2" i="38" s="1"/>
  <c r="AK2" i="38" s="1"/>
  <c r="AL2" i="38" s="1"/>
  <c r="AM2" i="38" s="1"/>
  <c r="D5" i="28"/>
  <c r="D4" i="28"/>
</calcChain>
</file>

<file path=xl/sharedStrings.xml><?xml version="1.0" encoding="utf-8"?>
<sst xmlns="http://schemas.openxmlformats.org/spreadsheetml/2006/main" count="2084" uniqueCount="1062">
  <si>
    <t>NAME</t>
    <phoneticPr fontId="6" type="noConversion"/>
  </si>
  <si>
    <t>OFFSET</t>
    <phoneticPr fontId="6" type="noConversion"/>
  </si>
  <si>
    <t>BASE</t>
    <phoneticPr fontId="6" type="noConversion"/>
  </si>
  <si>
    <t>DEVICE</t>
    <phoneticPr fontId="6" type="noConversion"/>
  </si>
  <si>
    <t>RW</t>
    <phoneticPr fontId="6" type="noConversion"/>
  </si>
  <si>
    <t>ADDR[31:0]</t>
  </si>
  <si>
    <t>RO</t>
    <phoneticPr fontId="6" type="noConversion"/>
  </si>
  <si>
    <t>RO</t>
    <phoneticPr fontId="6" type="noConversion"/>
  </si>
  <si>
    <t>REMARK</t>
    <phoneticPr fontId="6" type="noConversion"/>
  </si>
  <si>
    <t>LBx8_MASTER
@ CTRL to PG</t>
    <phoneticPr fontId="6" type="noConversion"/>
  </si>
  <si>
    <t>FPGA</t>
    <phoneticPr fontId="6" type="noConversion"/>
  </si>
  <si>
    <t>IP Name</t>
    <phoneticPr fontId="6" type="noConversion"/>
  </si>
  <si>
    <t>IP Version</t>
    <phoneticPr fontId="6" type="noConversion"/>
  </si>
  <si>
    <t>Description</t>
    <phoneticPr fontId="6" type="noConversion"/>
  </si>
  <si>
    <t xml:space="preserve"> - Init Version</t>
    <phoneticPr fontId="6" type="noConversion"/>
  </si>
  <si>
    <t>IPs @ CTRL</t>
    <phoneticPr fontId="6" type="noConversion"/>
  </si>
  <si>
    <t>OFFSET</t>
    <phoneticPr fontId="6" type="noConversion"/>
  </si>
  <si>
    <t>RW</t>
    <phoneticPr fontId="6" type="noConversion"/>
  </si>
  <si>
    <t>SET</t>
    <phoneticPr fontId="6" type="noConversion"/>
  </si>
  <si>
    <t>RO</t>
    <phoneticPr fontId="6" type="noConversion"/>
  </si>
  <si>
    <t>RO</t>
    <phoneticPr fontId="6" type="noConversion"/>
  </si>
  <si>
    <t>RnW</t>
    <phoneticPr fontId="6" type="noConversion"/>
  </si>
  <si>
    <t>RTL Simulation</t>
    <phoneticPr fontId="6" type="noConversion"/>
  </si>
  <si>
    <t>FPGA Verification</t>
    <phoneticPr fontId="6" type="noConversion"/>
  </si>
  <si>
    <t>Date</t>
    <phoneticPr fontId="6" type="noConversion"/>
  </si>
  <si>
    <t>-</t>
    <phoneticPr fontId="6" type="noConversion"/>
  </si>
  <si>
    <t xml:space="preserve"> Description</t>
    <phoneticPr fontId="6" type="noConversion"/>
  </si>
  <si>
    <t>Remark</t>
    <phoneticPr fontId="6" type="noConversion"/>
  </si>
  <si>
    <t>x</t>
    <phoneticPr fontId="6" type="noConversion"/>
  </si>
  <si>
    <t>STS</t>
    <phoneticPr fontId="6" type="noConversion"/>
  </si>
  <si>
    <t>P</t>
    <phoneticPr fontId="6" type="noConversion"/>
  </si>
  <si>
    <t>IP Update Date</t>
    <phoneticPr fontId="6" type="noConversion"/>
  </si>
  <si>
    <t>Verification Date</t>
    <phoneticPr fontId="6" type="noConversion"/>
  </si>
  <si>
    <t>CLR</t>
    <phoneticPr fontId="6" type="noConversion"/>
  </si>
  <si>
    <t>LAST</t>
    <phoneticPr fontId="6" type="noConversion"/>
  </si>
  <si>
    <t>START</t>
    <phoneticPr fontId="6" type="noConversion"/>
  </si>
  <si>
    <t>PG.3</t>
    <phoneticPr fontId="6" type="noConversion"/>
  </si>
  <si>
    <t>PG.2</t>
    <phoneticPr fontId="6" type="noConversion"/>
  </si>
  <si>
    <t>PG.1</t>
    <phoneticPr fontId="6" type="noConversion"/>
  </si>
  <si>
    <t>PG.0</t>
    <phoneticPr fontId="6" type="noConversion"/>
  </si>
  <si>
    <t>TG.1</t>
    <phoneticPr fontId="6" type="noConversion"/>
  </si>
  <si>
    <t>TG.0</t>
    <phoneticPr fontId="6" type="noConversion"/>
  </si>
  <si>
    <t>D.E</t>
    <phoneticPr fontId="6" type="noConversion"/>
  </si>
  <si>
    <t>EOS</t>
    <phoneticPr fontId="6" type="noConversion"/>
  </si>
  <si>
    <t xml:space="preserve"> Top Design for CTRL FPGA</t>
    <phoneticPr fontId="6" type="noConversion"/>
  </si>
  <si>
    <t>Cell</t>
  </si>
  <si>
    <t>Base Name</t>
  </si>
  <si>
    <t>Offset Address</t>
  </si>
  <si>
    <t>Range</t>
  </si>
  <si>
    <t>High Address</t>
  </si>
  <si>
    <t/>
  </si>
  <si>
    <t>4K</t>
  </si>
  <si>
    <t>Reg</t>
  </si>
  <si>
    <t>64K</t>
  </si>
  <si>
    <t>MAJOR ( DECIMAL )</t>
    <phoneticPr fontId="6" type="noConversion"/>
  </si>
  <si>
    <t>MINOR ( DECIMAL )</t>
    <phoneticPr fontId="6" type="noConversion"/>
  </si>
  <si>
    <t>YEAR ( DECIMAL )</t>
    <phoneticPr fontId="6" type="noConversion"/>
  </si>
  <si>
    <t>DATE ( DECIMAL )</t>
    <phoneticPr fontId="6" type="noConversion"/>
  </si>
  <si>
    <t>INI.S</t>
    <phoneticPr fontId="6" type="noConversion"/>
  </si>
  <si>
    <t>D.S</t>
    <phoneticPr fontId="6" type="noConversion"/>
  </si>
  <si>
    <t>BUSY</t>
    <phoneticPr fontId="6" type="noConversion"/>
  </si>
  <si>
    <t>D.E[6]</t>
    <phoneticPr fontId="6" type="noConversion"/>
  </si>
  <si>
    <t>INI.S[5]</t>
    <phoneticPr fontId="6" type="noConversion"/>
  </si>
  <si>
    <t>D.S[4]</t>
    <phoneticPr fontId="6" type="noConversion"/>
  </si>
  <si>
    <t>EOS[3]</t>
    <phoneticPr fontId="6" type="noConversion"/>
  </si>
  <si>
    <t>BUSY[0]</t>
    <phoneticPr fontId="6" type="noConversion"/>
  </si>
  <si>
    <t>WR</t>
    <phoneticPr fontId="6" type="noConversion"/>
  </si>
  <si>
    <t>RD</t>
    <phoneticPr fontId="6" type="noConversion"/>
  </si>
  <si>
    <t>WC.E</t>
    <phoneticPr fontId="6" type="noConversion"/>
  </si>
  <si>
    <t>WD.E</t>
    <phoneticPr fontId="6" type="noConversion"/>
  </si>
  <si>
    <t>RC.E</t>
    <phoneticPr fontId="6" type="noConversion"/>
  </si>
  <si>
    <t>RD.E</t>
    <phoneticPr fontId="6" type="noConversion"/>
  </si>
  <si>
    <t>WC.E[7]</t>
    <phoneticPr fontId="6" type="noConversion"/>
  </si>
  <si>
    <t>WD.E[6]</t>
    <phoneticPr fontId="6" type="noConversion"/>
  </si>
  <si>
    <t>RC.E[5]</t>
    <phoneticPr fontId="6" type="noConversion"/>
  </si>
  <si>
    <t>RD.E[4]</t>
    <phoneticPr fontId="6" type="noConversion"/>
  </si>
  <si>
    <t>MONTH ( DECIMAL )</t>
    <phoneticPr fontId="6" type="noConversion"/>
  </si>
  <si>
    <t>PJT-INFO</t>
    <phoneticPr fontId="6" type="noConversion"/>
  </si>
  <si>
    <t>RST</t>
    <phoneticPr fontId="6" type="noConversion"/>
  </si>
  <si>
    <t>RW.DATA.0</t>
    <phoneticPr fontId="6" type="noConversion"/>
  </si>
  <si>
    <t>RW.DATA.1</t>
  </si>
  <si>
    <t>RW.DATA.2</t>
  </si>
  <si>
    <t>RW.DATA.3</t>
  </si>
  <si>
    <t>ERR</t>
    <phoneticPr fontId="6" type="noConversion"/>
  </si>
  <si>
    <t>DEVICE</t>
    <phoneticPr fontId="6" type="noConversion"/>
  </si>
  <si>
    <t>BASE</t>
    <phoneticPr fontId="6" type="noConversion"/>
  </si>
  <si>
    <t>OFFSET</t>
    <phoneticPr fontId="6" type="noConversion"/>
  </si>
  <si>
    <t>NAME</t>
    <phoneticPr fontId="6" type="noConversion"/>
  </si>
  <si>
    <t>RW</t>
    <phoneticPr fontId="6" type="noConversion"/>
  </si>
  <si>
    <t>CMD</t>
    <phoneticPr fontId="6" type="noConversion"/>
  </si>
  <si>
    <t>STATUS</t>
    <phoneticPr fontId="6" type="noConversion"/>
  </si>
  <si>
    <t>PJT-INFO
@ CTRL</t>
    <phoneticPr fontId="6" type="noConversion"/>
  </si>
  <si>
    <t>INIT.E</t>
    <phoneticPr fontId="6" type="noConversion"/>
  </si>
  <si>
    <t>INIT.E[7]</t>
    <phoneticPr fontId="6" type="noConversion"/>
  </si>
  <si>
    <t>"CFGx8-C2X"</t>
    <phoneticPr fontId="6" type="noConversion"/>
  </si>
  <si>
    <t>CFGx8-C2X
@ CTRL to TGPG</t>
    <phoneticPr fontId="6" type="noConversion"/>
  </si>
  <si>
    <t>"LBx8-C2P"</t>
    <phoneticPr fontId="6" type="noConversion"/>
  </si>
  <si>
    <t>D.ALL</t>
    <phoneticPr fontId="6" type="noConversion"/>
  </si>
  <si>
    <t>D.PG3</t>
    <phoneticPr fontId="6" type="noConversion"/>
  </si>
  <si>
    <t>D.PG2</t>
    <phoneticPr fontId="6" type="noConversion"/>
  </si>
  <si>
    <t>D.PG1</t>
    <phoneticPr fontId="6" type="noConversion"/>
  </si>
  <si>
    <t>D.PG0</t>
    <phoneticPr fontId="6" type="noConversion"/>
  </si>
  <si>
    <t>D.TG1</t>
    <phoneticPr fontId="6" type="noConversion"/>
  </si>
  <si>
    <t>D.TG0</t>
    <phoneticPr fontId="6" type="noConversion"/>
  </si>
  <si>
    <t>0000_F</t>
    <phoneticPr fontId="6" type="noConversion"/>
  </si>
  <si>
    <t>DUMMY</t>
    <phoneticPr fontId="6" type="noConversion"/>
  </si>
  <si>
    <t>VERSION</t>
    <phoneticPr fontId="6" type="noConversion"/>
  </si>
  <si>
    <t>DATE</t>
    <phoneticPr fontId="6" type="noConversion"/>
  </si>
  <si>
    <t>BOARD-ID
@ CTRL</t>
    <phoneticPr fontId="6" type="noConversion"/>
  </si>
  <si>
    <t>0000_0</t>
    <phoneticPr fontId="6" type="noConversion"/>
  </si>
  <si>
    <t>"BOARD-ID"</t>
    <phoneticPr fontId="6" type="noConversion"/>
  </si>
  <si>
    <t>BIB.ID</t>
    <phoneticPr fontId="6" type="noConversion"/>
  </si>
  <si>
    <t>BIB.INUSE</t>
    <phoneticPr fontId="6" type="noConversion"/>
  </si>
  <si>
    <t>BIB.CW</t>
    <phoneticPr fontId="6" type="noConversion"/>
  </si>
  <si>
    <t>INUSE</t>
    <phoneticPr fontId="6" type="noConversion"/>
  </si>
  <si>
    <t>0000_1</t>
    <phoneticPr fontId="6" type="noConversion"/>
  </si>
  <si>
    <t>SELECT</t>
    <phoneticPr fontId="6" type="noConversion"/>
  </si>
  <si>
    <t>0000_2</t>
    <phoneticPr fontId="6" type="noConversion"/>
  </si>
  <si>
    <t>ADDRESS</t>
    <phoneticPr fontId="6" type="noConversion"/>
  </si>
  <si>
    <t>LATENCY</t>
    <phoneticPr fontId="6" type="noConversion"/>
  </si>
  <si>
    <r>
      <t>READ.LATENCY[</t>
    </r>
    <r>
      <rPr>
        <sz val="11"/>
        <color theme="1"/>
        <rFont val="Malgun Gothic"/>
        <family val="2"/>
        <charset val="129"/>
      </rPr>
      <t>7:0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</si>
  <si>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RST[</t>
    </r>
    <r>
      <rPr>
        <b/>
        <sz val="11"/>
        <color rgb="FF006100"/>
        <rFont val="Malgun Gothic"/>
        <family val="3"/>
        <charset val="129"/>
      </rPr>
      <t>8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</si>
  <si>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DDR</t>
    <phoneticPr fontId="6" type="noConversion"/>
  </si>
  <si>
    <r>
      <t>ADC-AD</t>
    </r>
    <r>
      <rPr>
        <sz val="11"/>
        <color theme="1"/>
        <rFont val="Malgun Gothic"/>
        <family val="2"/>
        <charset val="129"/>
      </rPr>
      <t>7606</t>
    </r>
    <r>
      <rPr>
        <sz val="11"/>
        <color theme="1"/>
        <rFont val="맑은 고딕"/>
        <family val="2"/>
        <charset val="129"/>
        <scheme val="minor"/>
      </rPr>
      <t xml:space="preserve">
@ CTRL</t>
    </r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</si>
  <si>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ADC-AD7606</t>
    </r>
    <r>
      <rPr>
        <sz val="11"/>
        <color theme="1"/>
        <rFont val="맑은 고딕"/>
        <family val="2"/>
        <charset val="129"/>
        <scheme val="minor"/>
      </rPr>
      <t>"</t>
    </r>
    <phoneticPr fontId="6" type="noConversion"/>
  </si>
  <si>
    <t>0000_4</t>
    <phoneticPr fontId="6" type="noConversion"/>
  </si>
  <si>
    <t>SETTLING</t>
    <phoneticPr fontId="6" type="noConversion"/>
  </si>
  <si>
    <t>RANGE</t>
    <phoneticPr fontId="6" type="noConversion"/>
  </si>
  <si>
    <t>OS</t>
    <phoneticPr fontId="6" type="noConversion"/>
  </si>
  <si>
    <t>OS.0[2:0]</t>
    <phoneticPr fontId="6" type="noConversion"/>
  </si>
  <si>
    <t>OS.1[6:4]</t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</si>
  <si>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Malgun Gothic"/>
        <family val="2"/>
        <charset val="129"/>
      </rPr>
      <t>01</t>
    </r>
    <r>
      <rPr>
        <sz val="11"/>
        <color theme="1"/>
        <rFont val="맑은 고딕"/>
        <family val="2"/>
        <charset val="129"/>
        <scheme val="minor"/>
      </rPr>
      <t>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</si>
  <si>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맑은 고딕"/>
        <family val="2"/>
        <charset val="129"/>
        <scheme val="minor"/>
      </rPr>
      <t>_0000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</si>
  <si>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0001</t>
    </r>
    <r>
      <rPr>
        <sz val="11"/>
        <color theme="1"/>
        <rFont val="맑은 고딕"/>
        <family val="2"/>
        <charset val="129"/>
        <scheme val="minor"/>
      </rPr>
      <t>_FFFF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</si>
  <si>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맑은 고딕"/>
        <family val="2"/>
        <charset val="129"/>
        <scheme val="minor"/>
      </rPr>
      <t>_FFFF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</si>
  <si>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0003</t>
    </r>
    <r>
      <rPr>
        <sz val="11"/>
        <color theme="1"/>
        <rFont val="맑은 고딕"/>
        <family val="2"/>
        <charset val="129"/>
        <scheme val="minor"/>
      </rPr>
      <t>_FFFF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</si>
  <si>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0003</t>
    </r>
    <r>
      <rPr>
        <sz val="11"/>
        <color theme="1"/>
        <rFont val="맑은 고딕"/>
        <family val="2"/>
        <charset val="129"/>
        <scheme val="minor"/>
      </rPr>
      <t>_0000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</si>
  <si>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0000</t>
    </r>
    <r>
      <rPr>
        <sz val="11"/>
        <color theme="1"/>
        <rFont val="맑은 고딕"/>
        <family val="2"/>
        <charset val="129"/>
        <scheme val="minor"/>
      </rPr>
      <t>_</t>
    </r>
    <r>
      <rPr>
        <sz val="11"/>
        <color theme="1"/>
        <rFont val="Malgun Gothic"/>
        <family val="2"/>
        <charset val="129"/>
      </rPr>
      <t>F</t>
    </r>
    <r>
      <rPr>
        <sz val="11"/>
        <color theme="1"/>
        <rFont val="맑은 고딕"/>
        <family val="2"/>
        <charset val="129"/>
        <scheme val="minor"/>
      </rPr>
      <t>000</t>
    </r>
    <phoneticPr fontId="6" type="noConversion"/>
  </si>
  <si>
    <r>
      <t>0x</t>
    </r>
    <r>
      <rPr>
        <sz val="11"/>
        <color theme="1"/>
        <rFont val="Malgun Gothic"/>
        <family val="2"/>
        <charset val="129"/>
      </rPr>
      <t>0000_F</t>
    </r>
    <r>
      <rPr>
        <sz val="11"/>
        <color theme="1"/>
        <rFont val="맑은 고딕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</si>
  <si>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4</t>
    </r>
    <r>
      <rPr>
        <sz val="11"/>
        <color theme="1"/>
        <rFont val="맑은 고딕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</si>
  <si>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3</t>
    </r>
    <r>
      <rPr>
        <sz val="11"/>
        <color theme="1"/>
        <rFont val="맑은 고딕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</si>
  <si>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맑은 고딕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</si>
  <si>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맑은 고딕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</si>
  <si>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000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</si>
  <si>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</si>
  <si>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맑은 고딕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</si>
  <si>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맑은 고딕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</si>
  <si>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3</t>
    </r>
    <r>
      <rPr>
        <sz val="11"/>
        <color theme="1"/>
        <rFont val="맑은 고딕"/>
        <family val="2"/>
        <charset val="129"/>
        <scheme val="minor"/>
      </rPr>
      <t>FFF</t>
    </r>
    <phoneticPr fontId="6" type="noConversion"/>
  </si>
  <si>
    <r>
      <t>0x0000_</t>
    </r>
    <r>
      <rPr>
        <sz val="11"/>
        <color theme="1"/>
        <rFont val="Malgun Gothic"/>
        <family val="2"/>
        <charset val="129"/>
      </rPr>
      <t>4</t>
    </r>
    <r>
      <rPr>
        <sz val="11"/>
        <color theme="1"/>
        <rFont val="맑은 고딕"/>
        <family val="2"/>
        <charset val="129"/>
        <scheme val="minor"/>
      </rPr>
      <t>FFF</t>
    </r>
    <phoneticPr fontId="6" type="noConversion"/>
  </si>
  <si>
    <t>DPS.No[23:16]</t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</si>
  <si>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4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</si>
  <si>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5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</si>
  <si>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6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</si>
  <si>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7</t>
    </r>
    <phoneticPr fontId="6" type="noConversion"/>
  </si>
  <si>
    <t>RW.DATA.BUF</t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</si>
  <si>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255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</si>
  <si>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254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</si>
  <si>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253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</si>
  <si>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252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</si>
  <si>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251</t>
    </r>
    <phoneticPr fontId="6" type="noConversion"/>
  </si>
  <si>
    <r>
      <t>RW.DATA.2</t>
    </r>
    <r>
      <rPr>
        <sz val="11"/>
        <color theme="1"/>
        <rFont val="Malgun Gothic"/>
        <family val="2"/>
        <charset val="129"/>
      </rPr>
      <t>50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</si>
  <si>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249</t>
    </r>
    <phoneticPr fontId="6" type="noConversion"/>
  </si>
  <si>
    <r>
      <t>RW.DATA.</t>
    </r>
    <r>
      <rPr>
        <sz val="11"/>
        <color theme="1"/>
        <rFont val="Malgun Gothic"/>
        <family val="2"/>
        <charset val="129"/>
      </rPr>
      <t>248</t>
    </r>
    <phoneticPr fontId="6" type="noConversion"/>
  </si>
  <si>
    <t>ALERT</t>
    <phoneticPr fontId="6" type="noConversion"/>
  </si>
  <si>
    <t>RUN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</si>
  <si>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7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</si>
  <si>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PMBUS.CMD[7:0]</t>
    <phoneticPr fontId="6" type="noConversion"/>
  </si>
  <si>
    <t>BOARD-ID</t>
    <phoneticPr fontId="6" type="noConversion"/>
  </si>
  <si>
    <t>LBx8-C2T</t>
    <phoneticPr fontId="6" type="noConversion"/>
  </si>
  <si>
    <t>LBx8-C2P</t>
    <phoneticPr fontId="6" type="noConversion"/>
  </si>
  <si>
    <t>CFGx8-C2X</t>
    <phoneticPr fontId="6" type="noConversion"/>
  </si>
  <si>
    <t>ADC-AD7606</t>
    <phoneticPr fontId="6" type="noConversion"/>
  </si>
  <si>
    <r>
      <t xml:space="preserve"> </t>
    </r>
    <r>
      <rPr>
        <sz val="11"/>
        <color theme="1"/>
        <rFont val="Malgun Gothic"/>
        <family val="2"/>
        <charset val="129"/>
      </rPr>
      <t xml:space="preserve">x8 </t>
    </r>
    <r>
      <rPr>
        <sz val="11"/>
        <color theme="1"/>
        <rFont val="맑은 고딕"/>
        <family val="2"/>
        <charset val="129"/>
        <scheme val="minor"/>
      </rPr>
      <t xml:space="preserve">Config Logic, CTRL to </t>
    </r>
    <r>
      <rPr>
        <sz val="11"/>
        <color theme="1"/>
        <rFont val="Malgun Gothic"/>
        <family val="2"/>
        <charset val="129"/>
      </rPr>
      <t>TG/PG</t>
    </r>
    <phoneticPr fontId="6" type="noConversion"/>
  </si>
  <si>
    <t xml:space="preserve"> x8 Local Bus, CTRL to PG</t>
    <phoneticPr fontId="6" type="noConversion"/>
  </si>
  <si>
    <r>
      <t xml:space="preserve"> x8 Local Bus, CTRL to </t>
    </r>
    <r>
      <rPr>
        <sz val="11"/>
        <color theme="1"/>
        <rFont val="Malgun Gothic"/>
        <family val="2"/>
        <charset val="129"/>
      </rPr>
      <t>TG</t>
    </r>
    <phoneticPr fontId="6" type="noConversion"/>
  </si>
  <si>
    <r>
      <t xml:space="preserve"> Control Logic for</t>
    </r>
    <r>
      <rPr>
        <sz val="11"/>
        <color theme="1"/>
        <rFont val="Malgun Gothic"/>
        <family val="2"/>
        <charset val="129"/>
      </rPr>
      <t xml:space="preserve"> DPS</t>
    </r>
    <phoneticPr fontId="6" type="noConversion"/>
  </si>
  <si>
    <r>
      <t xml:space="preserve"> Control Logic for</t>
    </r>
    <r>
      <rPr>
        <sz val="11"/>
        <color theme="1"/>
        <rFont val="Malgun Gothic"/>
        <family val="2"/>
        <charset val="129"/>
      </rPr>
      <t xml:space="preserve"> DAC7578</t>
    </r>
    <phoneticPr fontId="6" type="noConversion"/>
  </si>
  <si>
    <r>
      <t xml:space="preserve"> Control Logic for AD</t>
    </r>
    <r>
      <rPr>
        <sz val="11"/>
        <color theme="1"/>
        <rFont val="Malgun Gothic"/>
        <family val="2"/>
        <charset val="129"/>
      </rPr>
      <t>7606</t>
    </r>
    <phoneticPr fontId="6" type="noConversion"/>
  </si>
  <si>
    <t>SET[4]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</si>
  <si>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8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</si>
  <si>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REST[7:0]</t>
    <phoneticPr fontId="6" type="noConversion"/>
  </si>
  <si>
    <r>
      <t xml:space="preserve">LBx8_MASTER
@ CTRL to </t>
    </r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맑은 고딕"/>
        <family val="2"/>
        <charset val="129"/>
        <scheme val="minor"/>
      </rPr>
      <t>G</t>
    </r>
    <phoneticPr fontId="6" type="noConversion"/>
  </si>
  <si>
    <t>0000_3</t>
    <phoneticPr fontId="6" type="noConversion"/>
  </si>
  <si>
    <r>
      <t>"LBx8-C2</t>
    </r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맑은 고딕"/>
        <family val="2"/>
        <charset val="129"/>
        <scheme val="minor"/>
      </rPr>
      <t>"</t>
    </r>
    <phoneticPr fontId="6" type="noConversion"/>
  </si>
  <si>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맑은 고딕"/>
        <family val="2"/>
        <charset val="129"/>
        <scheme val="minor"/>
      </rPr>
      <t>G.0</t>
    </r>
    <phoneticPr fontId="6" type="noConversion"/>
  </si>
  <si>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맑은 고딕"/>
        <family val="2"/>
        <charset val="129"/>
        <scheme val="minor"/>
      </rPr>
      <t>G.1</t>
    </r>
    <phoneticPr fontId="6" type="noConversion"/>
  </si>
  <si>
    <r>
      <t>CFG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C2X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</si>
  <si>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</si>
  <si>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T</t>
    </r>
    <phoneticPr fontId="6" type="noConversion"/>
  </si>
  <si>
    <r>
      <t>ADC</t>
    </r>
    <r>
      <rPr>
        <sz val="11"/>
        <color theme="1"/>
        <rFont val="Malgun Gothic"/>
        <family val="2"/>
        <charset val="129"/>
      </rPr>
      <t>-AD7606</t>
    </r>
    <phoneticPr fontId="6" type="noConversion"/>
  </si>
  <si>
    <r>
      <t>PJT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INFO</t>
    </r>
    <phoneticPr fontId="6" type="noConversion"/>
  </si>
  <si>
    <r>
      <t>CFG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C2X_BUF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</si>
  <si>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r>
      <rPr>
        <sz val="11"/>
        <color theme="1"/>
        <rFont val="맑은 고딕"/>
        <family val="2"/>
        <charset val="129"/>
        <scheme val="minor"/>
      </rPr>
      <t>_BUF</t>
    </r>
    <phoneticPr fontId="6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</si>
  <si>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T</t>
    </r>
    <r>
      <rPr>
        <sz val="11"/>
        <color theme="1"/>
        <rFont val="맑은 고딕"/>
        <family val="2"/>
        <charset val="129"/>
        <scheme val="minor"/>
      </rPr>
      <t>_BUF</t>
    </r>
    <phoneticPr fontId="6" type="noConversion"/>
  </si>
  <si>
    <t xml:space="preserve"> Write PG Register</t>
    <phoneticPr fontId="6" type="noConversion"/>
  </si>
  <si>
    <t xml:space="preserve"> Read PG Register</t>
    <phoneticPr fontId="6" type="noConversion"/>
  </si>
  <si>
    <t>x</t>
    <phoneticPr fontId="24" type="noConversion"/>
  </si>
  <si>
    <r>
      <t>BURST.LENGTH[</t>
    </r>
    <r>
      <rPr>
        <sz val="11"/>
        <color theme="1"/>
        <rFont val="Malgun Gothic"/>
        <family val="2"/>
        <charset val="129"/>
      </rPr>
      <t>15:0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</si>
  <si>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RST[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</si>
  <si>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t>LAST[</t>
    </r>
    <r>
      <rPr>
        <b/>
        <sz val="11"/>
        <color rgb="FF006100"/>
        <rFont val="Malgun Gothic"/>
        <family val="3"/>
        <charset val="129"/>
      </rPr>
      <t>25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</si>
  <si>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t>START[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</si>
  <si>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TG.1~0[17:16]</t>
    <phoneticPr fontId="6" type="noConversion"/>
  </si>
  <si>
    <t>PG.3~0[23:20]</t>
    <phoneticPr fontId="6" type="noConversion"/>
  </si>
  <si>
    <r>
      <rPr>
        <b/>
        <sz val="11"/>
        <color rgb="FF006100"/>
        <rFont val="Malgun Gothic"/>
        <family val="3"/>
        <charset val="129"/>
      </rPr>
      <t>BL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15:0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</si>
  <si>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D.ALL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</si>
  <si>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D.PG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23:20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</si>
  <si>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D.TG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17:16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</si>
  <si>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 xml:space="preserve"> PG FPGA Select bit</t>
    <phoneticPr fontId="6" type="noConversion"/>
  </si>
  <si>
    <t xml:space="preserve"> TG FPGA Select bit</t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</si>
  <si>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INIT_B Signal</t>
    </r>
    <r>
      <rPr>
        <sz val="11"/>
        <color theme="1"/>
        <rFont val="Malgun Gothic"/>
        <family val="2"/>
        <charset val="129"/>
      </rPr>
      <t xml:space="preserve"> of selected FPGA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</si>
  <si>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DONE Signal</t>
    </r>
    <r>
      <rPr>
        <sz val="11"/>
        <color theme="1"/>
        <rFont val="Malgun Gothic"/>
        <family val="2"/>
        <charset val="129"/>
      </rPr>
      <t xml:space="preserve"> of selected FPGA</t>
    </r>
    <phoneticPr fontId="6" type="noConversion"/>
  </si>
  <si>
    <t xml:space="preserve"> And of all FPGA done signal</t>
    <phoneticPr fontId="6" type="noConversion"/>
  </si>
  <si>
    <t xml:space="preserve"> Each PG FPGA done signal</t>
    <phoneticPr fontId="6" type="noConversion"/>
  </si>
  <si>
    <t xml:space="preserve"> Each TG FPGA done signal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</si>
  <si>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[ 0x0000_1_020 ]</t>
    </r>
    <phoneticPr fontId="6" type="noConversion"/>
  </si>
  <si>
    <t xml:space="preserve"> STATUS [ 0x0000_1_030 ]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</si>
  <si>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[ 0x0000_2_024 ]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</si>
  <si>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25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</si>
  <si>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RD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</si>
  <si>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PG.3~0[19:16]</t>
    <phoneticPr fontId="6" type="noConversion"/>
  </si>
  <si>
    <t xml:space="preserve"> LATENCY [ 0x0000_2_02C ]</t>
    <phoneticPr fontId="6" type="noConversion"/>
  </si>
  <si>
    <r>
      <rPr>
        <b/>
        <sz val="11"/>
        <color rgb="FF006100"/>
        <rFont val="Malgun Gothic"/>
        <family val="3"/>
        <charset val="129"/>
      </rPr>
      <t>RL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7:0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</si>
  <si>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 xml:space="preserve"> LB write command error</t>
    <phoneticPr fontId="6" type="noConversion"/>
  </si>
  <si>
    <t xml:space="preserve"> LB read command error</t>
    <phoneticPr fontId="6" type="noConversion"/>
  </si>
  <si>
    <t xml:space="preserve"> LB write data CRC error</t>
    <phoneticPr fontId="6" type="noConversion"/>
  </si>
  <si>
    <t xml:space="preserve"> LB read data CRC error</t>
    <phoneticPr fontId="6" type="noConversion"/>
  </si>
  <si>
    <t>ADDR</t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</si>
  <si>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PG_# 32-bit Address, 4GB range</t>
    </r>
    <phoneticPr fontId="24" type="noConversion"/>
  </si>
  <si>
    <t xml:space="preserve"> ADDRESS [ 0x0000_2_020 ]</t>
    <phoneticPr fontId="6" type="noConversion"/>
  </si>
  <si>
    <r>
      <rPr>
        <sz val="11"/>
        <color theme="1"/>
        <rFont val="Malgun Gothic"/>
        <family val="2"/>
        <charset val="129"/>
      </rPr>
      <t xml:space="preserve"> T</t>
    </r>
    <r>
      <rPr>
        <sz val="11"/>
        <color theme="1"/>
        <rFont val="맑은 고딕"/>
        <family val="2"/>
        <charset val="129"/>
        <scheme val="minor"/>
      </rPr>
      <t>G_# 32-bit Address, 4GB range</t>
    </r>
    <phoneticPr fontId="24" type="noConversion"/>
  </si>
  <si>
    <t xml:space="preserve"> ADDRESS [ 0x0000_3_020 ]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</si>
  <si>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[ 0x0000_3_024 ]</t>
    </r>
    <phoneticPr fontId="6" type="noConversion"/>
  </si>
  <si>
    <t xml:space="preserve"> LATENCY [ 0x0000_3_02C ]</t>
    <phoneticPr fontId="6" type="noConversion"/>
  </si>
  <si>
    <t xml:space="preserve"> STATUS [ 0x0000_3_030 ]</t>
    <phoneticPr fontId="6" type="noConversion"/>
  </si>
  <si>
    <t xml:space="preserve"> STATUS [ 0x0000_2_030 ]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</si>
  <si>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BIB.</t>
    </r>
    <r>
      <rPr>
        <b/>
        <sz val="11"/>
        <color rgb="FF9C6500"/>
        <rFont val="Malgun Gothic"/>
        <family val="3"/>
        <charset val="129"/>
      </rPr>
      <t>INUSE</t>
    </r>
    <r>
      <rPr>
        <b/>
        <sz val="11"/>
        <color rgb="FF9C6500"/>
        <rFont val="맑은 고딕"/>
        <family val="3"/>
        <charset val="129"/>
        <scheme val="minor"/>
      </rPr>
      <t xml:space="preserve">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_02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 xml:space="preserve"> ]</t>
    </r>
    <phoneticPr fontId="6" type="noConversion"/>
  </si>
  <si>
    <t xml:space="preserve"> Active high, read-only INUSE pin.
 INUSE = 1 indicates BIB is inserted.</t>
    <phoneticPr fontId="6" type="noConversion"/>
  </si>
  <si>
    <t xml:space="preserve"> Byte size of transfer data.
 0 means 1-Byte, max 64KB</t>
    <phoneticPr fontId="6" type="noConversion"/>
  </si>
  <si>
    <r>
      <rPr>
        <sz val="11"/>
        <color theme="1"/>
        <rFont val="Malgun Gothic"/>
        <family val="2"/>
        <charset val="129"/>
      </rPr>
      <t xml:space="preserve"> 1 i</t>
    </r>
    <r>
      <rPr>
        <sz val="11"/>
        <color theme="1"/>
        <rFont val="맑은 고딕"/>
        <family val="2"/>
        <charset val="129"/>
        <scheme val="minor"/>
      </rPr>
      <t>ndicate</t>
    </r>
    <r>
      <rPr>
        <sz val="11"/>
        <color theme="1"/>
        <rFont val="Malgun Gothic"/>
        <family val="2"/>
        <charset val="129"/>
      </rPr>
      <t>s</t>
    </r>
    <r>
      <rPr>
        <sz val="11"/>
        <color theme="1"/>
        <rFont val="맑은 고딕"/>
        <family val="2"/>
        <charset val="129"/>
        <scheme val="minor"/>
      </rPr>
      <t xml:space="preserve"> that the IP is BUSY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</si>
  <si>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Set as PG Register Read Latency</t>
    </r>
    <r>
      <rPr>
        <sz val="11"/>
        <color theme="1"/>
        <rFont val="Malgun Gothic"/>
        <family val="2"/>
        <charset val="129"/>
      </rPr>
      <t>.</t>
    </r>
    <phoneticPr fontId="6" type="noConversion"/>
  </si>
  <si>
    <t xml:space="preserve"> ADC No. ( 0 or 1 )</t>
    <phoneticPr fontId="6" type="noConversion"/>
  </si>
  <si>
    <t>SELECT[7:6]</t>
    <phoneticPr fontId="6" type="noConversion"/>
  </si>
  <si>
    <t>CLR[5]</t>
    <phoneticPr fontId="6" type="noConversion"/>
  </si>
  <si>
    <t xml:space="preserve"> STATUS [ 0x0000_4_030 ]</t>
    <phoneticPr fontId="6" type="noConversion"/>
  </si>
  <si>
    <t xml:space="preserve"> Same w/ CMD[7:0]</t>
    <phoneticPr fontId="6" type="noConversion"/>
  </si>
  <si>
    <t xml:space="preserve"> SETTLING [ 0x0000_4_024 ]</t>
    <phoneticPr fontId="6" type="noConversion"/>
  </si>
  <si>
    <t xml:space="preserve"> Settling time before ADC conversion, 10ns/LSB</t>
    <phoneticPr fontId="6" type="noConversion"/>
  </si>
  <si>
    <t xml:space="preserve"> RANGE [ 0x0000_4_028 ]</t>
    <phoneticPr fontId="6" type="noConversion"/>
  </si>
  <si>
    <r>
      <t>SETTLING</t>
    </r>
    <r>
      <rPr>
        <sz val="11"/>
        <color theme="1"/>
        <rFont val="Malgun Gothic"/>
        <family val="2"/>
        <charset val="129"/>
      </rPr>
      <t>.</t>
    </r>
    <r>
      <rPr>
        <sz val="11"/>
        <color theme="1"/>
        <rFont val="맑은 고딕"/>
        <family val="2"/>
        <charset val="129"/>
        <scheme val="minor"/>
      </rPr>
      <t>TIME[31:0]</t>
    </r>
    <phoneticPr fontId="6" type="noConversion"/>
  </si>
  <si>
    <t xml:space="preserve"> Default 0, ADC_1 : +/- 5V Range</t>
    <phoneticPr fontId="6" type="noConversion"/>
  </si>
  <si>
    <t xml:space="preserve"> for ADC_1 : +/- 10V Range, set as 1</t>
    <phoneticPr fontId="6" type="noConversion"/>
  </si>
  <si>
    <t xml:space="preserve"> Default 0, ADC_0 : +/- 5V Range</t>
    <phoneticPr fontId="6" type="noConversion"/>
  </si>
  <si>
    <t xml:space="preserve"> for ADC_0 : +/- 10V Range, set as 1</t>
    <phoneticPr fontId="6" type="noConversion"/>
  </si>
  <si>
    <t xml:space="preserve"> OS [ 0x0000_4_02C ]</t>
    <phoneticPr fontId="6" type="noConversion"/>
  </si>
  <si>
    <t>R.1</t>
    <phoneticPr fontId="6" type="noConversion"/>
  </si>
  <si>
    <t>R.0</t>
    <phoneticPr fontId="6" type="noConversion"/>
  </si>
  <si>
    <t>R.1[1]</t>
    <phoneticPr fontId="6" type="noConversion"/>
  </si>
  <si>
    <t>R.0[0]</t>
    <phoneticPr fontId="6" type="noConversion"/>
  </si>
  <si>
    <t xml:space="preserve"> Default 0, OS for ADC_1</t>
    <phoneticPr fontId="6" type="noConversion"/>
  </si>
  <si>
    <t xml:space="preserve"> Default 0, OS for ADC_0</t>
    <phoneticPr fontId="6" type="noConversion"/>
  </si>
  <si>
    <r>
      <rPr>
        <b/>
        <sz val="11"/>
        <color rgb="FF006100"/>
        <rFont val="Malgun Gothic"/>
        <family val="3"/>
        <charset val="129"/>
      </rPr>
      <t>SET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</si>
  <si>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RST[30]</t>
    <phoneticPr fontId="6" type="noConversion"/>
  </si>
  <si>
    <t xml:space="preserve"> 1 for DAC Read, 0 for DAC Write</t>
    <phoneticPr fontId="6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</si>
  <si>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</si>
  <si>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RD[30]</t>
    <phoneticPr fontId="6" type="noConversion"/>
  </si>
  <si>
    <t>DPS.No</t>
    <phoneticPr fontId="6" type="noConversion"/>
  </si>
  <si>
    <t>BURST.LENGTH[15:8]</t>
    <phoneticPr fontId="6" type="noConversion"/>
  </si>
  <si>
    <t>BL[15:8]</t>
    <phoneticPr fontId="6" type="noConversion"/>
  </si>
  <si>
    <t xml:space="preserve"> DPS read/write byte count</t>
    <phoneticPr fontId="6" type="noConversion"/>
  </si>
  <si>
    <t xml:space="preserve"> 0 means 1-Byte, max 256-Byte</t>
    <phoneticPr fontId="6" type="noConversion"/>
  </si>
  <si>
    <t>PMBUS.CMD</t>
    <phoneticPr fontId="6" type="noConversion"/>
  </si>
  <si>
    <t xml:space="preserve"> 8-bit PMBUS command for DPS</t>
    <phoneticPr fontId="6" type="noConversion"/>
  </si>
  <si>
    <t xml:space="preserve"> Active high</t>
    <phoneticPr fontId="6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</si>
  <si>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RW.DATA_0 ~ 255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</si>
  <si>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ERR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</si>
  <si>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indicates </t>
    </r>
    <r>
      <rPr>
        <sz val="11"/>
        <color theme="1"/>
        <rFont val="맑은 고딕"/>
        <family val="2"/>
        <charset val="129"/>
        <scheme val="minor"/>
      </rPr>
      <t>I2C COM/ALERT/FAULT Error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</si>
  <si>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1 i</t>
    </r>
    <r>
      <rPr>
        <sz val="11"/>
        <color theme="1"/>
        <rFont val="맑은 고딕"/>
        <family val="2"/>
        <charset val="129"/>
        <scheme val="minor"/>
      </rPr>
      <t>ndicate</t>
    </r>
    <r>
      <rPr>
        <sz val="11"/>
        <color theme="1"/>
        <rFont val="Malgun Gothic"/>
        <family val="2"/>
        <charset val="129"/>
      </rPr>
      <t>s</t>
    </r>
    <r>
      <rPr>
        <sz val="11"/>
        <color theme="1"/>
        <rFont val="맑은 고딕"/>
        <family val="2"/>
        <charset val="129"/>
        <scheme val="minor"/>
      </rPr>
      <t xml:space="preserve"> the </t>
    </r>
    <r>
      <rPr>
        <sz val="11"/>
        <color theme="1"/>
        <rFont val="Malgun Gothic"/>
        <family val="2"/>
        <charset val="129"/>
      </rPr>
      <t>e</t>
    </r>
    <r>
      <rPr>
        <sz val="11"/>
        <color theme="1"/>
        <rFont val="맑은 고딕"/>
        <family val="2"/>
        <charset val="129"/>
        <scheme val="minor"/>
      </rPr>
      <t xml:space="preserve">nd of </t>
    </r>
    <r>
      <rPr>
        <sz val="11"/>
        <color theme="1"/>
        <rFont val="Malgun Gothic"/>
        <family val="2"/>
        <charset val="129"/>
      </rPr>
      <t>operation</t>
    </r>
    <phoneticPr fontId="6" type="noConversion"/>
  </si>
  <si>
    <t xml:space="preserve"> 1 indicates the end of operation</t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</si>
  <si>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r</t>
    </r>
    <r>
      <rPr>
        <sz val="11"/>
        <color theme="1"/>
        <rFont val="맑은 고딕"/>
        <family val="2"/>
        <charset val="129"/>
        <scheme val="minor"/>
      </rPr>
      <t xml:space="preserve">eset the </t>
    </r>
    <r>
      <rPr>
        <sz val="11"/>
        <color theme="1"/>
        <rFont val="Malgun Gothic"/>
        <family val="2"/>
        <charset val="129"/>
      </rPr>
      <t xml:space="preserve">Logic </t>
    </r>
    <r>
      <rPr>
        <sz val="11"/>
        <color theme="1"/>
        <rFont val="맑은 고딕"/>
        <family val="2"/>
        <charset val="129"/>
        <scheme val="minor"/>
      </rPr>
      <t>IP</t>
    </r>
    <phoneticPr fontId="6" type="noConversion"/>
  </si>
  <si>
    <t xml:space="preserve"> Active high, reset the Logic IP</t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</si>
  <si>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 xml:space="preserve">the </t>
    </r>
    <r>
      <rPr>
        <sz val="11"/>
        <color theme="1"/>
        <rFont val="맑은 고딕"/>
        <family val="2"/>
        <charset val="129"/>
        <scheme val="minor"/>
      </rPr>
      <t>Last Frame of Bitstream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</si>
  <si>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>the Frame of</t>
    </r>
    <r>
      <rPr>
        <sz val="11"/>
        <color theme="1"/>
        <rFont val="맑은 고딕"/>
        <family val="2"/>
        <charset val="129"/>
        <scheme val="minor"/>
      </rPr>
      <t xml:space="preserve"> Bitstream</t>
    </r>
    <r>
      <rPr>
        <sz val="11"/>
        <color theme="1"/>
        <rFont val="Malgun Gothic"/>
        <family val="2"/>
        <charset val="129"/>
      </rPr>
      <t>, 
 except of Last Frame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</si>
  <si>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</t>
    </r>
    <r>
      <rPr>
        <sz val="11"/>
        <color theme="1"/>
        <rFont val="맑은 고딕"/>
        <family val="2"/>
        <charset val="129"/>
        <scheme val="minor"/>
      </rPr>
      <t>INIT_B Error</t>
    </r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</si>
  <si>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</t>
    </r>
    <r>
      <rPr>
        <sz val="11"/>
        <color theme="1"/>
        <rFont val="맑은 고딕"/>
        <family val="2"/>
        <charset val="129"/>
        <scheme val="minor"/>
      </rPr>
      <t>Done Error</t>
    </r>
    <phoneticPr fontId="6" type="noConversion"/>
  </si>
  <si>
    <t xml:space="preserve"> Active high, do write operation</t>
    <phoneticPr fontId="6" type="noConversion"/>
  </si>
  <si>
    <t xml:space="preserve"> Active high, do read operation</t>
    <phoneticPr fontId="6" type="noConversion"/>
  </si>
  <si>
    <t xml:space="preserve"> Active high, ADC clear operation</t>
    <phoneticPr fontId="6" type="noConversion"/>
  </si>
  <si>
    <t xml:space="preserve"> Active high, do conversion operation</t>
    <phoneticPr fontId="6" type="noConversion"/>
  </si>
  <si>
    <t xml:space="preserve"> Active high, DPS write operation</t>
    <phoneticPr fontId="6" type="noConversion"/>
  </si>
  <si>
    <t xml:space="preserve"> Active high, DPS read operation</t>
    <phoneticPr fontId="6" type="noConversion"/>
  </si>
  <si>
    <t>MSB[27:26]</t>
    <phoneticPr fontId="6" type="noConversion"/>
  </si>
  <si>
    <r>
      <t xml:space="preserve"> Read SODIMM w/ 0x</t>
    </r>
    <r>
      <rPr>
        <sz val="11"/>
        <color rgb="FF3F3F76"/>
        <rFont val="Malgun Gothic"/>
        <family val="2"/>
        <charset val="129"/>
      </rPr>
      <t>1</t>
    </r>
    <r>
      <rPr>
        <sz val="11"/>
        <color rgb="FF3F3F76"/>
        <rFont val="맑은 고딕"/>
        <family val="2"/>
        <charset val="134"/>
        <scheme val="minor"/>
      </rPr>
      <t>_0000_0000 ~ 0x</t>
    </r>
    <r>
      <rPr>
        <sz val="11"/>
        <color rgb="FF3F3F76"/>
        <rFont val="Malgun Gothic"/>
        <family val="2"/>
        <charset val="129"/>
      </rPr>
      <t>1</t>
    </r>
    <r>
      <rPr>
        <sz val="11"/>
        <color rgb="FF3F3F76"/>
        <rFont val="맑은 고딕"/>
        <family val="2"/>
        <charset val="134"/>
        <scheme val="minor"/>
      </rPr>
      <t>_FFFF_FFFF</t>
    </r>
    <phoneticPr fontId="6" type="noConversion"/>
  </si>
  <si>
    <r>
      <t xml:space="preserve"> Write SODIMM w/ 0x</t>
    </r>
    <r>
      <rPr>
        <sz val="11"/>
        <color rgb="FF3F3F76"/>
        <rFont val="Malgun Gothic"/>
        <family val="2"/>
        <charset val="129"/>
      </rPr>
      <t>2</t>
    </r>
    <r>
      <rPr>
        <sz val="11"/>
        <color rgb="FF3F3F76"/>
        <rFont val="맑은 고딕"/>
        <family val="2"/>
        <charset val="134"/>
        <scheme val="minor"/>
      </rPr>
      <t>_0000_0000 ~ 0x</t>
    </r>
    <r>
      <rPr>
        <sz val="11"/>
        <color rgb="FF3F3F76"/>
        <rFont val="Malgun Gothic"/>
        <family val="2"/>
        <charset val="129"/>
      </rPr>
      <t>2</t>
    </r>
    <r>
      <rPr>
        <sz val="11"/>
        <color rgb="FF3F3F76"/>
        <rFont val="맑은 고딕"/>
        <family val="2"/>
        <charset val="134"/>
        <scheme val="minor"/>
      </rPr>
      <t>_FFFF_FFFF</t>
    </r>
    <phoneticPr fontId="6" type="noConversion"/>
  </si>
  <si>
    <r>
      <t xml:space="preserve"> Write SODIMM w/ 0x0_0000_0000 ~ 0x0_FFFF_FFFF, lowe</t>
    </r>
    <r>
      <rPr>
        <sz val="11"/>
        <color rgb="FF3F3F76"/>
        <rFont val="Malgun Gothic"/>
        <family val="2"/>
        <charset val="129"/>
      </rPr>
      <t>st</t>
    </r>
    <r>
      <rPr>
        <sz val="11"/>
        <color rgb="FF3F3F76"/>
        <rFont val="맑은 고딕"/>
        <family val="2"/>
        <charset val="134"/>
        <scheme val="minor"/>
      </rPr>
      <t xml:space="preserve"> 4GB</t>
    </r>
    <r>
      <rPr>
        <sz val="11"/>
        <color rgb="FF3F3F76"/>
        <rFont val="Malgun Gothic"/>
        <family val="2"/>
        <charset val="129"/>
      </rPr>
      <t xml:space="preserve"> / 16GB</t>
    </r>
    <phoneticPr fontId="6" type="noConversion"/>
  </si>
  <si>
    <r>
      <t xml:space="preserve"> Read SODIMM w/ 0x</t>
    </r>
    <r>
      <rPr>
        <sz val="11"/>
        <color rgb="FF3F3F76"/>
        <rFont val="Malgun Gothic"/>
        <family val="2"/>
        <charset val="129"/>
      </rPr>
      <t>3</t>
    </r>
    <r>
      <rPr>
        <sz val="11"/>
        <color rgb="FF3F3F76"/>
        <rFont val="맑은 고딕"/>
        <family val="2"/>
        <charset val="134"/>
        <scheme val="minor"/>
      </rPr>
      <t>_0000_0000 ~ 0x</t>
    </r>
    <r>
      <rPr>
        <sz val="11"/>
        <color rgb="FF3F3F76"/>
        <rFont val="Malgun Gothic"/>
        <family val="2"/>
        <charset val="129"/>
      </rPr>
      <t>3</t>
    </r>
    <r>
      <rPr>
        <sz val="11"/>
        <color rgb="FF3F3F76"/>
        <rFont val="맑은 고딕"/>
        <family val="2"/>
        <charset val="134"/>
        <scheme val="minor"/>
      </rPr>
      <t>_FFFF_FFFF, uppe</t>
    </r>
    <r>
      <rPr>
        <sz val="11"/>
        <color rgb="FF3F3F76"/>
        <rFont val="Malgun Gothic"/>
        <family val="2"/>
        <charset val="129"/>
      </rPr>
      <t>st</t>
    </r>
    <r>
      <rPr>
        <sz val="11"/>
        <color rgb="FF3F3F76"/>
        <rFont val="맑은 고딕"/>
        <family val="2"/>
        <charset val="134"/>
        <scheme val="minor"/>
      </rPr>
      <t xml:space="preserve"> 4GB / 16GB</t>
    </r>
    <phoneticPr fontId="6" type="noConversion"/>
  </si>
  <si>
    <t>DDR.MSB</t>
    <phoneticPr fontId="6" type="noConversion"/>
  </si>
  <si>
    <t xml:space="preserve"> For 16GB SODIMM access</t>
    <phoneticPr fontId="6" type="noConversion"/>
  </si>
  <si>
    <t xml:space="preserve"> Byte size of transfer data.
 0 means 1-Byte, max 63KB</t>
    <phoneticPr fontId="6" type="noConversion"/>
  </si>
  <si>
    <t>PG.1.STATUS</t>
    <phoneticPr fontId="24" type="noConversion"/>
  </si>
  <si>
    <t>PG.3.STATUS</t>
    <phoneticPr fontId="24" type="noConversion"/>
  </si>
  <si>
    <t>PG.2.STATUS</t>
    <phoneticPr fontId="24" type="noConversion"/>
  </si>
  <si>
    <t>TG.1.STATUS</t>
    <phoneticPr fontId="24" type="noConversion"/>
  </si>
  <si>
    <r>
      <t xml:space="preserve"> Default, RL = </t>
    </r>
    <r>
      <rPr>
        <sz val="11"/>
        <color rgb="FF9C0006"/>
        <rFont val="Malgun Gothic"/>
        <family val="2"/>
        <charset val="129"/>
      </rPr>
      <t>0</t>
    </r>
    <phoneticPr fontId="24" type="noConversion"/>
  </si>
  <si>
    <t>MUX_ADC</t>
    <phoneticPr fontId="6" type="noConversion"/>
  </si>
  <si>
    <t>MUX_ADC1</t>
    <phoneticPr fontId="6" type="noConversion"/>
  </si>
  <si>
    <t>MUX_ADC3</t>
    <phoneticPr fontId="6" type="noConversion"/>
  </si>
  <si>
    <t>MUX_ADC5</t>
    <phoneticPr fontId="6" type="noConversion"/>
  </si>
  <si>
    <t>MUX_ADC7</t>
    <phoneticPr fontId="6" type="noConversion"/>
  </si>
  <si>
    <r>
      <t>MU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_ADC0</t>
    </r>
    <phoneticPr fontId="6" type="noConversion"/>
  </si>
  <si>
    <t>MUX_ADC2</t>
    <phoneticPr fontId="6" type="noConversion"/>
  </si>
  <si>
    <t>MUX_ADC4</t>
    <phoneticPr fontId="6" type="noConversion"/>
  </si>
  <si>
    <t>MUX_ADC6</t>
    <phoneticPr fontId="6" type="noConversion"/>
  </si>
  <si>
    <t xml:space="preserve"> CMD [ 0x0000_4_020 ]</t>
    <phoneticPr fontId="6" type="noConversion"/>
  </si>
  <si>
    <t>SCAN</t>
    <phoneticPr fontId="6" type="noConversion"/>
  </si>
  <si>
    <r>
      <t>ADDR[</t>
    </r>
    <r>
      <rPr>
        <sz val="11"/>
        <color theme="1"/>
        <rFont val="Malgun Gothic"/>
        <family val="2"/>
        <charset val="129"/>
      </rPr>
      <t>19:16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</si>
  <si>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t>RnW[24]</t>
    <phoneticPr fontId="6" type="noConversion"/>
  </si>
  <si>
    <t>ADR[19:16]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</si>
  <si>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</si>
  <si>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t>E</t>
    </r>
    <r>
      <rPr>
        <b/>
        <sz val="11"/>
        <color rgb="FF006100"/>
        <rFont val="Malgun Gothic"/>
        <family val="3"/>
        <charset val="129"/>
      </rPr>
      <t>RR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</si>
  <si>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 xml:space="preserve">  Active high, indicates I2C Error</t>
    <phoneticPr fontId="6" type="noConversion"/>
  </si>
  <si>
    <t>REST[23:16]</t>
    <phoneticPr fontId="6" type="noConversion"/>
  </si>
  <si>
    <t xml:space="preserve"> Same w/ CMD[23:16]</t>
    <phoneticPr fontId="6" type="noConversion"/>
  </si>
  <si>
    <t>BAR2 ( pcie_xdma_bypass : base [ 0xC000_0000 ] )</t>
    <phoneticPr fontId="6" type="noConversion"/>
  </si>
  <si>
    <r>
      <rPr>
        <sz val="11"/>
        <color theme="1"/>
        <rFont val="맑은 고딕"/>
        <family val="2"/>
        <charset val="129"/>
      </rPr>
      <t>DPS-ADC</t>
    </r>
    <r>
      <rPr>
        <sz val="11"/>
        <color theme="1"/>
        <rFont val="맑은 고딕"/>
        <family val="2"/>
        <charset val="129"/>
        <scheme val="minor"/>
      </rPr>
      <t xml:space="preserve">
@ CTRL</t>
    </r>
    <phoneticPr fontId="6" type="noConversion"/>
  </si>
  <si>
    <t>0000_8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</si>
  <si>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[ 0x0000_8_020 ]</t>
    </r>
    <phoneticPr fontId="6" type="noConversion"/>
  </si>
  <si>
    <t xml:space="preserve"> STATUS [ 0x0000_8_030 ]</t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</si>
  <si>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ADC-SGM58031</t>
    </r>
    <r>
      <rPr>
        <sz val="11"/>
        <color theme="1"/>
        <rFont val="맑은 고딕"/>
        <family val="2"/>
        <charset val="129"/>
        <scheme val="minor"/>
      </rPr>
      <t>"</t>
    </r>
    <phoneticPr fontId="6" type="noConversion"/>
  </si>
  <si>
    <r>
      <t>D</t>
    </r>
    <r>
      <rPr>
        <sz val="11"/>
        <color theme="1"/>
        <rFont val="맑은 고딕"/>
        <family val="2"/>
        <charset val="129"/>
      </rPr>
      <t>ATA</t>
    </r>
    <r>
      <rPr>
        <sz val="11"/>
        <color theme="1"/>
        <rFont val="맑은 고딕"/>
        <family val="2"/>
        <charset val="129"/>
        <scheme val="minor"/>
      </rPr>
      <t>[1</t>
    </r>
    <r>
      <rPr>
        <sz val="11"/>
        <color theme="1"/>
        <rFont val="Malgun Gothic"/>
        <family val="2"/>
        <charset val="129"/>
      </rPr>
      <t>5</t>
    </r>
    <r>
      <rPr>
        <sz val="11"/>
        <color theme="1"/>
        <rFont val="맑은 고딕"/>
        <family val="2"/>
        <charset val="129"/>
        <scheme val="minor"/>
      </rPr>
      <t>: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</si>
  <si>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rPr>
        <sz val="11"/>
        <color theme="1"/>
        <rFont val="맑은 고딕"/>
        <family val="2"/>
        <charset val="129"/>
      </rPr>
      <t>ADC.No</t>
    </r>
    <r>
      <rPr>
        <sz val="11"/>
        <color theme="1"/>
        <rFont val="맑은 고딕"/>
        <family val="2"/>
        <charset val="129"/>
        <scheme val="minor"/>
      </rPr>
      <t>[</t>
    </r>
    <r>
      <rPr>
        <sz val="11"/>
        <color theme="1"/>
        <rFont val="Malgun Gothic"/>
        <family val="2"/>
        <charset val="129"/>
      </rPr>
      <t>23:20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</si>
  <si>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t xml:space="preserve"> 1 for ADC Read, 0 for ADC Write</t>
    <phoneticPr fontId="6" type="noConversion"/>
  </si>
  <si>
    <t xml:space="preserve"> Active high, do ADC RW operation</t>
    <phoneticPr fontId="6" type="noConversion"/>
  </si>
  <si>
    <t>No[23:20]</t>
    <phoneticPr fontId="6" type="noConversion"/>
  </si>
  <si>
    <t xml:space="preserve"> ADC.No : 0 ~ 5</t>
    <phoneticPr fontId="6" type="noConversion"/>
  </si>
  <si>
    <t xml:space="preserve"> ADC register address</t>
    <phoneticPr fontId="6" type="noConversion"/>
  </si>
  <si>
    <t xml:space="preserve"> 16-bit ADC write data</t>
    <phoneticPr fontId="6" type="noConversion"/>
  </si>
  <si>
    <t>D[15:0]</t>
    <phoneticPr fontId="6" type="noConversion"/>
  </si>
  <si>
    <t xml:space="preserve"> 16-bit ADC read data</t>
    <phoneticPr fontId="6" type="noConversion"/>
  </si>
  <si>
    <t>N</t>
    <phoneticPr fontId="6" type="noConversion"/>
  </si>
  <si>
    <t>GLB</t>
    <phoneticPr fontId="6" type="noConversion"/>
  </si>
  <si>
    <t>GLB[28]</t>
    <phoneticPr fontId="6" type="noConversion"/>
  </si>
  <si>
    <t xml:space="preserve"> Using global addr only for WR</t>
    <phoneticPr fontId="6" type="noConversion"/>
  </si>
  <si>
    <r>
      <t>BIB.</t>
    </r>
    <r>
      <rPr>
        <sz val="11"/>
        <color theme="1"/>
        <rFont val="맑은 고딕"/>
        <family val="2"/>
        <charset val="129"/>
      </rPr>
      <t>SEL</t>
    </r>
    <r>
      <rPr>
        <sz val="11"/>
        <color theme="1"/>
        <rFont val="맑은 고딕"/>
        <family val="2"/>
        <charset val="129"/>
        <scheme val="minor"/>
      </rPr>
      <t>[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맑은 고딕"/>
        <family val="2"/>
        <charset val="129"/>
        <scheme val="minor"/>
      </rPr>
      <t>:0]</t>
    </r>
    <phoneticPr fontId="6" type="noConversion"/>
  </si>
  <si>
    <r>
      <t xml:space="preserve"> BIB.</t>
    </r>
    <r>
      <rPr>
        <sz val="11"/>
        <color theme="1"/>
        <rFont val="맑은 고딕"/>
        <family val="2"/>
        <charset val="129"/>
      </rPr>
      <t>ID</t>
    </r>
    <r>
      <rPr>
        <sz val="11"/>
        <color theme="1"/>
        <rFont val="맑은 고딕"/>
        <family val="2"/>
        <charset val="129"/>
        <scheme val="minor"/>
      </rPr>
      <t>[</t>
    </r>
    <r>
      <rPr>
        <sz val="11"/>
        <color theme="1"/>
        <rFont val="맑은 고딕"/>
        <family val="2"/>
        <charset val="129"/>
      </rPr>
      <t>7</t>
    </r>
    <r>
      <rPr>
        <sz val="11"/>
        <color theme="1"/>
        <rFont val="맑은 고딕"/>
        <family val="2"/>
        <charset val="129"/>
        <scheme val="minor"/>
      </rPr>
      <t>:0]</t>
    </r>
    <phoneticPr fontId="6" type="noConversion"/>
  </si>
  <si>
    <t xml:space="preserve"> 8-bit BIB.ID</t>
    <phoneticPr fontId="6" type="noConversion"/>
  </si>
  <si>
    <t>BIB.SEL</t>
    <phoneticPr fontId="6" type="noConversion"/>
  </si>
  <si>
    <t xml:space="preserve"> 4-bit BIB.SEL</t>
    <phoneticPr fontId="6" type="noConversion"/>
  </si>
  <si>
    <t xml:space="preserve"> - Mod, Pg.Clk = 0011 / 0110 / 1100 / 1001</t>
    <phoneticPr fontId="6" type="noConversion"/>
  </si>
  <si>
    <r>
      <t xml:space="preserve"> - </t>
    </r>
    <r>
      <rPr>
        <b/>
        <sz val="11"/>
        <color theme="1"/>
        <rFont val="바탕"/>
        <family val="3"/>
        <charset val="129"/>
      </rPr>
      <t>Bug, cclk.last.state = 1</t>
    </r>
    <phoneticPr fontId="6" type="noConversion"/>
  </si>
  <si>
    <r>
      <t xml:space="preserve"> - </t>
    </r>
    <r>
      <rPr>
        <sz val="11"/>
        <color theme="1"/>
        <rFont val="바탕"/>
        <family val="3"/>
        <charset val="129"/>
      </rPr>
      <t>Bug, cfg.fpga.sel register address</t>
    </r>
    <phoneticPr fontId="6" type="noConversion"/>
  </si>
  <si>
    <t>LB.CLK.SEL</t>
    <phoneticPr fontId="24" type="noConversion"/>
  </si>
  <si>
    <t>RW</t>
    <phoneticPr fontId="24" type="noConversion"/>
  </si>
  <si>
    <t xml:space="preserve"> LB.CLK.SEL [ 0x0000_2_028 ]</t>
    <phoneticPr fontId="6" type="noConversion"/>
  </si>
  <si>
    <t>0011</t>
    <phoneticPr fontId="6" type="noConversion"/>
  </si>
  <si>
    <t>1100</t>
    <phoneticPr fontId="24" type="noConversion"/>
  </si>
  <si>
    <t>1001</t>
    <phoneticPr fontId="24" type="noConversion"/>
  </si>
  <si>
    <t>0110, default</t>
    <phoneticPr fontId="24" type="noConversion"/>
  </si>
  <si>
    <t>DAC-AD5381</t>
    <phoneticPr fontId="6" type="noConversion"/>
  </si>
  <si>
    <t>PPS</t>
    <phoneticPr fontId="6" type="noConversion"/>
  </si>
  <si>
    <r>
      <t>MUX[</t>
    </r>
    <r>
      <rPr>
        <sz val="11"/>
        <color theme="1"/>
        <rFont val="Malgun Gothic"/>
        <family val="2"/>
        <charset val="129"/>
      </rPr>
      <t>3</t>
    </r>
    <r>
      <rPr>
        <sz val="11"/>
        <color theme="1"/>
        <rFont val="맑은 고딕"/>
        <family val="2"/>
        <charset val="129"/>
        <scheme val="minor"/>
      </rPr>
      <t>:0]</t>
    </r>
    <phoneticPr fontId="6" type="noConversion"/>
  </si>
  <si>
    <t>MUX[3:0]</t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</si>
  <si>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CTRL-HMBT400</t>
    </r>
    <r>
      <rPr>
        <sz val="11"/>
        <color theme="1"/>
        <rFont val="맑은 고딕"/>
        <family val="2"/>
        <charset val="129"/>
        <scheme val="minor"/>
      </rPr>
      <t>"</t>
    </r>
    <phoneticPr fontId="6" type="noConversion"/>
  </si>
  <si>
    <r>
      <t xml:space="preserve"> SITE </t>
    </r>
    <r>
      <rPr>
        <sz val="11"/>
        <color theme="1"/>
        <rFont val="Malgun Gothic"/>
        <family val="2"/>
        <charset val="129"/>
      </rPr>
      <t>&amp; BIB ID, Temp, RA-On</t>
    </r>
    <phoneticPr fontId="6" type="noConversion"/>
  </si>
  <si>
    <t>TEMP.SENSOR</t>
    <phoneticPr fontId="6" type="noConversion"/>
  </si>
  <si>
    <t>TSENSOR</t>
    <phoneticPr fontId="6" type="noConversion"/>
  </si>
  <si>
    <t xml:space="preserve"> 12-bit</t>
    <phoneticPr fontId="6" type="noConversion"/>
  </si>
  <si>
    <r>
      <rPr>
        <b/>
        <sz val="11"/>
        <rFont val="Malgun Gothic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BIB.</t>
    </r>
    <r>
      <rPr>
        <b/>
        <sz val="11"/>
        <rFont val="Malgun Gothic"/>
        <family val="3"/>
        <charset val="129"/>
      </rPr>
      <t>SEL</t>
    </r>
    <r>
      <rPr>
        <b/>
        <sz val="11"/>
        <rFont val="맑은 고딕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맑은 고딕"/>
        <family val="3"/>
        <charset val="129"/>
        <scheme val="minor"/>
      </rPr>
      <t>_02</t>
    </r>
    <r>
      <rPr>
        <b/>
        <sz val="11"/>
        <rFont val="Malgun Gothic"/>
        <family val="3"/>
        <charset val="129"/>
      </rPr>
      <t>4</t>
    </r>
    <r>
      <rPr>
        <b/>
        <sz val="11"/>
        <rFont val="맑은 고딕"/>
        <family val="3"/>
        <charset val="129"/>
        <scheme val="minor"/>
      </rPr>
      <t xml:space="preserve"> ]</t>
    </r>
    <phoneticPr fontId="6" type="noConversion"/>
  </si>
  <si>
    <r>
      <rPr>
        <b/>
        <sz val="11"/>
        <rFont val="Malgun Gothic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BIB.</t>
    </r>
    <r>
      <rPr>
        <b/>
        <sz val="11"/>
        <rFont val="Malgun Gothic"/>
        <family val="3"/>
        <charset val="129"/>
      </rPr>
      <t>ID</t>
    </r>
    <r>
      <rPr>
        <b/>
        <sz val="11"/>
        <rFont val="맑은 고딕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맑은 고딕"/>
        <family val="3"/>
        <charset val="129"/>
        <scheme val="minor"/>
      </rPr>
      <t>_02</t>
    </r>
    <r>
      <rPr>
        <b/>
        <sz val="11"/>
        <rFont val="Malgun Gothic"/>
        <family val="3"/>
        <charset val="129"/>
      </rPr>
      <t>8</t>
    </r>
    <r>
      <rPr>
        <b/>
        <sz val="11"/>
        <rFont val="맑은 고딕"/>
        <family val="3"/>
        <charset val="129"/>
        <scheme val="minor"/>
      </rPr>
      <t xml:space="preserve"> ]</t>
    </r>
    <phoneticPr fontId="6" type="noConversion"/>
  </si>
  <si>
    <t>RA.CTRL</t>
    <phoneticPr fontId="6" type="noConversion"/>
  </si>
  <si>
    <t xml:space="preserve"> ADC_0 Selected</t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</si>
  <si>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DAC-AD5381</t>
    </r>
    <r>
      <rPr>
        <sz val="11"/>
        <color theme="1"/>
        <rFont val="맑은 고딕"/>
        <family val="2"/>
        <charset val="129"/>
        <scheme val="minor"/>
      </rPr>
      <t>"</t>
    </r>
    <phoneticPr fontId="6" type="noConversion"/>
  </si>
  <si>
    <r>
      <t>DAC-</t>
    </r>
    <r>
      <rPr>
        <sz val="11"/>
        <color theme="1"/>
        <rFont val="Malgun Gothic"/>
        <family val="2"/>
        <charset val="129"/>
      </rPr>
      <t>AD5381</t>
    </r>
    <r>
      <rPr>
        <sz val="11"/>
        <color theme="1"/>
        <rFont val="맑은 고딕"/>
        <family val="2"/>
        <charset val="129"/>
        <scheme val="minor"/>
      </rPr>
      <t xml:space="preserve">
@ CTRL</t>
    </r>
    <phoneticPr fontId="6" type="noConversion"/>
  </si>
  <si>
    <r>
      <t>"</t>
    </r>
    <r>
      <rPr>
        <sz val="11"/>
        <color theme="1"/>
        <rFont val="Malgun Gothic"/>
        <family val="2"/>
        <charset val="129"/>
      </rPr>
      <t>PPS</t>
    </r>
    <r>
      <rPr>
        <sz val="11"/>
        <color theme="1"/>
        <rFont val="맑은 고딕"/>
        <family val="2"/>
        <charset val="129"/>
        <scheme val="minor"/>
      </rPr>
      <t>"</t>
    </r>
    <phoneticPr fontId="6" type="noConversion"/>
  </si>
  <si>
    <r>
      <rPr>
        <sz val="11"/>
        <color theme="1"/>
        <rFont val="Malgun Gothic"/>
        <family val="2"/>
        <charset val="129"/>
      </rPr>
      <t>PPS</t>
    </r>
    <r>
      <rPr>
        <sz val="11"/>
        <color theme="1"/>
        <rFont val="맑은 고딕"/>
        <family val="2"/>
        <charset val="129"/>
        <scheme val="minor"/>
      </rPr>
      <t xml:space="preserve">
@ CTRL</t>
    </r>
    <phoneticPr fontId="6" type="noConversion"/>
  </si>
  <si>
    <t>PPS.FAULT</t>
    <phoneticPr fontId="6" type="noConversion"/>
  </si>
  <si>
    <t>VTT.FAULT</t>
    <phoneticPr fontId="6" type="noConversion"/>
  </si>
  <si>
    <t>DUT</t>
    <phoneticPr fontId="6" type="noConversion"/>
  </si>
  <si>
    <t>IO</t>
    <phoneticPr fontId="6" type="noConversion"/>
  </si>
  <si>
    <t>EN</t>
    <phoneticPr fontId="6" type="noConversion"/>
  </si>
  <si>
    <t>VREF.DG.EN</t>
    <phoneticPr fontId="6" type="noConversion"/>
  </si>
  <si>
    <t>VREF.F.EN[15:8]</t>
    <phoneticPr fontId="6" type="noConversion"/>
  </si>
  <si>
    <t>PPS.12V.ON</t>
    <phoneticPr fontId="6" type="noConversion"/>
  </si>
  <si>
    <t>VTT.BIAS.ON</t>
    <phoneticPr fontId="6" type="noConversion"/>
  </si>
  <si>
    <t>PPS.SYNC</t>
    <phoneticPr fontId="6" type="noConversion"/>
  </si>
  <si>
    <t>PPS.SYNC[4:0]</t>
    <phoneticPr fontId="6" type="noConversion"/>
  </si>
  <si>
    <t>PPS.SHR[12:8]</t>
    <phoneticPr fontId="6" type="noConversion"/>
  </si>
  <si>
    <t>VTT.BIAS.ON[24]</t>
    <phoneticPr fontId="6" type="noConversion"/>
  </si>
  <si>
    <t>PPS.12V.ON[16]</t>
    <phoneticPr fontId="6" type="noConversion"/>
  </si>
  <si>
    <t>VREF.DG.EN[1:0]</t>
    <phoneticPr fontId="6" type="noConversion"/>
  </si>
  <si>
    <t>PPS.RUN[9:0]</t>
    <phoneticPr fontId="6" type="noConversion"/>
  </si>
  <si>
    <t>VPP0.RUN[16]</t>
    <phoneticPr fontId="6" type="noConversion"/>
  </si>
  <si>
    <t>PPS.FAULT[9:0]</t>
    <phoneticPr fontId="6" type="noConversion"/>
  </si>
  <si>
    <t>VTT.ALERT[16]</t>
    <phoneticPr fontId="6" type="noConversion"/>
  </si>
  <si>
    <t>VTT.DUT.FAULT[1]</t>
    <phoneticPr fontId="6" type="noConversion"/>
  </si>
  <si>
    <t>VTT.IO.FAULT[0]</t>
    <phoneticPr fontId="6" type="noConversion"/>
  </si>
  <si>
    <t>M.RST</t>
    <phoneticPr fontId="6" type="noConversion"/>
  </si>
  <si>
    <t>S.RST</t>
    <phoneticPr fontId="6" type="noConversion"/>
  </si>
  <si>
    <t>DAC.1</t>
    <phoneticPr fontId="6" type="noConversion"/>
  </si>
  <si>
    <t>DAC.0</t>
    <phoneticPr fontId="6" type="noConversion"/>
  </si>
  <si>
    <t>nAB</t>
    <phoneticPr fontId="6" type="noConversion"/>
  </si>
  <si>
    <t>REG[13:12]</t>
    <phoneticPr fontId="6" type="noConversion"/>
  </si>
  <si>
    <t>DB[11:0]</t>
    <phoneticPr fontId="6" type="noConversion"/>
  </si>
  <si>
    <t>DB[11:0]/RDATA[11:0]</t>
    <phoneticPr fontId="6" type="noConversion"/>
  </si>
  <si>
    <r>
      <rPr>
        <b/>
        <sz val="11"/>
        <color rgb="FF006100"/>
        <rFont val="Malgun Gothic"/>
        <family val="3"/>
        <charset val="129"/>
      </rPr>
      <t>M.RST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27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</si>
  <si>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>S.RST[26]</t>
    <phoneticPr fontId="6" type="noConversion"/>
  </si>
  <si>
    <t xml:space="preserve"> Active high, reset the DAC-AD5381</t>
    <phoneticPr fontId="6" type="noConversion"/>
  </si>
  <si>
    <t>DAC.0[24]</t>
    <phoneticPr fontId="6" type="noConversion"/>
  </si>
  <si>
    <t xml:space="preserve"> Active high, select DAC</t>
    <phoneticPr fontId="6" type="noConversion"/>
  </si>
  <si>
    <t>RnW[20]</t>
    <phoneticPr fontId="6" type="noConversion"/>
  </si>
  <si>
    <r>
      <t>A[1</t>
    </r>
    <r>
      <rPr>
        <sz val="11"/>
        <color theme="1"/>
        <rFont val="Malgun Gothic"/>
        <family val="2"/>
        <charset val="129"/>
      </rPr>
      <t>9</t>
    </r>
    <r>
      <rPr>
        <sz val="11"/>
        <color theme="1"/>
        <rFont val="맑은 고딕"/>
        <family val="2"/>
        <charset val="129"/>
        <scheme val="minor"/>
      </rPr>
      <t>:14]</t>
    </r>
    <phoneticPr fontId="6" type="noConversion"/>
  </si>
  <si>
    <t>A[19:14]</t>
    <phoneticPr fontId="6" type="noConversion"/>
  </si>
  <si>
    <t xml:space="preserve"> 6-bit register address</t>
    <phoneticPr fontId="6" type="noConversion"/>
  </si>
  <si>
    <t xml:space="preserve"> 2-bit register select</t>
    <phoneticPr fontId="6" type="noConversion"/>
  </si>
  <si>
    <t xml:space="preserve"> 12-bit write data</t>
    <phoneticPr fontId="6" type="noConversion"/>
  </si>
  <si>
    <r>
      <t>EOS[</t>
    </r>
    <r>
      <rPr>
        <b/>
        <sz val="11"/>
        <color rgb="FF006100"/>
        <rFont val="Malgun Gothic"/>
        <family val="3"/>
        <charset val="129"/>
      </rPr>
      <t>27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</si>
  <si>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rPr>
        <b/>
        <sz val="11"/>
        <color rgb="FF006100"/>
        <rFont val="Malgun Gothic"/>
        <family val="3"/>
        <charset val="129"/>
      </rPr>
      <t>DB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11:0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</si>
  <si>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 xml:space="preserve"> 12-bit read data</t>
    <phoneticPr fontId="6" type="noConversion"/>
  </si>
  <si>
    <r>
      <t>DAC</t>
    </r>
    <r>
      <rPr>
        <sz val="11"/>
        <color theme="0"/>
        <rFont val="맑은 고딕"/>
        <family val="3"/>
        <charset val="129"/>
        <scheme val="minor"/>
      </rPr>
      <t>-DAC5381</t>
    </r>
    <phoneticPr fontId="6" type="noConversion"/>
  </si>
  <si>
    <t>0000_A</t>
    <phoneticPr fontId="6" type="noConversion"/>
  </si>
  <si>
    <t>0000_B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</si>
  <si>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[ 0x0000_B_020 ]</t>
    </r>
    <phoneticPr fontId="6" type="noConversion"/>
  </si>
  <si>
    <t xml:space="preserve"> EN [ 0x0000_B_024 ]</t>
    <phoneticPr fontId="6" type="noConversion"/>
  </si>
  <si>
    <t xml:space="preserve"> RUN [ 0x0000_B_028 ]</t>
    <phoneticPr fontId="6" type="noConversion"/>
  </si>
  <si>
    <t xml:space="preserve"> STATUS [ 0x0000_B_030 ]</t>
    <phoneticPr fontId="6" type="noConversion"/>
  </si>
  <si>
    <t xml:space="preserve"> PPS.FAULT [ 0x0000_B_034 ]</t>
    <phoneticPr fontId="6" type="noConversion"/>
  </si>
  <si>
    <t xml:space="preserve"> VTT.FAULT [ 0x0000_B_038 ]</t>
    <phoneticPr fontId="6" type="noConversion"/>
  </si>
  <si>
    <t xml:space="preserve"> RW.DATA.BUF [ 0x0000_B_040 ~ 0x0000_B_43F 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</si>
  <si>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[ 0x0000_A_020 ]</t>
    </r>
    <phoneticPr fontId="6" type="noConversion"/>
  </si>
  <si>
    <t xml:space="preserve"> STATUS [ 0x0000_A_030 ]</t>
    <phoneticPr fontId="6" type="noConversion"/>
  </si>
  <si>
    <r>
      <t>0x0000_</t>
    </r>
    <r>
      <rPr>
        <sz val="11"/>
        <color theme="0"/>
        <rFont val="Malgun Gothic"/>
        <family val="2"/>
        <charset val="129"/>
      </rPr>
      <t>A</t>
    </r>
    <r>
      <rPr>
        <sz val="11"/>
        <color theme="0"/>
        <rFont val="맑은 고딕"/>
        <family val="3"/>
        <charset val="129"/>
        <scheme val="minor"/>
      </rPr>
      <t>000</t>
    </r>
    <phoneticPr fontId="6" type="noConversion"/>
  </si>
  <si>
    <r>
      <t>0x</t>
    </r>
    <r>
      <rPr>
        <sz val="11"/>
        <color theme="0"/>
        <rFont val="맑은 고딕"/>
        <family val="3"/>
        <charset val="129"/>
        <scheme val="minor"/>
      </rPr>
      <t>0000_</t>
    </r>
    <r>
      <rPr>
        <sz val="11"/>
        <color theme="0"/>
        <rFont val="Malgun Gothic"/>
        <family val="2"/>
        <charset val="129"/>
      </rPr>
      <t>B</t>
    </r>
    <r>
      <rPr>
        <sz val="11"/>
        <color theme="0"/>
        <rFont val="맑은 고딕"/>
        <family val="3"/>
        <charset val="129"/>
        <scheme val="minor"/>
      </rPr>
      <t>000</t>
    </r>
    <phoneticPr fontId="6" type="noConversion"/>
  </si>
  <si>
    <t>SITE.ID</t>
    <phoneticPr fontId="6" type="noConversion"/>
  </si>
  <si>
    <t>SITE.ID[7:0]</t>
    <phoneticPr fontId="6" type="noConversion"/>
  </si>
  <si>
    <r>
      <rPr>
        <b/>
        <sz val="11"/>
        <rFont val="Malgun Gothic"/>
        <family val="3"/>
        <charset val="129"/>
      </rPr>
      <t xml:space="preserve"> RA.CTRL</t>
    </r>
    <r>
      <rPr>
        <b/>
        <sz val="11"/>
        <rFont val="맑은 고딕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맑은 고딕"/>
        <family val="3"/>
        <charset val="129"/>
        <scheme val="minor"/>
      </rPr>
      <t>_0</t>
    </r>
    <r>
      <rPr>
        <b/>
        <sz val="11"/>
        <rFont val="Malgun Gothic"/>
        <family val="3"/>
        <charset val="129"/>
      </rPr>
      <t>30</t>
    </r>
    <r>
      <rPr>
        <b/>
        <sz val="11"/>
        <rFont val="맑은 고딕"/>
        <family val="3"/>
        <charset val="129"/>
        <scheme val="minor"/>
      </rPr>
      <t xml:space="preserve"> ]</t>
    </r>
    <phoneticPr fontId="6" type="noConversion"/>
  </si>
  <si>
    <r>
      <t>0x0000_</t>
    </r>
    <r>
      <rPr>
        <sz val="11"/>
        <color theme="0"/>
        <rFont val="Malgun Gothic"/>
        <family val="2"/>
        <charset val="129"/>
      </rPr>
      <t>A</t>
    </r>
    <r>
      <rPr>
        <sz val="11"/>
        <color theme="0"/>
        <rFont val="맑은 고딕"/>
        <family val="3"/>
        <charset val="129"/>
        <scheme val="minor"/>
      </rPr>
      <t>FFF</t>
    </r>
    <phoneticPr fontId="6" type="noConversion"/>
  </si>
  <si>
    <r>
      <t>0x0000_</t>
    </r>
    <r>
      <rPr>
        <sz val="11"/>
        <color theme="0"/>
        <rFont val="Malgun Gothic"/>
        <family val="2"/>
        <charset val="129"/>
      </rPr>
      <t>B</t>
    </r>
    <r>
      <rPr>
        <sz val="11"/>
        <color theme="0"/>
        <rFont val="맑은 고딕"/>
        <family val="2"/>
        <charset val="134"/>
        <scheme val="minor"/>
      </rPr>
      <t>FFF</t>
    </r>
    <phoneticPr fontId="6" type="noConversion"/>
  </si>
  <si>
    <t>CFG-RPOM
@ CTRL</t>
    <phoneticPr fontId="6" type="noConversion"/>
  </si>
  <si>
    <r>
      <t>0000_</t>
    </r>
    <r>
      <rPr>
        <sz val="11"/>
        <color theme="1"/>
        <rFont val="Microsoft YaHei"/>
        <family val="2"/>
        <charset val="134"/>
      </rPr>
      <t>E</t>
    </r>
    <phoneticPr fontId="6" type="noConversion"/>
  </si>
  <si>
    <r>
      <t>"</t>
    </r>
    <r>
      <rPr>
        <sz val="11"/>
        <color theme="1"/>
        <rFont val="等线"/>
        <family val="2"/>
        <charset val="134"/>
      </rPr>
      <t>CFG-PROM</t>
    </r>
    <r>
      <rPr>
        <sz val="11"/>
        <color theme="1"/>
        <rFont val="맑은 고딕"/>
        <family val="2"/>
        <charset val="129"/>
        <scheme val="minor"/>
      </rPr>
      <t>"</t>
    </r>
    <phoneticPr fontId="6" type="noConversion"/>
  </si>
  <si>
    <t>ADDR[31:0]</t>
    <phoneticPr fontId="24" type="noConversion"/>
  </si>
  <si>
    <t>CMD</t>
    <phoneticPr fontId="24" type="noConversion"/>
  </si>
  <si>
    <t>ERASE</t>
    <phoneticPr fontId="6" type="noConversion"/>
  </si>
  <si>
    <t>BURST.LENGTH[7:0]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</si>
  <si>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ADDR</t>
    </r>
    <r>
      <rPr>
        <b/>
        <sz val="11"/>
        <color rgb="FF9C6500"/>
        <rFont val="Malgun Gothic"/>
        <family val="3"/>
        <charset val="129"/>
      </rPr>
      <t xml:space="preserve"> [ 0x0000_E_020 ]</t>
    </r>
    <phoneticPr fontId="6" type="noConversion"/>
  </si>
  <si>
    <t xml:space="preserve"> PROM address</t>
    <phoneticPr fontId="6" type="noConversion"/>
  </si>
  <si>
    <t xml:space="preserve"> CMD [ 0x0000_E_024 ]</t>
    <phoneticPr fontId="6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</si>
  <si>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15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</si>
  <si>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t xml:space="preserve"> Active high, write operation</t>
    <phoneticPr fontId="6" type="noConversion"/>
  </si>
  <si>
    <t>RD[14]</t>
    <phoneticPr fontId="6" type="noConversion"/>
  </si>
  <si>
    <t xml:space="preserve"> Active high, read operation</t>
    <phoneticPr fontId="6" type="noConversion"/>
  </si>
  <si>
    <t>ERASE[8]</t>
    <phoneticPr fontId="6" type="noConversion"/>
  </si>
  <si>
    <t xml:space="preserve"> Active high, 1 sector(64KB) erase operation</t>
    <phoneticPr fontId="6" type="noConversion"/>
  </si>
  <si>
    <t>BL[7:0]</t>
    <phoneticPr fontId="6" type="noConversion"/>
  </si>
  <si>
    <t xml:space="preserve"> Read/write byte count</t>
    <phoneticPr fontId="6" type="noConversion"/>
  </si>
  <si>
    <t xml:space="preserve"> STATUS [ 0x0000_E_030 ]</t>
    <phoneticPr fontId="6" type="noConversion"/>
  </si>
  <si>
    <r>
      <rPr>
        <sz val="11"/>
        <color theme="1"/>
        <rFont val="Malgun Gothic"/>
        <family val="2"/>
        <charset val="129"/>
      </rPr>
      <t xml:space="preserve"> Active high, indicates</t>
    </r>
    <r>
      <rPr>
        <sz val="11"/>
        <color theme="1"/>
        <rFont val="맑은 고딕"/>
        <family val="2"/>
        <charset val="129"/>
        <scheme val="minor"/>
      </rPr>
      <t xml:space="preserve"> Error</t>
    </r>
    <phoneticPr fontId="6" type="noConversion"/>
  </si>
  <si>
    <t xml:space="preserve"> RW.DATA.BUF [ 0x0000_E_040 ~ 0x0000_E_43F ]</t>
    <phoneticPr fontId="6" type="noConversion"/>
  </si>
  <si>
    <t>CFG-PROM</t>
    <phoneticPr fontId="6" type="noConversion"/>
  </si>
  <si>
    <t>Reg</t>
    <phoneticPr fontId="6" type="noConversion"/>
  </si>
  <si>
    <t>0x0000_E000</t>
    <phoneticPr fontId="6" type="noConversion"/>
  </si>
  <si>
    <r>
      <t>0x</t>
    </r>
    <r>
      <rPr>
        <sz val="11"/>
        <color theme="1"/>
        <rFont val="맑은 고딕"/>
        <family val="3"/>
        <charset val="129"/>
        <scheme val="minor"/>
      </rPr>
      <t>0000_EFFF</t>
    </r>
    <phoneticPr fontId="6" type="noConversion"/>
  </si>
  <si>
    <r>
      <t xml:space="preserve"> - Init Version</t>
    </r>
    <r>
      <rPr>
        <b/>
        <sz val="11"/>
        <color theme="1"/>
        <rFont val="맑은 고딕"/>
        <family val="3"/>
        <charset val="129"/>
      </rPr>
      <t>, new add IP dueto config CTRL FPGA PROM</t>
    </r>
    <phoneticPr fontId="6" type="noConversion"/>
  </si>
  <si>
    <t xml:space="preserve"> Config CTRL FPGA PROM by SPI Interface</t>
    <phoneticPr fontId="6" type="noConversion"/>
  </si>
  <si>
    <t>VPP.RUN</t>
    <phoneticPr fontId="6" type="noConversion"/>
  </si>
  <si>
    <t>ON[0]</t>
    <phoneticPr fontId="6" type="noConversion"/>
  </si>
  <si>
    <t>ON</t>
    <phoneticPr fontId="6" type="noConversion"/>
  </si>
  <si>
    <t>FWU</t>
    <phoneticPr fontId="6" type="noConversion"/>
  </si>
  <si>
    <t>FWU[8]</t>
    <phoneticPr fontId="6" type="noConversion"/>
  </si>
  <si>
    <t>CTRL.ID</t>
    <phoneticPr fontId="6" type="noConversion"/>
  </si>
  <si>
    <t>ID</t>
    <phoneticPr fontId="6" type="noConversion"/>
  </si>
  <si>
    <r>
      <rPr>
        <b/>
        <sz val="11"/>
        <color rgb="FF9C6500"/>
        <rFont val="Malgun Gothic"/>
        <family val="3"/>
        <charset val="129"/>
      </rPr>
      <t xml:space="preserve"> CTRL.ID </t>
    </r>
    <r>
      <rPr>
        <b/>
        <sz val="11"/>
        <color rgb="FF9C6500"/>
        <rFont val="맑은 고딕"/>
        <family val="3"/>
        <charset val="129"/>
        <scheme val="minor"/>
      </rPr>
      <t>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</t>
    </r>
    <r>
      <rPr>
        <b/>
        <sz val="11"/>
        <color rgb="FF9C6500"/>
        <rFont val="Malgun Gothic"/>
        <family val="3"/>
        <charset val="129"/>
      </rPr>
      <t>1C</t>
    </r>
    <r>
      <rPr>
        <b/>
        <sz val="11"/>
        <color rgb="FF9C6500"/>
        <rFont val="맑은 고딕"/>
        <family val="3"/>
        <charset val="129"/>
        <scheme val="minor"/>
      </rPr>
      <t xml:space="preserve"> ]</t>
    </r>
    <phoneticPr fontId="6" type="noConversion"/>
  </si>
  <si>
    <t>ID[0]</t>
    <phoneticPr fontId="6" type="noConversion"/>
  </si>
  <si>
    <t xml:space="preserve"> 0 for CTRL.0 / 1 for CTRL.1</t>
    <phoneticPr fontId="6" type="noConversion"/>
  </si>
  <si>
    <r>
      <rPr>
        <b/>
        <sz val="11"/>
        <color rgb="FF006100"/>
        <rFont val="Malgun Gothic"/>
        <family val="3"/>
        <charset val="129"/>
      </rPr>
      <t>ADDR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6" type="noConversion"/>
  </si>
  <si>
    <r>
      <rPr>
        <b/>
        <sz val="11"/>
        <rFont val="Malgun Gothic"/>
        <family val="3"/>
        <charset val="129"/>
      </rPr>
      <t xml:space="preserve"> TSENSOR.0~3</t>
    </r>
    <r>
      <rPr>
        <b/>
        <sz val="11"/>
        <rFont val="맑은 고딕"/>
        <family val="3"/>
        <charset val="129"/>
        <scheme val="minor"/>
      </rPr>
      <t xml:space="preserve"> [ 0x0000_</t>
    </r>
    <r>
      <rPr>
        <b/>
        <sz val="11"/>
        <rFont val="Malgun Gothic"/>
        <family val="3"/>
        <charset val="129"/>
      </rPr>
      <t>0</t>
    </r>
    <r>
      <rPr>
        <b/>
        <sz val="11"/>
        <rFont val="맑은 고딕"/>
        <family val="3"/>
        <charset val="129"/>
        <scheme val="minor"/>
      </rPr>
      <t>_0</t>
    </r>
    <r>
      <rPr>
        <b/>
        <sz val="11"/>
        <rFont val="Malgun Gothic"/>
        <family val="3"/>
        <charset val="129"/>
      </rPr>
      <t>40 ~ 44</t>
    </r>
    <r>
      <rPr>
        <b/>
        <sz val="11"/>
        <rFont val="맑은 고딕"/>
        <family val="3"/>
        <charset val="129"/>
        <scheme val="minor"/>
      </rPr>
      <t xml:space="preserve"> ]</t>
    </r>
    <phoneticPr fontId="6" type="noConversion"/>
  </si>
  <si>
    <t>PPS.ALERT</t>
    <phoneticPr fontId="6" type="noConversion"/>
  </si>
  <si>
    <t>PPS.ALERT[16]</t>
    <phoneticPr fontId="6" type="noConversion"/>
  </si>
  <si>
    <t xml:space="preserve"> Active high, oring 5ea PPS module</t>
    <phoneticPr fontId="6" type="noConversion"/>
  </si>
  <si>
    <t xml:space="preserve"> Active high, for each PPS channel</t>
    <phoneticPr fontId="6" type="noConversion"/>
  </si>
  <si>
    <t xml:space="preserve"> PPS.SYNC [ 0x0000_B_02C ]</t>
    <phoneticPr fontId="6" type="noConversion"/>
  </si>
  <si>
    <t>PG0</t>
    <phoneticPr fontId="6" type="noConversion"/>
  </si>
  <si>
    <t>PG1</t>
    <phoneticPr fontId="6" type="noConversion"/>
  </si>
  <si>
    <t>PPS_SUPPLY</t>
    <phoneticPr fontId="6" type="noConversion"/>
  </si>
  <si>
    <t>CTRL_SUPPLY</t>
    <phoneticPr fontId="6" type="noConversion"/>
  </si>
  <si>
    <t>TG0</t>
    <phoneticPr fontId="6" type="noConversion"/>
  </si>
  <si>
    <t>CTRL0</t>
    <phoneticPr fontId="6" type="noConversion"/>
  </si>
  <si>
    <t>ALWAYS_12V</t>
    <phoneticPr fontId="6" type="noConversion"/>
  </si>
  <si>
    <t>L_FSEL&lt;3&gt;</t>
  </si>
  <si>
    <t>J16</t>
  </si>
  <si>
    <t>PG1_LBUS_LAD&lt;0&gt;</t>
  </si>
  <si>
    <t>H13</t>
  </si>
  <si>
    <t>PG1_LBUS_LAD&lt;1&gt;</t>
  </si>
  <si>
    <t>G13</t>
  </si>
  <si>
    <t>PG1_LBUS_LAD&lt;2&gt;</t>
  </si>
  <si>
    <t>G15</t>
  </si>
  <si>
    <t>PG1_LBUS_LAD&lt;3&gt;</t>
  </si>
  <si>
    <t>G16</t>
  </si>
  <si>
    <t>PG1_LBUS_LAD&lt;4&gt;</t>
  </si>
  <si>
    <t>J14</t>
  </si>
  <si>
    <t>PG1_LBUS_LAD&lt;5&gt;</t>
  </si>
  <si>
    <t>H14</t>
  </si>
  <si>
    <t>PG1_LBUS_LAD&lt;6&gt;</t>
  </si>
  <si>
    <t>G17</t>
  </si>
  <si>
    <t>PG1_LBUS_LAD&lt;7&gt;</t>
  </si>
  <si>
    <t>G18</t>
  </si>
  <si>
    <t>PG1_LBUS_CLK</t>
  </si>
  <si>
    <t>J15</t>
  </si>
  <si>
    <t>PG1_LBUS_LAST</t>
  </si>
  <si>
    <t>H17</t>
  </si>
  <si>
    <t>PG1_LBUS_RVALID</t>
  </si>
  <si>
    <t>J22</t>
  </si>
  <si>
    <t>PG1_LBUS_WR</t>
  </si>
  <si>
    <t>H22</t>
  </si>
  <si>
    <t>PG1_LBUS_ERROR</t>
  </si>
  <si>
    <t>H20</t>
  </si>
  <si>
    <t>PG1_LBUS_STATUS</t>
  </si>
  <si>
    <t>G20</t>
  </si>
  <si>
    <t>PG1_LBUS_NRST</t>
  </si>
  <si>
    <t>K21</t>
  </si>
  <si>
    <t>PG0_LBUS_NRST</t>
  </si>
  <si>
    <t>L21</t>
  </si>
  <si>
    <t>PG0_LBUS_STATUS</t>
  </si>
  <si>
    <t>J20</t>
  </si>
  <si>
    <t>PG0_LBUS_ERROR</t>
  </si>
  <si>
    <t>J21</t>
  </si>
  <si>
    <t>PG0_LBUS_WR</t>
  </si>
  <si>
    <t>J19</t>
  </si>
  <si>
    <t>PG0_LBUS_RVALID</t>
  </si>
  <si>
    <t>H19</t>
  </si>
  <si>
    <t>PG0_LBUS_LAD&lt;0&gt;</t>
  </si>
  <si>
    <t>K18</t>
  </si>
  <si>
    <t>PG0_LBUS_LAD&lt;1&gt;</t>
  </si>
  <si>
    <t>K19</t>
  </si>
  <si>
    <t>PG0_LBUS_LAD&lt;2&gt;</t>
  </si>
  <si>
    <t>L19</t>
  </si>
  <si>
    <t>PG0_LBUS_LAD&lt;3&gt;</t>
  </si>
  <si>
    <t>L20</t>
  </si>
  <si>
    <t>PG0_LBUS_LAD&lt;4&gt;</t>
  </si>
  <si>
    <t>N22</t>
  </si>
  <si>
    <t>PG0_LBUS_LAD&lt;5&gt;</t>
  </si>
  <si>
    <t>M22</t>
  </si>
  <si>
    <t>PG0_LBUS_LAD&lt;6&gt;</t>
  </si>
  <si>
    <t>M18</t>
  </si>
  <si>
    <t>PG0_LBUS_LAD&lt;7&gt;</t>
  </si>
  <si>
    <t>L18</t>
  </si>
  <si>
    <t>PG0_LBUS_CLK</t>
  </si>
  <si>
    <t>N18</t>
  </si>
  <si>
    <t>PG0_LBUS_LAST</t>
  </si>
  <si>
    <t>N20</t>
  </si>
  <si>
    <t>L_BIBID&lt;0&gt;</t>
  </si>
  <si>
    <t>K13</t>
  </si>
  <si>
    <t>L_BIBID&lt;1&gt;</t>
  </si>
  <si>
    <t>M13</t>
  </si>
  <si>
    <t>L_BIBID&lt;2&gt;</t>
  </si>
  <si>
    <t>L13</t>
  </si>
  <si>
    <t>L_BIBID&lt;3&gt;</t>
  </si>
  <si>
    <t>K17</t>
  </si>
  <si>
    <t>L_BIBID&lt;4&gt;</t>
  </si>
  <si>
    <t>J17</t>
  </si>
  <si>
    <t>L_BIBID&lt;5&gt;</t>
  </si>
  <si>
    <t>L14</t>
  </si>
  <si>
    <t>L_BIBID&lt;6&gt;</t>
  </si>
  <si>
    <t>L15</t>
  </si>
  <si>
    <t>L_BIBID&lt;7&gt;</t>
  </si>
  <si>
    <t>L16</t>
  </si>
  <si>
    <t>L_FSEL&lt;0&gt;</t>
  </si>
  <si>
    <t>K16</t>
  </si>
  <si>
    <t>L_FSEL&lt;1&gt;</t>
  </si>
  <si>
    <t>M15</t>
  </si>
  <si>
    <t>L_FSEL&lt;2&gt;</t>
  </si>
  <si>
    <t>M16</t>
  </si>
  <si>
    <t>L_BI_OK</t>
  </si>
  <si>
    <t>M17</t>
  </si>
  <si>
    <t>PG0_CONF_CCLK</t>
  </si>
  <si>
    <t>Y16</t>
  </si>
  <si>
    <t>PG0_CONF_DONE</t>
  </si>
  <si>
    <t>AA16</t>
  </si>
  <si>
    <t>PG0_CONF_CSI_B</t>
  </si>
  <si>
    <t>AB16</t>
  </si>
  <si>
    <t>PG0_CONF_RDWR_B</t>
  </si>
  <si>
    <t>AB17</t>
  </si>
  <si>
    <t>PG0_CONF_PGM_B</t>
  </si>
  <si>
    <t>AA13</t>
  </si>
  <si>
    <t>PG0_CONF_INT_B</t>
  </si>
  <si>
    <t>AB13</t>
  </si>
  <si>
    <t>PG0_CONF_D&lt;0&gt;</t>
  </si>
  <si>
    <t>AA15</t>
  </si>
  <si>
    <t>PG0_CONF_D&lt;7&gt;</t>
  </si>
  <si>
    <t>AB15</t>
  </si>
  <si>
    <t>PG0_CONF_D&lt;5&gt;</t>
  </si>
  <si>
    <t>Y13</t>
  </si>
  <si>
    <t>PG0_CONF_D&lt;1&gt;</t>
  </si>
  <si>
    <t>AA14</t>
  </si>
  <si>
    <t>PG0_CONF_D&lt;4&gt;</t>
  </si>
  <si>
    <t>W14</t>
  </si>
  <si>
    <t>PG0_CONF_D&lt;2&gt;</t>
  </si>
  <si>
    <t>AB11</t>
  </si>
  <si>
    <t>PG0_CONF_D&lt;6&gt;</t>
  </si>
  <si>
    <t>AB12</t>
  </si>
  <si>
    <t>PG0_CONF_D&lt;3&gt;</t>
  </si>
  <si>
    <t>AA9</t>
  </si>
  <si>
    <t>RA0_FWUEN_OUT</t>
  </si>
  <si>
    <t>AB10</t>
  </si>
  <si>
    <t>PG1_CONF_D&lt;6&gt;</t>
  </si>
  <si>
    <t>AA10</t>
  </si>
  <si>
    <t>PG1_CONF_D&lt;3&gt;</t>
  </si>
  <si>
    <t>AA11</t>
  </si>
  <si>
    <t>PG1_CONF_D&lt;0&gt;</t>
  </si>
  <si>
    <t>V10</t>
  </si>
  <si>
    <t>PG1_CONF_D&lt;4&gt;</t>
  </si>
  <si>
    <t>W10</t>
  </si>
  <si>
    <t>PG1_CONF_D&lt;5&gt;</t>
  </si>
  <si>
    <t>Y11</t>
  </si>
  <si>
    <t>PG1_CONF_D&lt;2&gt;</t>
  </si>
  <si>
    <t>Y12</t>
  </si>
  <si>
    <t>PG1_CONF_D&lt;1&gt;</t>
  </si>
  <si>
    <t>W11</t>
  </si>
  <si>
    <t>PG1_CONF_D&lt;7&gt;</t>
  </si>
  <si>
    <t>W12</t>
  </si>
  <si>
    <t>PG1_CONF_CCLK</t>
  </si>
  <si>
    <t>V13</t>
  </si>
  <si>
    <t>PG1_CONF_CSI_B</t>
  </si>
  <si>
    <t>V14</t>
  </si>
  <si>
    <t>PG1_CONF_INT_B</t>
  </si>
  <si>
    <t>U15</t>
  </si>
  <si>
    <t>PG1_CONF_DONE</t>
  </si>
  <si>
    <t>V15</t>
  </si>
  <si>
    <t>PG1_CONF_RDWR_B</t>
  </si>
  <si>
    <t>T14</t>
  </si>
  <si>
    <t>PG1_CONF_PGM_B</t>
  </si>
  <si>
    <t>T15</t>
  </si>
  <si>
    <t>L_TSCL0</t>
  </si>
  <si>
    <t>W15</t>
  </si>
  <si>
    <t>L_TSDA0</t>
  </si>
  <si>
    <t>W16</t>
  </si>
  <si>
    <t>L_TSCL1</t>
  </si>
  <si>
    <t>T16</t>
  </si>
  <si>
    <t>L_TSDA1</t>
  </si>
  <si>
    <t>U16</t>
  </si>
  <si>
    <t>CTRL01_PCIE_TXP</t>
  </si>
  <si>
    <t>D9</t>
  </si>
  <si>
    <t>CTRL01_PCIE_TXN</t>
  </si>
  <si>
    <t>C9</t>
  </si>
  <si>
    <t>CTRL01_REF_CLKN</t>
  </si>
  <si>
    <t>E6</t>
  </si>
  <si>
    <t>CTRL01_REF_CLKP</t>
  </si>
  <si>
    <t>F6</t>
  </si>
  <si>
    <t>CTRL01_NRESET</t>
  </si>
  <si>
    <t>P20</t>
  </si>
  <si>
    <t>CTRL01_CONF_D0</t>
  </si>
  <si>
    <t>P22</t>
  </si>
  <si>
    <t>CTRL01_CONF_D1</t>
  </si>
  <si>
    <t>R22</t>
  </si>
  <si>
    <t>CTRL01_CONF_D2</t>
  </si>
  <si>
    <t>P21</t>
  </si>
  <si>
    <t>CTRL01_CONF_D3</t>
  </si>
  <si>
    <t>R21</t>
  </si>
  <si>
    <t>CTRL01_FCS_B</t>
  </si>
  <si>
    <t>T19</t>
  </si>
  <si>
    <t>CTRL01_LED0</t>
  </si>
  <si>
    <t>W21</t>
  </si>
  <si>
    <t>CTRL01_LED1</t>
  </si>
  <si>
    <t>W22</t>
  </si>
  <si>
    <t>CTRL01_LED2</t>
  </si>
  <si>
    <t>AA20</t>
  </si>
  <si>
    <t>CTRL01_LED3</t>
  </si>
  <si>
    <t>AA21</t>
  </si>
  <si>
    <t>RA0_ON</t>
  </si>
  <si>
    <t>U20</t>
  </si>
  <si>
    <t>L_VTT_BIAS_ON</t>
  </si>
  <si>
    <t>W19</t>
  </si>
  <si>
    <t>L_PPS_12V_ON</t>
  </si>
  <si>
    <t>W20</t>
  </si>
  <si>
    <t>CTRL01_REF0_PCLK</t>
  </si>
  <si>
    <t>Y18</t>
  </si>
  <si>
    <t>CTRL01_REF0_NCLK</t>
  </si>
  <si>
    <t>Y19</t>
  </si>
  <si>
    <t>L_VTT_ALERT</t>
  </si>
  <si>
    <t>V18</t>
  </si>
  <si>
    <t>L_VTT_SCL</t>
  </si>
  <si>
    <t>V19</t>
  </si>
  <si>
    <t>L_VTT_SDA</t>
  </si>
  <si>
    <t>AA19</t>
  </si>
  <si>
    <t>L_IO_VTT_FAULT</t>
  </si>
  <si>
    <t>AB20</t>
  </si>
  <si>
    <t>L_DUT_VTT_FAULT</t>
  </si>
  <si>
    <t>V17</t>
  </si>
  <si>
    <t>L_CSCL3</t>
  </si>
  <si>
    <t>AA18</t>
  </si>
  <si>
    <t>L_CSDA3</t>
  </si>
  <si>
    <t>AB18</t>
  </si>
  <si>
    <t>L_CSCL2</t>
  </si>
  <si>
    <t>U17</t>
  </si>
  <si>
    <t>L_CSDA2</t>
  </si>
  <si>
    <t>U18</t>
  </si>
  <si>
    <t>L_CSCL1</t>
  </si>
  <si>
    <t>P14</t>
  </si>
  <si>
    <t>L_CSDA1</t>
  </si>
  <si>
    <t>R18</t>
  </si>
  <si>
    <t>L_CSCL0</t>
  </si>
  <si>
    <t>T18</t>
  </si>
  <si>
    <t>L_CSDA0</t>
  </si>
  <si>
    <t>N17</t>
  </si>
  <si>
    <t>L_CSCL4</t>
  </si>
  <si>
    <t>P17</t>
  </si>
  <si>
    <t>L_CSDA4</t>
  </si>
  <si>
    <t>P15</t>
  </si>
  <si>
    <t>PPS_M4_SHR</t>
  </si>
  <si>
    <t>R16</t>
  </si>
  <si>
    <t>PPS_M3_SHR</t>
  </si>
  <si>
    <t>N13</t>
  </si>
  <si>
    <t>PPS_M2_SHR</t>
  </si>
  <si>
    <t>N14</t>
  </si>
  <si>
    <t>PPS_M1_SHR</t>
  </si>
  <si>
    <t>P16</t>
  </si>
  <si>
    <t>PPS_M0_SHR</t>
  </si>
  <si>
    <t>R17</t>
  </si>
  <si>
    <t>CTRL0_ID0</t>
  </si>
  <si>
    <t>N15</t>
  </si>
  <si>
    <t>VREF_F5_EN</t>
  </si>
  <si>
    <t>F4</t>
  </si>
  <si>
    <t>PG0_BUMP_D&lt;0&gt;</t>
  </si>
  <si>
    <t>B1</t>
  </si>
  <si>
    <t>PG0_BUMP_D&lt;1&gt;</t>
  </si>
  <si>
    <t>A1</t>
  </si>
  <si>
    <t>PG0_BUMP_D&lt;2&gt;</t>
  </si>
  <si>
    <t>C2</t>
  </si>
  <si>
    <t>PG0_BUMP_D&lt;3&gt;</t>
  </si>
  <si>
    <t>B2</t>
  </si>
  <si>
    <t>PG0_BUMP_D&lt;4&gt;</t>
  </si>
  <si>
    <t>E1</t>
  </si>
  <si>
    <t>PG0_BUMP_D&lt;5&gt;</t>
  </si>
  <si>
    <t>D1</t>
  </si>
  <si>
    <t>PG0_BUMP_D&lt;6&gt;</t>
  </si>
  <si>
    <t>E2</t>
  </si>
  <si>
    <t>PG0_BUMP_D&lt;7&gt;</t>
  </si>
  <si>
    <t>D2</t>
  </si>
  <si>
    <t>PG0_BUMP_D&lt;8&gt;</t>
  </si>
  <si>
    <t>G1</t>
  </si>
  <si>
    <t>PG0_BUMP_D&lt;9&gt;</t>
  </si>
  <si>
    <t>F1</t>
  </si>
  <si>
    <t>PG0_BUMP_D&lt;10&gt;</t>
  </si>
  <si>
    <t>F3</t>
  </si>
  <si>
    <t>PG0_BUMP_D&lt;11&gt;</t>
  </si>
  <si>
    <t>K1</t>
  </si>
  <si>
    <t>PG0_BUMP_D&lt;12&gt;</t>
  </si>
  <si>
    <t>J1</t>
  </si>
  <si>
    <t>PG0_BUMP_D&lt;13&gt;</t>
  </si>
  <si>
    <t>H2</t>
  </si>
  <si>
    <t>PG0_BUMP_D&lt;14&gt;</t>
  </si>
  <si>
    <t>G2</t>
  </si>
  <si>
    <t>PG0_BUMP_INT0</t>
  </si>
  <si>
    <t>K2</t>
  </si>
  <si>
    <t>PG0_BUMP_INT1</t>
  </si>
  <si>
    <t>J2</t>
  </si>
  <si>
    <t>PPS_M4_SYNC</t>
  </si>
  <si>
    <t>H5</t>
  </si>
  <si>
    <t>PPS_M3_SYNC</t>
  </si>
  <si>
    <t>H3</t>
  </si>
  <si>
    <t>PPS_M2_SYNC</t>
  </si>
  <si>
    <t>G3</t>
  </si>
  <si>
    <t>PPS_M1_SYNC</t>
  </si>
  <si>
    <t>H4</t>
  </si>
  <si>
    <t>PPS_M0_SYNC</t>
  </si>
  <si>
    <t>G4</t>
  </si>
  <si>
    <t>PG1_BUMP_D&lt;0&gt;</t>
  </si>
  <si>
    <t>K4</t>
  </si>
  <si>
    <t>PG1_BUMP_D&lt;1&gt;</t>
  </si>
  <si>
    <t>J4</t>
  </si>
  <si>
    <t>PG1_BUMP_D&lt;2&gt;</t>
  </si>
  <si>
    <t>L3</t>
  </si>
  <si>
    <t>PG1_BUMP_D&lt;3&gt;</t>
  </si>
  <si>
    <t>K3</t>
  </si>
  <si>
    <t>PG1_BUMP_D&lt;4&gt;</t>
  </si>
  <si>
    <t>M1</t>
  </si>
  <si>
    <t>PG1_BUMP_D&lt;5&gt;</t>
  </si>
  <si>
    <t>L1</t>
  </si>
  <si>
    <t>PG1_BUMP_D&lt;6&gt;</t>
  </si>
  <si>
    <t>M3</t>
  </si>
  <si>
    <t>PG1_BUMP_D&lt;7&gt;</t>
  </si>
  <si>
    <t>M2</t>
  </si>
  <si>
    <t>PG1_BUMP_D&lt;8&gt;</t>
  </si>
  <si>
    <t>K6</t>
  </si>
  <si>
    <t>PG1_BUMP_D&lt;9&gt;</t>
  </si>
  <si>
    <t>J6</t>
  </si>
  <si>
    <t>PG1_BUMP_D&lt;10&gt;</t>
  </si>
  <si>
    <t>L5</t>
  </si>
  <si>
    <t>PG1_BUMP_D&lt;11&gt;</t>
  </si>
  <si>
    <t>N4</t>
  </si>
  <si>
    <t>PG1_BUMP_D&lt;12&gt;</t>
  </si>
  <si>
    <t>R1</t>
  </si>
  <si>
    <t>PG1_BUMP_D&lt;13&gt;</t>
  </si>
  <si>
    <t>P1</t>
  </si>
  <si>
    <t>PG1_BUMP_D&lt;14&gt;</t>
  </si>
  <si>
    <t>P5</t>
  </si>
  <si>
    <t>PG1_BUMP_INT0</t>
  </si>
  <si>
    <t>P4</t>
  </si>
  <si>
    <t>PG1_BUMP_INT1</t>
  </si>
  <si>
    <t>P2</t>
  </si>
  <si>
    <t>VREF_F0_EN</t>
  </si>
  <si>
    <t>N2</t>
  </si>
  <si>
    <t>VREF_F1_EN</t>
  </si>
  <si>
    <t>M6</t>
  </si>
  <si>
    <t>VREF_F2_EN</t>
  </si>
  <si>
    <t>M5</t>
  </si>
  <si>
    <t>VREF_F3_EN</t>
  </si>
  <si>
    <t>P6</t>
  </si>
  <si>
    <t>VREF_F4_EN</t>
  </si>
  <si>
    <t>N5</t>
  </si>
  <si>
    <t>VREF_F6_EN</t>
  </si>
  <si>
    <t>L6</t>
  </si>
  <si>
    <t>CTRL01_CONF_CCLK</t>
  </si>
  <si>
    <t>L12</t>
  </si>
  <si>
    <t>CTRL01_JTAG_TCK</t>
  </si>
  <si>
    <t>V12</t>
  </si>
  <si>
    <t>CTRL01_JTAG_TMS</t>
  </si>
  <si>
    <t>T13</t>
  </si>
  <si>
    <t>CTRL01_JTAG_TDO</t>
  </si>
  <si>
    <t>U13</t>
  </si>
  <si>
    <t>CTRL01_JTAG_TDI</t>
  </si>
  <si>
    <t>R13</t>
  </si>
  <si>
    <t>CTRL01_CONF_INIT_B</t>
  </si>
  <si>
    <t>U12</t>
  </si>
  <si>
    <t>CTRL01_CONF_PGM_B</t>
  </si>
  <si>
    <t>N12</t>
  </si>
  <si>
    <t>CTRL01_CONF_DONE</t>
  </si>
  <si>
    <t>G11</t>
  </si>
  <si>
    <t>CTRL01_M2</t>
  </si>
  <si>
    <t>U9</t>
  </si>
  <si>
    <t>CTRL01_M0</t>
  </si>
  <si>
    <t>U11</t>
  </si>
  <si>
    <t>CTRL01_M1</t>
  </si>
  <si>
    <t>U10</t>
  </si>
  <si>
    <t>VREF_DG0_EN</t>
  </si>
  <si>
    <t>T3</t>
  </si>
  <si>
    <t>L_DAC_SCLK</t>
  </si>
  <si>
    <t>T1</t>
  </si>
  <si>
    <t>L_DAC_SDI</t>
  </si>
  <si>
    <t>U1</t>
  </si>
  <si>
    <t>L_DAC_SDO</t>
  </si>
  <si>
    <t>U2</t>
  </si>
  <si>
    <t>L_DAC_SYNC</t>
  </si>
  <si>
    <t>V2</t>
  </si>
  <si>
    <t>L_DAC_RESET</t>
  </si>
  <si>
    <t>R3</t>
  </si>
  <si>
    <t>L_DAC_BUSY</t>
  </si>
  <si>
    <t>R2</t>
  </si>
  <si>
    <t>L_DAC_CLR</t>
  </si>
  <si>
    <t>W2</t>
  </si>
  <si>
    <t>L_DAC_LDAC</t>
  </si>
  <si>
    <t>Y2</t>
  </si>
  <si>
    <t>LADC_MUX_A&lt;0&gt;</t>
  </si>
  <si>
    <t>W1</t>
  </si>
  <si>
    <t>LADC_MUX_A&lt;1&gt;</t>
  </si>
  <si>
    <t>Y1</t>
  </si>
  <si>
    <t>LADC_MUX_A&lt;2&gt;</t>
  </si>
  <si>
    <t>U3</t>
  </si>
  <si>
    <t>LADC_MUX_A&lt;3&gt;</t>
  </si>
  <si>
    <t>AA1</t>
  </si>
  <si>
    <t>LADC_RESET</t>
  </si>
  <si>
    <t>AB1</t>
  </si>
  <si>
    <t>LADC_RANGE</t>
  </si>
  <si>
    <t>AB3</t>
  </si>
  <si>
    <t>LADC_OS0</t>
  </si>
  <si>
    <t>AB2</t>
  </si>
  <si>
    <t>LADC_OS1</t>
  </si>
  <si>
    <t>Y3</t>
  </si>
  <si>
    <t>LADC_OS2</t>
  </si>
  <si>
    <t>AA3</t>
  </si>
  <si>
    <t>LADC_CONVST</t>
  </si>
  <si>
    <t>AA5</t>
  </si>
  <si>
    <t>LADC_NRD_SCLK</t>
  </si>
  <si>
    <t>AB5</t>
  </si>
  <si>
    <t>LADC_NCS</t>
  </si>
  <si>
    <t>Y4</t>
  </si>
  <si>
    <t>LADC_BUSY</t>
  </si>
  <si>
    <t>AA4</t>
  </si>
  <si>
    <t>LADC_DB0</t>
  </si>
  <si>
    <t>V4</t>
  </si>
  <si>
    <t>LADC_DB1</t>
  </si>
  <si>
    <t>W4</t>
  </si>
  <si>
    <t>PPS9_RUN</t>
  </si>
  <si>
    <t>R4</t>
  </si>
  <si>
    <t>PPS8_RUN</t>
  </si>
  <si>
    <t>T4</t>
  </si>
  <si>
    <t>PPS7_RUN</t>
  </si>
  <si>
    <t>T5</t>
  </si>
  <si>
    <t>PPS6_RUN</t>
  </si>
  <si>
    <t>U5</t>
  </si>
  <si>
    <t>PPS5_RUN</t>
  </si>
  <si>
    <t>W6</t>
  </si>
  <si>
    <t>PPS4_RUN</t>
  </si>
  <si>
    <t>W5</t>
  </si>
  <si>
    <t>PPS3_RUN</t>
  </si>
  <si>
    <t>U6</t>
  </si>
  <si>
    <t>PPS2_RUN</t>
  </si>
  <si>
    <t>V5</t>
  </si>
  <si>
    <t>PPS1_RUN</t>
  </si>
  <si>
    <t>R6</t>
  </si>
  <si>
    <t>PPS0_RUN</t>
  </si>
  <si>
    <t>T6</t>
  </si>
  <si>
    <t>L_VPP_RUN</t>
  </si>
  <si>
    <t>Y6</t>
  </si>
  <si>
    <t>L_PPS_NALERT</t>
  </si>
  <si>
    <t>AA6</t>
  </si>
  <si>
    <t>PPS_M4_SCL</t>
  </si>
  <si>
    <t>V7</t>
  </si>
  <si>
    <t>PPS_M4_SDA</t>
  </si>
  <si>
    <t>AB7</t>
  </si>
  <si>
    <t>PPS_M3_SCL</t>
  </si>
  <si>
    <t>AB6</t>
  </si>
  <si>
    <t>PPS_M3_SDA</t>
  </si>
  <si>
    <t>V9</t>
  </si>
  <si>
    <t>PPS_M2_SCL</t>
  </si>
  <si>
    <t>V8</t>
  </si>
  <si>
    <t>PPS_M2_SDA</t>
  </si>
  <si>
    <t>AA8</t>
  </si>
  <si>
    <t>PPS_M1_SCL</t>
  </si>
  <si>
    <t>AB8</t>
  </si>
  <si>
    <t>PPS_M1_SDA</t>
  </si>
  <si>
    <t>Y8</t>
  </si>
  <si>
    <t>PPS_M0_SCL</t>
  </si>
  <si>
    <t>Y7</t>
  </si>
  <si>
    <t>PPS_M0_SDA</t>
  </si>
  <si>
    <t>W9</t>
  </si>
  <si>
    <t>VREF_F7_EN</t>
  </si>
  <si>
    <t>Y9</t>
  </si>
  <si>
    <t>VREF_DG1_EN</t>
  </si>
  <si>
    <t>U7</t>
  </si>
  <si>
    <t>TG01_LBUS_NRST</t>
  </si>
  <si>
    <t>F13</t>
  </si>
  <si>
    <t>TG01_LBUS_CLK</t>
  </si>
  <si>
    <t>F14</t>
  </si>
  <si>
    <t>TG01_LBUS_WR</t>
  </si>
  <si>
    <t>F16</t>
  </si>
  <si>
    <t>TG01_LBUS_RVALID</t>
  </si>
  <si>
    <t>E17</t>
  </si>
  <si>
    <t>TG01_LBUS_LAST</t>
  </si>
  <si>
    <t>C14</t>
  </si>
  <si>
    <t>TG01_LBUS_ERROR</t>
  </si>
  <si>
    <t>C15</t>
  </si>
  <si>
    <t>TG01_LBUS_STATUS</t>
  </si>
  <si>
    <t>E13</t>
  </si>
  <si>
    <t>TG01_LBUS_AD&lt;0&gt;</t>
  </si>
  <si>
    <t>E14</t>
  </si>
  <si>
    <t>TG01_LBUS_AD&lt;1&gt;</t>
  </si>
  <si>
    <t>E16</t>
  </si>
  <si>
    <t>TG01_LBUS_AD&lt;2&gt;</t>
  </si>
  <si>
    <t>D16</t>
  </si>
  <si>
    <t>TG01_LBUS_AD&lt;3&gt;</t>
  </si>
  <si>
    <t>D14</t>
  </si>
  <si>
    <t>TG01_LBUS_AD&lt;4&gt;</t>
  </si>
  <si>
    <t>B15</t>
  </si>
  <si>
    <t>TG01_LBUS_AD&lt;5&gt;</t>
  </si>
  <si>
    <t>B16</t>
  </si>
  <si>
    <t>TG01_LBUS_AD&lt;6&gt;</t>
  </si>
  <si>
    <t>C13</t>
  </si>
  <si>
    <t>TG01_LBUS_AD&lt;7&gt;</t>
  </si>
  <si>
    <t>B13</t>
  </si>
  <si>
    <t>L_TSCL2</t>
  </si>
  <si>
    <t>A15</t>
  </si>
  <si>
    <t>L_TSDA2</t>
  </si>
  <si>
    <t>A16</t>
  </si>
  <si>
    <t>L_TSCL3</t>
  </si>
  <si>
    <t>A13</t>
  </si>
  <si>
    <t>L_TSDA3</t>
  </si>
  <si>
    <t>A14</t>
  </si>
  <si>
    <t>TG01_CONF_PGM_B</t>
  </si>
  <si>
    <t>D17</t>
  </si>
  <si>
    <t>TG01_CONF_CSI_B</t>
  </si>
  <si>
    <t>C17</t>
  </si>
  <si>
    <t>TG01_CONF_CCLK</t>
  </si>
  <si>
    <t>C18</t>
  </si>
  <si>
    <t>TG01_CONF_RDWR_B</t>
  </si>
  <si>
    <t>C19</t>
  </si>
  <si>
    <t>TG01_CONF_INT_B</t>
  </si>
  <si>
    <t>E19</t>
  </si>
  <si>
    <t>TG01_CONF_DONE</t>
  </si>
  <si>
    <t>D19</t>
  </si>
  <si>
    <t>TG01_CONF_D&lt;0&gt;</t>
  </si>
  <si>
    <t>F18</t>
  </si>
  <si>
    <t>TG01_CONF_D&lt;1&gt;</t>
  </si>
  <si>
    <t>E18</t>
  </si>
  <si>
    <t>TG01_CONF_D&lt;2&gt;</t>
  </si>
  <si>
    <t>B20</t>
  </si>
  <si>
    <t>TG01_CONF_D&lt;3&gt;</t>
  </si>
  <si>
    <t>A20</t>
  </si>
  <si>
    <t>TG01_CONF_D&lt;4&gt;</t>
  </si>
  <si>
    <t>A18</t>
  </si>
  <si>
    <t>TG01_CONF_D&lt;5&gt;</t>
  </si>
  <si>
    <t>A19</t>
  </si>
  <si>
    <t>TG01_CONF_D&lt;6&gt;</t>
  </si>
  <si>
    <t>F19</t>
  </si>
  <si>
    <t>TG01_CONF_D&lt;7&gt;</t>
  </si>
  <si>
    <t>F20</t>
  </si>
  <si>
    <t>PPS9_NFAULT</t>
  </si>
  <si>
    <t>D20</t>
  </si>
  <si>
    <t>PPS8_NFAULT</t>
  </si>
  <si>
    <t>C22</t>
  </si>
  <si>
    <t>PPS7_NFAULT</t>
  </si>
  <si>
    <t>B22</t>
  </si>
  <si>
    <t>PPS6_NFAULT</t>
  </si>
  <si>
    <t>B21</t>
  </si>
  <si>
    <t>PPS5_NFAULT</t>
  </si>
  <si>
    <t>A21</t>
  </si>
  <si>
    <t>PPS4_NFAULT</t>
  </si>
  <si>
    <t>E22</t>
  </si>
  <si>
    <t>PPS3_NFAULT</t>
  </si>
  <si>
    <t>D22</t>
  </si>
  <si>
    <t>PPS2_NFAULT</t>
  </si>
  <si>
    <t>E21</t>
  </si>
  <si>
    <t>PPS1_NFAULT</t>
  </si>
  <si>
    <t>D21</t>
  </si>
  <si>
    <t>PPS0_NFAULT</t>
  </si>
  <si>
    <t>G21</t>
  </si>
  <si>
    <t>L_BIBID&lt;0&gt;</t>
    <phoneticPr fontId="24" type="noConversion"/>
  </si>
  <si>
    <t>NAME.CMP</t>
    <phoneticPr fontId="24" type="noConversion"/>
  </si>
  <si>
    <t>PIN.CMP</t>
    <phoneticPr fontId="24" type="noConversion"/>
  </si>
  <si>
    <t>REBOOT</t>
    <phoneticPr fontId="24" type="noConversion"/>
  </si>
  <si>
    <t>BOOT</t>
    <phoneticPr fontId="6" type="noConversion"/>
  </si>
  <si>
    <t xml:space="preserve"> REBOOT [ 0x0000_E_027 ]</t>
    <phoneticPr fontId="6" type="noConversion"/>
  </si>
  <si>
    <r>
      <rPr>
        <b/>
        <sz val="11"/>
        <color rgb="FF006100"/>
        <rFont val="Malgun Gothic"/>
        <family val="3"/>
        <charset val="129"/>
      </rPr>
      <t>BOOT</t>
    </r>
    <r>
      <rPr>
        <b/>
        <sz val="11"/>
        <color rgb="FF006100"/>
        <rFont val="맑은 고딕"/>
        <family val="3"/>
        <charset val="129"/>
        <scheme val="minor"/>
      </rPr>
      <t>[0]</t>
    </r>
    <phoneticPr fontId="6" type="noConversion"/>
  </si>
  <si>
    <t xml:space="preserve"> Active high, set 1 to reboot FPGA</t>
    <phoneticPr fontId="6" type="noConversion"/>
  </si>
  <si>
    <t>PPS_M0_I2C</t>
    <phoneticPr fontId="24" type="noConversion"/>
  </si>
  <si>
    <t>PPS_M1_I2C</t>
    <phoneticPr fontId="24" type="noConversion"/>
  </si>
  <si>
    <t>PPS_M2_I2C</t>
    <phoneticPr fontId="24" type="noConversion"/>
  </si>
  <si>
    <t>PPS_M3_I2C</t>
    <phoneticPr fontId="24" type="noConversion"/>
  </si>
  <si>
    <t>PPS_M4_I2C</t>
    <phoneticPr fontId="24" type="noConversion"/>
  </si>
  <si>
    <t>I2C_CH</t>
    <phoneticPr fontId="24" type="noConversion"/>
  </si>
  <si>
    <t>L_T_I2C_0</t>
    <phoneticPr fontId="24" type="noConversion"/>
  </si>
  <si>
    <t>L_T_I2C_1</t>
  </si>
  <si>
    <t>L_T_I2C_2</t>
  </si>
  <si>
    <t>L_C_I2C0</t>
    <phoneticPr fontId="24" type="noConversion"/>
  </si>
  <si>
    <t>L_C_I2C1</t>
  </si>
  <si>
    <t>L_C_I2C2</t>
  </si>
  <si>
    <t>L_C_I2C3</t>
  </si>
  <si>
    <t>L_C_I2C4</t>
  </si>
  <si>
    <t>PG_0_TEMP</t>
  </si>
  <si>
    <t>PG_1_TEMP</t>
  </si>
  <si>
    <t>0x48</t>
    <phoneticPr fontId="24" type="noConversion"/>
  </si>
  <si>
    <t>L_T_I2C_3</t>
    <phoneticPr fontId="24" type="noConversion"/>
  </si>
  <si>
    <t>CTRL_SUP_TEMP</t>
    <phoneticPr fontId="24" type="noConversion"/>
  </si>
  <si>
    <t>PPS_SUP_TEMP</t>
    <phoneticPr fontId="24" type="noConversion"/>
  </si>
  <si>
    <t>Alw_12V_TEMP</t>
    <phoneticPr fontId="24" type="noConversion"/>
  </si>
  <si>
    <t>CTRL_0_TEMP</t>
    <phoneticPr fontId="24" type="noConversion"/>
  </si>
  <si>
    <t>TG_0_TEMP</t>
    <phoneticPr fontId="24" type="noConversion"/>
  </si>
  <si>
    <t>0x49</t>
  </si>
  <si>
    <t>0x4A</t>
    <phoneticPr fontId="24" type="noConversion"/>
  </si>
  <si>
    <t>Slave Address</t>
    <phoneticPr fontId="24" type="noConversion"/>
  </si>
  <si>
    <t>Target Device</t>
    <phoneticPr fontId="24" type="noConversion"/>
  </si>
  <si>
    <t>PPS_2/3</t>
    <phoneticPr fontId="24" type="noConversion"/>
  </si>
  <si>
    <t>PPS_0/1</t>
    <phoneticPr fontId="24" type="noConversion"/>
  </si>
  <si>
    <t>PPS_4/5</t>
    <phoneticPr fontId="24" type="noConversion"/>
  </si>
  <si>
    <t>PPS_6/7</t>
    <phoneticPr fontId="24" type="noConversion"/>
  </si>
  <si>
    <t>PPS_8/9</t>
    <phoneticPr fontId="24" type="noConversion"/>
  </si>
  <si>
    <t>INA_0</t>
    <phoneticPr fontId="24" type="noConversion"/>
  </si>
  <si>
    <t>INA_1</t>
  </si>
  <si>
    <t>INA_2</t>
  </si>
  <si>
    <t>INA_3</t>
  </si>
  <si>
    <t>INA_4</t>
  </si>
  <si>
    <t>LEFT CTRL</t>
    <phoneticPr fontId="24" type="noConversion"/>
  </si>
  <si>
    <t xml:space="preserve"> 0 ~ 4 for PPS, 5 ~ 14 for CUR, 15 for VTT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</si>
</sst>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2"/>
      <color rgb="FF006100"/>
      <name val="맑은 고딕"/>
      <family val="3"/>
      <charset val="129"/>
      <scheme val="minor"/>
    </font>
    <font>
      <b/>
      <sz val="11"/>
      <color rgb="FF9C65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2"/>
      <color rgb="FF9C000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Malgun Gothic"/>
      <family val="2"/>
      <charset val="129"/>
    </font>
    <font>
      <sz val="11"/>
      <color rgb="FF3F3F76"/>
      <name val="맑은 고딕"/>
      <family val="2"/>
      <charset val="134"/>
      <scheme val="minor"/>
    </font>
    <font>
      <b/>
      <sz val="11"/>
      <color rgb="FF006100"/>
      <name val="Malgun Gothic"/>
      <family val="3"/>
      <charset val="129"/>
    </font>
    <font>
      <b/>
      <sz val="11"/>
      <color rgb="FF9C6500"/>
      <name val="Malgun Gothic"/>
      <family val="3"/>
      <charset val="129"/>
    </font>
    <font>
      <sz val="9"/>
      <name val="맑은 고딕"/>
      <family val="3"/>
      <charset val="134"/>
      <scheme val="minor"/>
    </font>
    <font>
      <b/>
      <sz val="11"/>
      <color theme="1"/>
      <name val="Malgun Gothic"/>
      <family val="2"/>
      <charset val="129"/>
    </font>
    <font>
      <b/>
      <sz val="11"/>
      <color rgb="FF006100"/>
      <name val="Malgun Gothic"/>
      <family val="2"/>
      <charset val="129"/>
    </font>
    <font>
      <b/>
      <sz val="11"/>
      <color rgb="FF006100"/>
      <name val="맑은 고딕"/>
      <family val="3"/>
      <charset val="129"/>
      <scheme val="minor"/>
    </font>
    <font>
      <sz val="11"/>
      <color rgb="FF3F3F76"/>
      <name val="Malgun Gothic"/>
      <family val="2"/>
      <charset val="129"/>
    </font>
    <font>
      <sz val="11"/>
      <color rgb="FF9C0006"/>
      <name val="Malgun Gothic"/>
      <family val="2"/>
      <charset val="129"/>
    </font>
    <font>
      <sz val="11"/>
      <color theme="1"/>
      <name val="맑은 고딕"/>
      <family val="2"/>
      <charset val="129"/>
    </font>
    <font>
      <sz val="11"/>
      <color rgb="FFFF0000"/>
      <name val="Malgun Gothic"/>
      <family val="2"/>
      <charset val="129"/>
    </font>
    <font>
      <b/>
      <sz val="11"/>
      <color theme="1"/>
      <name val="바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바탕"/>
      <family val="3"/>
      <charset val="129"/>
    </font>
    <font>
      <sz val="11"/>
      <name val="Malgun Gothic"/>
      <family val="2"/>
      <charset val="129"/>
    </font>
    <font>
      <b/>
      <sz val="11"/>
      <color theme="1"/>
      <name val="맑은 고딕"/>
      <family val="2"/>
      <charset val="129"/>
    </font>
    <font>
      <b/>
      <sz val="16"/>
      <color rgb="FF0000FF"/>
      <name val="Calibri"/>
      <family val="2"/>
    </font>
    <font>
      <b/>
      <sz val="11"/>
      <color rgb="FFFF0000"/>
      <name val="Malgun Gothic"/>
      <family val="3"/>
      <charset val="129"/>
    </font>
    <font>
      <b/>
      <sz val="11"/>
      <color rgb="FFFF0000"/>
      <name val="Malgun Gothic"/>
      <family val="2"/>
      <charset val="129"/>
    </font>
    <font>
      <b/>
      <sz val="11"/>
      <color rgb="FF006100"/>
      <name val="Malgun Gothic Semilight"/>
      <family val="2"/>
      <charset val="134"/>
    </font>
    <font>
      <b/>
      <sz val="11"/>
      <color rgb="FF9C0006"/>
      <name val="맑은 고딕"/>
      <family val="3"/>
      <charset val="134"/>
      <scheme val="minor"/>
    </font>
    <font>
      <b/>
      <sz val="11"/>
      <color theme="1"/>
      <name val="Malgun Gothic Semilight"/>
      <family val="2"/>
      <charset val="134"/>
    </font>
    <font>
      <sz val="11"/>
      <color theme="0"/>
      <name val="맑은 고딕"/>
      <family val="2"/>
      <charset val="134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Malgun Gothic"/>
      <family val="3"/>
      <charset val="129"/>
    </font>
    <font>
      <b/>
      <sz val="11"/>
      <name val="맑은 고딕"/>
      <family val="3"/>
      <charset val="129"/>
      <scheme val="minor"/>
    </font>
    <font>
      <strike/>
      <sz val="11"/>
      <color theme="1"/>
      <name val="Malgun Gothic"/>
      <family val="2"/>
      <charset val="129"/>
    </font>
    <font>
      <strike/>
      <sz val="11"/>
      <color theme="1"/>
      <name val="Malgun Gothic"/>
      <family val="2"/>
    </font>
    <font>
      <b/>
      <strike/>
      <sz val="11"/>
      <color rgb="FF006100"/>
      <name val="Malgun Gothic"/>
      <family val="3"/>
      <charset val="129"/>
    </font>
    <font>
      <b/>
      <strike/>
      <sz val="11"/>
      <color rgb="FF006100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rgb="FF9C0006"/>
      <name val="맑은 고딕"/>
      <family val="2"/>
      <charset val="129"/>
      <scheme val="minor"/>
    </font>
    <font>
      <b/>
      <sz val="11"/>
      <color rgb="FFFF0000"/>
      <name val="Malgun Gothic"/>
      <family val="2"/>
    </font>
    <font>
      <sz val="11"/>
      <color theme="0"/>
      <name val="Malgun Gothic"/>
      <family val="2"/>
      <charset val="129"/>
    </font>
    <font>
      <strike/>
      <sz val="11"/>
      <color theme="1"/>
      <name val="等线 Light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DengXian"/>
      <family val="2"/>
      <charset val="134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theme="5" tint="-0.24994659260841701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gray0625">
        <fgColor theme="9" tint="-0.24994659260841701"/>
        <bgColor indexed="65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8" borderId="35" applyNumberFormat="0" applyFont="0" applyAlignment="0" applyProtection="0">
      <alignment vertical="center"/>
    </xf>
    <xf numFmtId="0" fontId="21" fillId="11" borderId="54" applyNumberFormat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</cellStyleXfs>
  <cellXfs count="440">
    <xf numFmtId="0" fontId="0" fillId="0" borderId="0" xfId="0">
      <alignment vertical="center"/>
    </xf>
    <xf numFmtId="0" fontId="0" fillId="0" borderId="12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11" fillId="2" borderId="36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8" xfId="0" applyFill="1" applyBorder="1">
      <alignment vertical="center"/>
    </xf>
    <xf numFmtId="0" fontId="0" fillId="9" borderId="7" xfId="0" applyFill="1" applyBorder="1">
      <alignment vertical="center"/>
    </xf>
    <xf numFmtId="0" fontId="0" fillId="9" borderId="8" xfId="0" applyFill="1" applyBorder="1" applyAlignment="1">
      <alignment horizontal="center" vertical="center"/>
    </xf>
    <xf numFmtId="0" fontId="0" fillId="9" borderId="12" xfId="0" applyFill="1" applyBorder="1">
      <alignment vertical="center"/>
    </xf>
    <xf numFmtId="0" fontId="0" fillId="9" borderId="0" xfId="0" applyFill="1">
      <alignment vertical="center"/>
    </xf>
    <xf numFmtId="0" fontId="0" fillId="0" borderId="0" xfId="0" quotePrefix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1" fillId="2" borderId="2" xfId="1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18" fillId="7" borderId="17" xfId="3" applyFont="1" applyBorder="1">
      <alignment vertical="center"/>
    </xf>
    <xf numFmtId="18" fontId="0" fillId="10" borderId="17" xfId="0" applyNumberFormat="1" applyFill="1" applyBorder="1" applyAlignment="1">
      <alignment vertical="top" indent="2"/>
    </xf>
    <xf numFmtId="18" fontId="0" fillId="10" borderId="17" xfId="0" applyNumberFormat="1" applyFill="1" applyBorder="1" applyAlignment="1">
      <alignment vertical="top"/>
    </xf>
    <xf numFmtId="0" fontId="0" fillId="0" borderId="32" xfId="0" applyBorder="1">
      <alignment vertical="center"/>
    </xf>
    <xf numFmtId="14" fontId="0" fillId="0" borderId="13" xfId="0" applyNumberForma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quotePrefix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4" xfId="0" applyBorder="1">
      <alignment vertical="center"/>
    </xf>
    <xf numFmtId="0" fontId="0" fillId="0" borderId="22" xfId="0" applyBorder="1">
      <alignment vertical="center"/>
    </xf>
    <xf numFmtId="0" fontId="16" fillId="0" borderId="24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6" borderId="15" xfId="0" applyFill="1" applyBorder="1">
      <alignment vertical="center"/>
    </xf>
    <xf numFmtId="0" fontId="20" fillId="0" borderId="0" xfId="0" applyFo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" fontId="20" fillId="10" borderId="17" xfId="0" applyNumberFormat="1" applyFont="1" applyFill="1" applyBorder="1" applyAlignment="1">
      <alignment vertical="top" indent="2"/>
    </xf>
    <xf numFmtId="0" fontId="0" fillId="0" borderId="5" xfId="0" applyBorder="1">
      <alignment vertical="center"/>
    </xf>
    <xf numFmtId="0" fontId="25" fillId="0" borderId="0" xfId="0" applyFont="1" applyAlignment="1">
      <alignment horizontal="center" vertical="center"/>
    </xf>
    <xf numFmtId="0" fontId="27" fillId="2" borderId="58" xfId="1" applyFont="1" applyBorder="1" applyAlignment="1">
      <alignment horizontal="center" vertical="center"/>
    </xf>
    <xf numFmtId="0" fontId="27" fillId="2" borderId="59" xfId="1" applyFont="1" applyBorder="1" applyAlignment="1">
      <alignment horizontal="center" vertical="center"/>
    </xf>
    <xf numFmtId="0" fontId="21" fillId="11" borderId="61" xfId="5" applyBorder="1" applyAlignment="1">
      <alignment horizontal="center" vertical="center"/>
    </xf>
    <xf numFmtId="0" fontId="21" fillId="11" borderId="54" xfId="5" applyAlignment="1">
      <alignment horizontal="center" vertical="center"/>
    </xf>
    <xf numFmtId="0" fontId="21" fillId="11" borderId="63" xfId="5" applyBorder="1" applyAlignment="1">
      <alignment horizontal="center" vertical="center"/>
    </xf>
    <xf numFmtId="0" fontId="21" fillId="11" borderId="64" xfId="5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6" fillId="2" borderId="57" xfId="1" applyFont="1" applyBorder="1" applyAlignment="1">
      <alignment vertical="center"/>
    </xf>
    <xf numFmtId="0" fontId="0" fillId="6" borderId="34" xfId="0" applyFill="1" applyBorder="1">
      <alignment vertical="center"/>
    </xf>
    <xf numFmtId="0" fontId="0" fillId="6" borderId="40" xfId="0" applyFill="1" applyBorder="1">
      <alignment vertical="center"/>
    </xf>
    <xf numFmtId="0" fontId="0" fillId="0" borderId="0" xfId="0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0" fontId="30" fillId="0" borderId="0" xfId="0" applyFont="1">
      <alignment vertical="center"/>
    </xf>
    <xf numFmtId="1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76" fontId="33" fillId="0" borderId="0" xfId="0" applyNumberFormat="1" applyFont="1" applyAlignment="1">
      <alignment horizontal="center" vertical="center"/>
    </xf>
    <xf numFmtId="0" fontId="33" fillId="0" borderId="0" xfId="0" applyFont="1">
      <alignment vertical="center"/>
    </xf>
    <xf numFmtId="0" fontId="33" fillId="0" borderId="0" xfId="0" quotePrefix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7" fillId="0" borderId="0" xfId="0" applyFont="1">
      <alignment vertical="center"/>
    </xf>
    <xf numFmtId="14" fontId="4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76" fontId="44" fillId="0" borderId="0" xfId="0" applyNumberFormat="1" applyFont="1" applyAlignment="1">
      <alignment horizontal="center" vertical="center"/>
    </xf>
    <xf numFmtId="0" fontId="44" fillId="0" borderId="0" xfId="0" applyFont="1">
      <alignment vertical="center"/>
    </xf>
    <xf numFmtId="0" fontId="30" fillId="0" borderId="10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45" fillId="0" borderId="0" xfId="0" applyFont="1">
      <alignment vertical="center"/>
    </xf>
    <xf numFmtId="0" fontId="48" fillId="0" borderId="17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52" fillId="0" borderId="17" xfId="0" applyFont="1" applyBorder="1">
      <alignment vertical="center"/>
    </xf>
    <xf numFmtId="0" fontId="0" fillId="0" borderId="17" xfId="0" applyBorder="1">
      <alignment vertical="center"/>
    </xf>
    <xf numFmtId="0" fontId="52" fillId="0" borderId="24" xfId="0" applyFont="1" applyBorder="1">
      <alignment vertical="center"/>
    </xf>
    <xf numFmtId="0" fontId="0" fillId="0" borderId="24" xfId="0" applyBorder="1">
      <alignment vertical="center"/>
    </xf>
    <xf numFmtId="18" fontId="43" fillId="12" borderId="17" xfId="6" applyNumberFormat="1" applyBorder="1" applyAlignment="1">
      <alignment vertical="top" indent="2"/>
    </xf>
    <xf numFmtId="18" fontId="43" fillId="12" borderId="17" xfId="6" applyNumberFormat="1" applyBorder="1" applyAlignment="1">
      <alignment vertical="top"/>
    </xf>
    <xf numFmtId="0" fontId="56" fillId="0" borderId="7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18" fontId="59" fillId="13" borderId="17" xfId="7" applyNumberFormat="1" applyBorder="1" applyAlignment="1">
      <alignment vertical="top" indent="2"/>
    </xf>
    <xf numFmtId="18" fontId="59" fillId="13" borderId="17" xfId="7" applyNumberFormat="1" applyBorder="1" applyAlignment="1">
      <alignment vertical="top"/>
    </xf>
    <xf numFmtId="0" fontId="35" fillId="0" borderId="29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0" fontId="0" fillId="6" borderId="17" xfId="0" applyFill="1" applyBorder="1">
      <alignment vertical="center"/>
    </xf>
    <xf numFmtId="0" fontId="20" fillId="0" borderId="17" xfId="0" applyFont="1" applyBorder="1">
      <alignment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0" xfId="0" applyBorder="1">
      <alignment vertical="center"/>
    </xf>
    <xf numFmtId="0" fontId="0" fillId="0" borderId="29" xfId="0" applyBorder="1">
      <alignment vertical="center"/>
    </xf>
    <xf numFmtId="0" fontId="20" fillId="0" borderId="42" xfId="0" applyFont="1" applyBorder="1" applyAlignment="1">
      <alignment horizontal="center" vertical="center"/>
    </xf>
    <xf numFmtId="0" fontId="0" fillId="0" borderId="69" xfId="0" applyBorder="1">
      <alignment vertical="center"/>
    </xf>
    <xf numFmtId="0" fontId="7" fillId="0" borderId="2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15" fillId="7" borderId="7" xfId="3" applyFont="1" applyBorder="1" applyAlignment="1">
      <alignment horizontal="center" vertical="center"/>
    </xf>
    <xf numFmtId="0" fontId="15" fillId="7" borderId="9" xfId="3" applyFont="1" applyBorder="1" applyAlignment="1">
      <alignment horizontal="center" vertical="center"/>
    </xf>
    <xf numFmtId="18" fontId="22" fillId="2" borderId="17" xfId="1" applyNumberFormat="1" applyFont="1" applyBorder="1" applyAlignment="1">
      <alignment vertical="top"/>
    </xf>
    <xf numFmtId="18" fontId="9" fillId="2" borderId="17" xfId="1" applyNumberFormat="1" applyFont="1" applyBorder="1" applyAlignment="1">
      <alignment vertical="top"/>
    </xf>
    <xf numFmtId="0" fontId="27" fillId="2" borderId="56" xfId="1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32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49" xfId="0" quotePrefix="1" applyBorder="1" applyAlignment="1">
      <alignment horizontal="center" vertical="center"/>
    </xf>
    <xf numFmtId="0" fontId="0" fillId="0" borderId="50" xfId="0" quotePrefix="1" applyBorder="1" applyAlignment="1">
      <alignment horizontal="center" vertical="center"/>
    </xf>
    <xf numFmtId="0" fontId="0" fillId="0" borderId="51" xfId="0" quotePrefix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47" fillId="3" borderId="1" xfId="2" applyFont="1" applyBorder="1" applyAlignment="1">
      <alignment horizontal="left" vertical="center"/>
    </xf>
    <xf numFmtId="0" fontId="47" fillId="3" borderId="2" xfId="2" applyFont="1" applyBorder="1" applyAlignment="1">
      <alignment horizontal="left" vertical="center"/>
    </xf>
    <xf numFmtId="0" fontId="47" fillId="3" borderId="3" xfId="2" applyFont="1" applyBorder="1" applyAlignment="1">
      <alignment horizontal="left" vertical="center"/>
    </xf>
    <xf numFmtId="0" fontId="38" fillId="2" borderId="23" xfId="1" applyFont="1" applyBorder="1" applyAlignment="1">
      <alignment horizontal="center" vertical="center"/>
    </xf>
    <xf numFmtId="0" fontId="58" fillId="2" borderId="24" xfId="1" applyFont="1" applyBorder="1" applyAlignment="1">
      <alignment horizontal="center" vertical="center"/>
    </xf>
    <xf numFmtId="0" fontId="31" fillId="0" borderId="24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35" fillId="0" borderId="24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46" fillId="2" borderId="23" xfId="1" applyFont="1" applyBorder="1" applyAlignment="1">
      <alignment horizontal="center" vertical="center"/>
    </xf>
    <xf numFmtId="0" fontId="47" fillId="2" borderId="24" xfId="1" applyFont="1" applyBorder="1" applyAlignment="1">
      <alignment horizontal="center" vertical="center"/>
    </xf>
    <xf numFmtId="0" fontId="35" fillId="0" borderId="19" xfId="0" applyFont="1" applyBorder="1" applyAlignment="1">
      <alignment horizontal="left" vertical="center" wrapText="1"/>
    </xf>
    <xf numFmtId="0" fontId="35" fillId="0" borderId="19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0" fontId="46" fillId="2" borderId="18" xfId="1" applyFont="1" applyBorder="1" applyAlignment="1">
      <alignment horizontal="center" vertical="center"/>
    </xf>
    <xf numFmtId="0" fontId="46" fillId="2" borderId="19" xfId="1" applyFont="1" applyBorder="1" applyAlignment="1">
      <alignment horizontal="center" vertical="center"/>
    </xf>
    <xf numFmtId="0" fontId="46" fillId="2" borderId="24" xfId="1" applyFont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12" fillId="3" borderId="1" xfId="2" applyFont="1" applyBorder="1" applyAlignment="1">
      <alignment horizontal="left" vertical="center"/>
    </xf>
    <xf numFmtId="0" fontId="12" fillId="3" borderId="2" xfId="2" applyFont="1" applyBorder="1" applyAlignment="1">
      <alignment horizontal="left" vertical="center"/>
    </xf>
    <xf numFmtId="0" fontId="12" fillId="3" borderId="3" xfId="2" applyFont="1" applyBorder="1" applyAlignment="1">
      <alignment horizontal="left" vertical="center"/>
    </xf>
    <xf numFmtId="0" fontId="52" fillId="0" borderId="41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/>
    </xf>
    <xf numFmtId="0" fontId="57" fillId="0" borderId="42" xfId="0" applyFont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12" fillId="3" borderId="5" xfId="2" applyFont="1" applyBorder="1" applyAlignment="1">
      <alignment horizontal="left" vertical="center"/>
    </xf>
    <xf numFmtId="0" fontId="12" fillId="3" borderId="32" xfId="2" applyFont="1" applyBorder="1" applyAlignment="1">
      <alignment horizontal="left" vertical="center"/>
    </xf>
    <xf numFmtId="0" fontId="12" fillId="3" borderId="6" xfId="2" applyFont="1" applyBorder="1" applyAlignment="1">
      <alignment horizontal="left" vertical="center"/>
    </xf>
    <xf numFmtId="0" fontId="20" fillId="0" borderId="40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9" fillId="2" borderId="18" xfId="1" applyFont="1" applyBorder="1" applyAlignment="1">
      <alignment horizontal="center" vertical="center"/>
    </xf>
    <xf numFmtId="0" fontId="9" fillId="2" borderId="19" xfId="1" applyFont="1" applyBorder="1" applyAlignment="1">
      <alignment horizontal="center" vertical="center"/>
    </xf>
    <xf numFmtId="0" fontId="9" fillId="2" borderId="23" xfId="1" applyFont="1" applyBorder="1" applyAlignment="1">
      <alignment horizontal="center" vertical="center"/>
    </xf>
    <xf numFmtId="0" fontId="9" fillId="2" borderId="24" xfId="1" applyFont="1" applyBorder="1" applyAlignment="1">
      <alignment horizontal="center" vertical="center"/>
    </xf>
    <xf numFmtId="0" fontId="20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6" borderId="24" xfId="0" applyFill="1" applyBorder="1" applyAlignment="1">
      <alignment horizontal="center" vertical="center"/>
    </xf>
    <xf numFmtId="0" fontId="9" fillId="2" borderId="21" xfId="1" applyFont="1" applyBorder="1" applyAlignment="1">
      <alignment horizontal="center" vertical="center"/>
    </xf>
    <xf numFmtId="0" fontId="9" fillId="2" borderId="17" xfId="1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20" fillId="0" borderId="24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9" fillId="2" borderId="34" xfId="1" applyFont="1" applyBorder="1" applyAlignment="1">
      <alignment horizontal="center" vertical="center"/>
    </xf>
    <xf numFmtId="0" fontId="9" fillId="2" borderId="31" xfId="1" applyFont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20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/>
    </xf>
    <xf numFmtId="0" fontId="23" fillId="3" borderId="1" xfId="2" applyFont="1" applyBorder="1" applyAlignment="1">
      <alignment horizontal="left" vertical="center"/>
    </xf>
    <xf numFmtId="0" fontId="23" fillId="3" borderId="2" xfId="2" applyFont="1" applyBorder="1" applyAlignment="1">
      <alignment horizontal="left" vertical="center"/>
    </xf>
    <xf numFmtId="0" fontId="23" fillId="3" borderId="3" xfId="2" applyFont="1" applyBorder="1" applyAlignment="1">
      <alignment horizontal="left" vertical="center"/>
    </xf>
    <xf numFmtId="0" fontId="22" fillId="2" borderId="18" xfId="1" applyFont="1" applyBorder="1" applyAlignment="1">
      <alignment horizontal="center" vertical="center"/>
    </xf>
    <xf numFmtId="0" fontId="22" fillId="2" borderId="19" xfId="1" applyFont="1" applyBorder="1" applyAlignment="1">
      <alignment horizontal="center" vertical="center"/>
    </xf>
    <xf numFmtId="0" fontId="22" fillId="2" borderId="23" xfId="1" applyFont="1" applyBorder="1" applyAlignment="1">
      <alignment horizontal="center" vertical="center"/>
    </xf>
    <xf numFmtId="0" fontId="22" fillId="2" borderId="24" xfId="1" applyFont="1" applyBorder="1" applyAlignment="1">
      <alignment horizontal="center" vertical="center"/>
    </xf>
    <xf numFmtId="0" fontId="9" fillId="2" borderId="18" xfId="1" applyFont="1" applyBorder="1" applyAlignment="1">
      <alignment horizontal="center" vertical="center" wrapText="1"/>
    </xf>
    <xf numFmtId="0" fontId="9" fillId="2" borderId="19" xfId="1" applyFont="1" applyBorder="1" applyAlignment="1">
      <alignment horizontal="center" vertical="center" wrapText="1"/>
    </xf>
    <xf numFmtId="0" fontId="9" fillId="2" borderId="23" xfId="1" applyFont="1" applyBorder="1" applyAlignment="1">
      <alignment horizontal="center" vertical="center" wrapText="1"/>
    </xf>
    <xf numFmtId="0" fontId="9" fillId="2" borderId="24" xfId="1" applyFont="1" applyBorder="1" applyAlignment="1">
      <alignment horizontal="center" vertical="center" wrapText="1"/>
    </xf>
    <xf numFmtId="0" fontId="20" fillId="0" borderId="20" xfId="0" applyFont="1" applyBorder="1" applyAlignment="1">
      <alignment horizontal="left" vertical="center" wrapText="1"/>
    </xf>
    <xf numFmtId="0" fontId="7" fillId="8" borderId="35" xfId="4" applyFont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quotePrefix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0" fillId="0" borderId="43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60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21" fillId="11" borderId="54" xfId="5" applyAlignment="1">
      <alignment horizontal="left" vertical="center"/>
    </xf>
    <xf numFmtId="0" fontId="21" fillId="11" borderId="62" xfId="5" applyBorder="1" applyAlignment="1">
      <alignment horizontal="left" vertical="center"/>
    </xf>
    <xf numFmtId="0" fontId="23" fillId="3" borderId="5" xfId="2" applyFont="1" applyBorder="1" applyAlignment="1">
      <alignment horizontal="left" vertical="center"/>
    </xf>
    <xf numFmtId="0" fontId="23" fillId="3" borderId="32" xfId="2" applyFont="1" applyBorder="1" applyAlignment="1">
      <alignment horizontal="left" vertical="center"/>
    </xf>
    <xf numFmtId="0" fontId="23" fillId="3" borderId="6" xfId="2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 wrapText="1"/>
    </xf>
    <xf numFmtId="0" fontId="21" fillId="11" borderId="64" xfId="5" applyBorder="1" applyAlignment="1">
      <alignment horizontal="left" vertical="center"/>
    </xf>
    <xf numFmtId="0" fontId="21" fillId="11" borderId="65" xfId="5" applyBorder="1" applyAlignment="1">
      <alignment horizontal="left" vertical="center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22" fillId="2" borderId="57" xfId="1" applyFont="1" applyBorder="1" applyAlignment="1">
      <alignment horizontal="center" vertical="center"/>
    </xf>
    <xf numFmtId="0" fontId="22" fillId="2" borderId="58" xfId="1" applyFont="1" applyBorder="1" applyAlignment="1">
      <alignment horizontal="center" vertical="center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0" fontId="22" fillId="2" borderId="21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4" fillId="7" borderId="41" xfId="3" applyBorder="1" applyAlignment="1">
      <alignment horizontal="left" vertical="center"/>
    </xf>
    <xf numFmtId="0" fontId="14" fillId="7" borderId="40" xfId="3" applyBorder="1" applyAlignment="1">
      <alignment horizontal="left" vertical="center"/>
    </xf>
    <xf numFmtId="0" fontId="14" fillId="7" borderId="42" xfId="3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9" fillId="2" borderId="58" xfId="1" applyFont="1" applyBorder="1" applyAlignment="1">
      <alignment horizontal="center" vertic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26" fillId="2" borderId="58" xfId="1" applyFont="1" applyBorder="1" applyAlignment="1">
      <alignment horizontal="center" vertical="center"/>
    </xf>
    <xf numFmtId="0" fontId="27" fillId="2" borderId="58" xfId="1" applyFont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0" fillId="0" borderId="32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0" fillId="2" borderId="17" xfId="1" applyFont="1" applyBorder="1" applyAlignment="1">
      <alignment horizontal="center" vertical="center"/>
    </xf>
    <xf numFmtId="0" fontId="42" fillId="0" borderId="17" xfId="0" quotePrefix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17" xfId="0" quotePrefix="1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1" fillId="7" borderId="17" xfId="3" quotePrefix="1" applyFont="1" applyBorder="1" applyAlignment="1">
      <alignment horizontal="center" vertical="center"/>
    </xf>
    <xf numFmtId="0" fontId="41" fillId="7" borderId="17" xfId="3" applyFont="1" applyBorder="1" applyAlignment="1">
      <alignment horizontal="center" vertical="center"/>
    </xf>
    <xf numFmtId="0" fontId="50" fillId="2" borderId="18" xfId="1" applyFont="1" applyBorder="1" applyAlignment="1">
      <alignment horizontal="center" vertical="center"/>
    </xf>
    <xf numFmtId="0" fontId="50" fillId="2" borderId="19" xfId="1" applyFont="1" applyBorder="1" applyAlignment="1">
      <alignment horizontal="center" vertical="center"/>
    </xf>
    <xf numFmtId="0" fontId="50" fillId="2" borderId="21" xfId="1" applyFont="1" applyBorder="1" applyAlignment="1">
      <alignment horizontal="center" vertical="center"/>
    </xf>
    <xf numFmtId="0" fontId="50" fillId="2" borderId="17" xfId="1" applyFont="1" applyBorder="1" applyAlignment="1">
      <alignment horizontal="center" vertical="center"/>
    </xf>
    <xf numFmtId="0" fontId="53" fillId="7" borderId="19" xfId="3" applyFont="1" applyBorder="1" applyAlignment="1">
      <alignment horizontal="left" vertical="center"/>
    </xf>
    <xf numFmtId="0" fontId="53" fillId="7" borderId="20" xfId="3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0" fontId="48" fillId="0" borderId="22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9" fillId="2" borderId="45" xfId="1" applyFont="1" applyBorder="1" applyAlignment="1">
      <alignment horizontal="center" vertical="center"/>
    </xf>
    <xf numFmtId="0" fontId="9" fillId="2" borderId="46" xfId="1" applyFont="1" applyBorder="1" applyAlignment="1">
      <alignment horizontal="center" vertical="center"/>
    </xf>
    <xf numFmtId="0" fontId="20" fillId="0" borderId="46" xfId="0" applyFont="1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22" fillId="2" borderId="17" xfId="1" applyFont="1" applyBorder="1" applyAlignment="1">
      <alignment horizontal="center" vertical="center"/>
    </xf>
    <xf numFmtId="0" fontId="14" fillId="7" borderId="17" xfId="3" applyBorder="1" applyAlignment="1">
      <alignment horizontal="left" vertical="center"/>
    </xf>
    <xf numFmtId="0" fontId="14" fillId="7" borderId="22" xfId="3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50" fillId="2" borderId="57" xfId="1" applyFont="1" applyBorder="1" applyAlignment="1">
      <alignment horizontal="center" vertical="center"/>
    </xf>
    <xf numFmtId="0" fontId="51" fillId="2" borderId="58" xfId="1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48" fillId="0" borderId="2" xfId="0" applyFont="1" applyBorder="1" applyAlignment="1">
      <alignment horizontal="left" vertical="center"/>
    </xf>
    <xf numFmtId="0" fontId="48" fillId="0" borderId="3" xfId="0" applyFont="1" applyBorder="1" applyAlignment="1">
      <alignment horizontal="left" vertical="center"/>
    </xf>
    <xf numFmtId="0" fontId="9" fillId="2" borderId="57" xfId="1" applyFont="1" applyBorder="1" applyAlignment="1">
      <alignment horizontal="center" vertical="center"/>
    </xf>
    <xf numFmtId="0" fontId="20" fillId="0" borderId="58" xfId="0" applyFont="1" applyBorder="1" applyAlignment="1">
      <alignment horizontal="left" vertical="center"/>
    </xf>
    <xf numFmtId="0" fontId="22" fillId="2" borderId="1" xfId="1" applyFont="1" applyBorder="1" applyAlignment="1">
      <alignment horizontal="center" vertical="center"/>
    </xf>
    <xf numFmtId="0" fontId="9" fillId="2" borderId="2" xfId="1" applyFont="1" applyBorder="1" applyAlignment="1">
      <alignment horizontal="center" vertical="center"/>
    </xf>
    <xf numFmtId="0" fontId="51" fillId="2" borderId="17" xfId="1" applyFont="1" applyBorder="1" applyAlignment="1">
      <alignment horizontal="center" vertical="center"/>
    </xf>
    <xf numFmtId="0" fontId="52" fillId="0" borderId="17" xfId="0" applyFont="1" applyBorder="1" applyAlignment="1">
      <alignment horizontal="left" vertical="center"/>
    </xf>
    <xf numFmtId="0" fontId="52" fillId="0" borderId="22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54" fillId="0" borderId="19" xfId="0" applyFont="1" applyBorder="1" applyAlignment="1">
      <alignment horizontal="left" vertical="center"/>
    </xf>
    <xf numFmtId="0" fontId="54" fillId="0" borderId="20" xfId="0" applyFont="1" applyBorder="1" applyAlignment="1">
      <alignment horizontal="left" vertical="center"/>
    </xf>
    <xf numFmtId="0" fontId="44" fillId="0" borderId="48" xfId="0" applyFont="1" applyBorder="1" applyAlignment="1">
      <alignment horizontal="center" vertical="center" wrapText="1"/>
    </xf>
    <xf numFmtId="0" fontId="44" fillId="0" borderId="71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54" fillId="2" borderId="34" xfId="1" applyFont="1" applyBorder="1" applyAlignment="1">
      <alignment horizontal="center" vertical="center"/>
    </xf>
    <xf numFmtId="0" fontId="54" fillId="2" borderId="40" xfId="1" applyFont="1" applyBorder="1" applyAlignment="1">
      <alignment horizontal="center" vertical="center"/>
    </xf>
    <xf numFmtId="0" fontId="54" fillId="2" borderId="31" xfId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0" fontId="54" fillId="0" borderId="40" xfId="0" applyFont="1" applyBorder="1" applyAlignment="1">
      <alignment horizontal="left" vertical="center"/>
    </xf>
    <xf numFmtId="0" fontId="54" fillId="0" borderId="42" xfId="0" applyFont="1" applyBorder="1" applyAlignment="1">
      <alignment horizontal="left" vertical="center"/>
    </xf>
    <xf numFmtId="0" fontId="20" fillId="0" borderId="48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9" fillId="2" borderId="41" xfId="1" applyFont="1" applyBorder="1" applyAlignment="1">
      <alignment horizontal="center" vertical="center"/>
    </xf>
    <xf numFmtId="0" fontId="39" fillId="0" borderId="24" xfId="0" applyFont="1" applyBorder="1" applyAlignment="1">
      <alignment horizontal="left" vertical="center"/>
    </xf>
    <xf numFmtId="0" fontId="39" fillId="0" borderId="25" xfId="0" applyFont="1" applyBorder="1" applyAlignment="1">
      <alignment horizontal="left" vertical="center"/>
    </xf>
    <xf numFmtId="0" fontId="39" fillId="2" borderId="18" xfId="1" applyFont="1" applyBorder="1" applyAlignment="1">
      <alignment horizontal="center" vertical="center"/>
    </xf>
    <xf numFmtId="0" fontId="54" fillId="2" borderId="19" xfId="1" applyFont="1" applyBorder="1" applyAlignment="1">
      <alignment horizontal="center" vertical="center"/>
    </xf>
    <xf numFmtId="0" fontId="54" fillId="2" borderId="23" xfId="1" applyFont="1" applyBorder="1" applyAlignment="1">
      <alignment horizontal="center" vertical="center"/>
    </xf>
    <xf numFmtId="0" fontId="54" fillId="2" borderId="24" xfId="1" applyFont="1" applyBorder="1" applyAlignment="1">
      <alignment horizontal="center" vertical="center"/>
    </xf>
    <xf numFmtId="0" fontId="54" fillId="0" borderId="24" xfId="0" applyFont="1" applyBorder="1" applyAlignment="1">
      <alignment horizontal="left" vertical="center"/>
    </xf>
    <xf numFmtId="0" fontId="54" fillId="0" borderId="25" xfId="0" applyFont="1" applyBorder="1" applyAlignment="1">
      <alignment horizontal="left" vertical="center"/>
    </xf>
    <xf numFmtId="0" fontId="38" fillId="2" borderId="21" xfId="1" applyFont="1" applyBorder="1" applyAlignment="1">
      <alignment horizontal="center" vertical="center"/>
    </xf>
    <xf numFmtId="0" fontId="38" fillId="2" borderId="17" xfId="1" applyFont="1" applyBorder="1" applyAlignment="1">
      <alignment horizontal="center" vertical="center"/>
    </xf>
    <xf numFmtId="0" fontId="39" fillId="0" borderId="17" xfId="0" applyFont="1" applyBorder="1" applyAlignment="1">
      <alignment horizontal="left" vertical="center"/>
    </xf>
    <xf numFmtId="0" fontId="39" fillId="0" borderId="22" xfId="0" applyFont="1" applyBorder="1" applyAlignment="1">
      <alignment horizontal="left" vertical="center"/>
    </xf>
    <xf numFmtId="0" fontId="38" fillId="2" borderId="24" xfId="1" applyFont="1" applyBorder="1" applyAlignment="1">
      <alignment horizontal="center" vertical="center"/>
    </xf>
    <xf numFmtId="0" fontId="38" fillId="2" borderId="18" xfId="1" applyFont="1" applyBorder="1" applyAlignment="1">
      <alignment horizontal="center" vertical="center"/>
    </xf>
    <xf numFmtId="0" fontId="38" fillId="2" borderId="19" xfId="1" applyFont="1" applyBorder="1" applyAlignment="1">
      <alignment horizontal="center" vertical="center"/>
    </xf>
    <xf numFmtId="0" fontId="39" fillId="0" borderId="19" xfId="0" applyFont="1" applyBorder="1" applyAlignment="1">
      <alignment horizontal="left" vertical="center"/>
    </xf>
    <xf numFmtId="0" fontId="39" fillId="0" borderId="20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22" fillId="2" borderId="5" xfId="1" applyFont="1" applyBorder="1" applyAlignment="1">
      <alignment horizontal="center" vertical="center"/>
    </xf>
    <xf numFmtId="0" fontId="22" fillId="2" borderId="66" xfId="1" applyFont="1" applyBorder="1" applyAlignment="1">
      <alignment horizontal="center" vertical="center"/>
    </xf>
    <xf numFmtId="0" fontId="22" fillId="2" borderId="49" xfId="1" applyFont="1" applyBorder="1" applyAlignment="1">
      <alignment horizontal="center" vertical="center"/>
    </xf>
    <xf numFmtId="0" fontId="22" fillId="2" borderId="55" xfId="1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0" fillId="0" borderId="1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20" fillId="0" borderId="22" xfId="0" applyFont="1" applyBorder="1" applyAlignment="1">
      <alignment horizontal="left" vertical="center"/>
    </xf>
    <xf numFmtId="0" fontId="9" fillId="2" borderId="33" xfId="1" applyFont="1" applyBorder="1" applyAlignment="1">
      <alignment horizontal="center" vertical="center"/>
    </xf>
    <xf numFmtId="0" fontId="9" fillId="2" borderId="68" xfId="1" applyFont="1" applyBorder="1" applyAlignment="1">
      <alignment horizontal="center" vertical="center"/>
    </xf>
    <xf numFmtId="0" fontId="9" fillId="2" borderId="30" xfId="1" applyFont="1" applyBorder="1" applyAlignment="1">
      <alignment horizontal="center" vertical="center"/>
    </xf>
    <xf numFmtId="0" fontId="9" fillId="2" borderId="16" xfId="1" applyFont="1" applyBorder="1" applyAlignment="1">
      <alignment horizontal="center" vertical="center"/>
    </xf>
    <xf numFmtId="0" fontId="62" fillId="0" borderId="14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8">
    <cellStyle name="60% - 강조색6" xfId="7" builtinId="52"/>
    <cellStyle name="강조색5" xfId="6" builtinId="45"/>
    <cellStyle name="나쁨" xfId="3" builtinId="27"/>
    <cellStyle name="메모" xfId="4" builtinId="10"/>
    <cellStyle name="보통" xfId="2" builtinId="28"/>
    <cellStyle name="입력" xfId="5" builtinId="20"/>
    <cellStyle name="좋음" xfId="1" builtinId="26"/>
    <cellStyle name="표준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2</xdr:row>
      <xdr:rowOff>123264</xdr:rowOff>
    </xdr:from>
    <xdr:to>
      <xdr:col>20</xdr:col>
      <xdr:colOff>274005</xdr:colOff>
      <xdr:row>39</xdr:row>
      <xdr:rowOff>78440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87D6447-D018-7BBA-B148-B31BBB35D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4" y="481852"/>
          <a:ext cx="13194387" cy="6589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19</xdr:row>
      <xdr:rowOff>171450</xdr:rowOff>
    </xdr:from>
    <xdr:to>
      <xdr:col>5</xdr:col>
      <xdr:colOff>1485900</xdr:colOff>
      <xdr:row>41</xdr:row>
      <xdr:rowOff>156952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031A5CB-541D-7AC4-947B-968DDE01A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981450"/>
          <a:ext cx="7334250" cy="3966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157587</xdr:colOff>
      <xdr:row>35</xdr:row>
      <xdr:rowOff>47625</xdr:rowOff>
    </xdr:from>
    <xdr:to>
      <xdr:col>38</xdr:col>
      <xdr:colOff>377313</xdr:colOff>
      <xdr:row>50</xdr:row>
      <xdr:rowOff>105352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4EB6088-8EA9-6C99-D0A5-4BFFCC0C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0996" y="7598352"/>
          <a:ext cx="7701181" cy="3192318"/>
        </a:xfrm>
        <a:prstGeom prst="rect">
          <a:avLst/>
        </a:prstGeom>
      </xdr:spPr>
    </xdr:pic>
    <xdr:clientData/>
  </xdr:twoCellAnchor>
  <xdr:twoCellAnchor editAs="oneCell">
    <xdr:from>
      <xdr:col>4</xdr:col>
      <xdr:colOff>631238</xdr:colOff>
      <xdr:row>36</xdr:row>
      <xdr:rowOff>66674</xdr:rowOff>
    </xdr:from>
    <xdr:to>
      <xdr:col>19</xdr:col>
      <xdr:colOff>287355</xdr:colOff>
      <xdr:row>50</xdr:row>
      <xdr:rowOff>157239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755363-DF3A-3D8D-07C3-A966FCD5C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1465" y="7842538"/>
          <a:ext cx="7033663" cy="30000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409576</xdr:colOff>
      <xdr:row>17</xdr:row>
      <xdr:rowOff>0</xdr:rowOff>
    </xdr:from>
    <xdr:to>
      <xdr:col>4</xdr:col>
      <xdr:colOff>1200150</xdr:colOff>
      <xdr:row>21</xdr:row>
      <xdr:rowOff>47625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D28B4A7-2A1C-4448-9139-87B2DD767488}"/>
            </a:ext>
          </a:extLst>
        </xdr:cNvPr>
        <xdr:cNvSpPr txBox="1"/>
      </xdr:nvSpPr>
      <xdr:spPr>
        <a:xfrm>
          <a:off x="695326" y="3324225"/>
          <a:ext cx="4029074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600" b="1">
              <a:solidFill>
                <a:srgbClr val="0000FF"/>
              </a:solidFill>
            </a:rPr>
            <a:t>- Normal burning board</a:t>
          </a:r>
          <a:r>
            <a:rPr lang="ko-KR" altLang="en-US" sz="1600" b="1">
              <a:solidFill>
                <a:srgbClr val="0000FF"/>
              </a:solidFill>
            </a:rPr>
            <a:t>에서는 </a:t>
          </a:r>
          <a:r>
            <a:rPr lang="en-US" altLang="ko-KR" sz="1600" b="1">
              <a:solidFill>
                <a:srgbClr val="0000FF"/>
              </a:solidFill>
            </a:rPr>
            <a:t>PG_0</a:t>
          </a:r>
          <a:r>
            <a:rPr lang="en-US" altLang="ko-KR" sz="1600" b="1" baseline="0">
              <a:solidFill>
                <a:srgbClr val="0000FF"/>
              </a:solidFill>
            </a:rPr>
            <a:t> </a:t>
          </a:r>
          <a:r>
            <a:rPr lang="ko-KR" altLang="en-US" sz="1600" b="1" baseline="0">
              <a:solidFill>
                <a:srgbClr val="0000FF"/>
              </a:solidFill>
            </a:rPr>
            <a:t>만 사용</a:t>
          </a:r>
          <a:endParaRPr lang="en-US" altLang="zh-CN" sz="1600" b="1">
            <a:solidFill>
              <a:srgbClr val="0000FF"/>
            </a:solidFill>
          </a:endParaRPr>
        </a:p>
        <a:p>
          <a:r>
            <a:rPr lang="en-US" altLang="zh-CN" sz="1600" b="1">
              <a:solidFill>
                <a:srgbClr val="0000FF"/>
              </a:solidFill>
            </a:rPr>
            <a:t>- PG_3~1, TG_1~0 </a:t>
          </a:r>
          <a:r>
            <a:rPr lang="ko-KR" altLang="en-US" sz="1600" b="1">
              <a:solidFill>
                <a:srgbClr val="0000FF"/>
              </a:solidFill>
            </a:rPr>
            <a:t>은 </a:t>
          </a:r>
          <a:r>
            <a:rPr lang="en-US" altLang="ko-KR" sz="1600" b="1">
              <a:solidFill>
                <a:srgbClr val="0000FF"/>
              </a:solidFill>
            </a:rPr>
            <a:t>HSBI</a:t>
          </a:r>
          <a:r>
            <a:rPr lang="ko-KR" altLang="en-US" sz="1600" b="1">
              <a:solidFill>
                <a:srgbClr val="0000FF"/>
              </a:solidFill>
            </a:rPr>
            <a:t>를 위한 옵션</a:t>
          </a:r>
          <a:endParaRPr lang="zh-CN" altLang="en-US" sz="1600" b="1">
            <a:solidFill>
              <a:srgbClr val="0000FF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16</xdr:row>
      <xdr:rowOff>219074</xdr:rowOff>
    </xdr:from>
    <xdr:to>
      <xdr:col>4</xdr:col>
      <xdr:colOff>1181100</xdr:colOff>
      <xdr:row>22</xdr:row>
      <xdr:rowOff>47624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87B53EA-C6C0-4EC8-9F3F-DF3D1D679EB3}"/>
            </a:ext>
          </a:extLst>
        </xdr:cNvPr>
        <xdr:cNvSpPr txBox="1"/>
      </xdr:nvSpPr>
      <xdr:spPr>
        <a:xfrm>
          <a:off x="657225" y="3352799"/>
          <a:ext cx="40481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600" b="1">
              <a:solidFill>
                <a:srgbClr val="FF0000"/>
              </a:solidFill>
            </a:rPr>
            <a:t>- WRITE</a:t>
          </a:r>
          <a:r>
            <a:rPr lang="en-US" altLang="zh-CN" sz="1600" b="1" baseline="0">
              <a:solidFill>
                <a:srgbClr val="FF0000"/>
              </a:solidFill>
            </a:rPr>
            <a:t> : multiple FPGA </a:t>
          </a:r>
          <a:r>
            <a:rPr lang="ko-KR" altLang="en-US" sz="1600" b="1" baseline="0">
              <a:solidFill>
                <a:srgbClr val="FF0000"/>
              </a:solidFill>
            </a:rPr>
            <a:t>동시 쓰기 가능</a:t>
          </a:r>
          <a:endParaRPr lang="en-US" altLang="zh-CN" sz="1600" b="1" baseline="0">
            <a:solidFill>
              <a:srgbClr val="FF0000"/>
            </a:solidFill>
          </a:endParaRPr>
        </a:p>
        <a:p>
          <a:pPr algn="l"/>
          <a:r>
            <a:rPr lang="en-US" altLang="zh-CN" sz="1600" b="1" baseline="0">
              <a:solidFill>
                <a:srgbClr val="FF0000"/>
              </a:solidFill>
            </a:rPr>
            <a:t>- READ   : </a:t>
          </a:r>
          <a:r>
            <a:rPr lang="ko-KR" altLang="en-US" sz="1600" b="1" baseline="0">
              <a:solidFill>
                <a:srgbClr val="FF0000"/>
              </a:solidFill>
            </a:rPr>
            <a:t>하나의 </a:t>
          </a:r>
          <a:r>
            <a:rPr lang="en-US" altLang="ko-KR" sz="1600" b="1" baseline="0">
              <a:solidFill>
                <a:srgbClr val="FF0000"/>
              </a:solidFill>
            </a:rPr>
            <a:t>FPGA</a:t>
          </a:r>
          <a:r>
            <a:rPr lang="ko-KR" altLang="en-US" sz="1600" b="1" baseline="0">
              <a:solidFill>
                <a:srgbClr val="FF0000"/>
              </a:solidFill>
            </a:rPr>
            <a:t>만 읽기 가능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17</xdr:row>
      <xdr:rowOff>0</xdr:rowOff>
    </xdr:from>
    <xdr:to>
      <xdr:col>4</xdr:col>
      <xdr:colOff>1181100</xdr:colOff>
      <xdr:row>22</xdr:row>
      <xdr:rowOff>47625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A6B34A9E-2296-48FC-97A2-64DBAF1E9542}"/>
            </a:ext>
          </a:extLst>
        </xdr:cNvPr>
        <xdr:cNvSpPr txBox="1"/>
      </xdr:nvSpPr>
      <xdr:spPr>
        <a:xfrm>
          <a:off x="657225" y="3352800"/>
          <a:ext cx="40481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600" b="1">
              <a:solidFill>
                <a:srgbClr val="FF0000"/>
              </a:solidFill>
            </a:rPr>
            <a:t>- WRITE</a:t>
          </a:r>
          <a:r>
            <a:rPr lang="en-US" altLang="zh-CN" sz="1600" b="1" baseline="0">
              <a:solidFill>
                <a:srgbClr val="FF0000"/>
              </a:solidFill>
            </a:rPr>
            <a:t> : multiple FPGA </a:t>
          </a:r>
          <a:r>
            <a:rPr lang="ko-KR" altLang="en-US" sz="1600" b="1" baseline="0">
              <a:solidFill>
                <a:srgbClr val="FF0000"/>
              </a:solidFill>
            </a:rPr>
            <a:t>동시 쓰기 가능</a:t>
          </a:r>
          <a:endParaRPr lang="en-US" altLang="zh-CN" sz="1600" b="1" baseline="0">
            <a:solidFill>
              <a:srgbClr val="FF0000"/>
            </a:solidFill>
          </a:endParaRPr>
        </a:p>
        <a:p>
          <a:pPr algn="l"/>
          <a:r>
            <a:rPr lang="en-US" altLang="zh-CN" sz="1600" b="1" baseline="0">
              <a:solidFill>
                <a:srgbClr val="FF0000"/>
              </a:solidFill>
            </a:rPr>
            <a:t>- READ   : </a:t>
          </a:r>
          <a:r>
            <a:rPr lang="ko-KR" altLang="en-US" sz="1600" b="1" baseline="0">
              <a:solidFill>
                <a:srgbClr val="FF0000"/>
              </a:solidFill>
            </a:rPr>
            <a:t>하나의 </a:t>
          </a:r>
          <a:r>
            <a:rPr lang="en-US" altLang="ko-KR" sz="1600" b="1" baseline="0">
              <a:solidFill>
                <a:srgbClr val="FF0000"/>
              </a:solidFill>
            </a:rPr>
            <a:t>FPGA</a:t>
          </a:r>
          <a:r>
            <a:rPr lang="ko-KR" altLang="en-US" sz="1600" b="1" baseline="0">
              <a:solidFill>
                <a:srgbClr val="FF0000"/>
              </a:solidFill>
            </a:rPr>
            <a:t>만 읽기 가능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219075</xdr:colOff>
      <xdr:row>31</xdr:row>
      <xdr:rowOff>17228</xdr:rowOff>
    </xdr:from>
    <xdr:to>
      <xdr:col>35</xdr:col>
      <xdr:colOff>217668</xdr:colOff>
      <xdr:row>39</xdr:row>
      <xdr:rowOff>199650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BB37222-2CC2-4DC0-815B-B001E69F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9900" y="8704028"/>
          <a:ext cx="6961368" cy="1849297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23</xdr:row>
      <xdr:rowOff>9525</xdr:rowOff>
    </xdr:from>
    <xdr:to>
      <xdr:col>7</xdr:col>
      <xdr:colOff>57150</xdr:colOff>
      <xdr:row>28</xdr:row>
      <xdr:rowOff>58271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3D049E3-84FB-41A2-BC00-0662BAC6FBB1}"/>
            </a:ext>
          </a:extLst>
        </xdr:cNvPr>
        <xdr:cNvSpPr txBox="1"/>
      </xdr:nvSpPr>
      <xdr:spPr>
        <a:xfrm>
          <a:off x="523875" y="4505325"/>
          <a:ext cx="5438775" cy="11345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2000" b="1">
              <a:solidFill>
                <a:srgbClr val="FF0000"/>
              </a:solidFill>
            </a:rPr>
            <a:t>HMBT400</a:t>
          </a:r>
          <a:r>
            <a:rPr lang="ko-KR" altLang="en-US" sz="2000" b="1">
              <a:solidFill>
                <a:srgbClr val="FF0000"/>
              </a:solidFill>
            </a:rPr>
            <a:t>에는 </a:t>
          </a:r>
          <a:r>
            <a:rPr lang="en-US" altLang="zh-CN" sz="2000" b="1">
              <a:solidFill>
                <a:srgbClr val="FF0000"/>
              </a:solidFill>
            </a:rPr>
            <a:t>ADC 1EA</a:t>
          </a:r>
          <a:r>
            <a:rPr lang="ko-KR" altLang="en-US" sz="2000" b="1">
              <a:solidFill>
                <a:srgbClr val="FF0000"/>
              </a:solidFill>
            </a:rPr>
            <a:t>만 있으므로</a:t>
          </a:r>
          <a:r>
            <a:rPr lang="en-US" altLang="ko-KR" sz="2000" b="1">
              <a:solidFill>
                <a:srgbClr val="FF0000"/>
              </a:solidFill>
            </a:rPr>
            <a:t>, </a:t>
          </a:r>
          <a:r>
            <a:rPr lang="en-US" altLang="ko-KR" sz="2000" b="1" baseline="0">
              <a:solidFill>
                <a:srgbClr val="FF0000"/>
              </a:solidFill>
            </a:rPr>
            <a:t> </a:t>
          </a:r>
          <a:r>
            <a:rPr lang="en-US" altLang="zh-CN" sz="2000" b="1">
              <a:solidFill>
                <a:srgbClr val="FF0000"/>
              </a:solidFill>
            </a:rPr>
            <a:t>SELEC</a:t>
          </a:r>
          <a:r>
            <a:rPr lang="en-US" altLang="zh-CN" sz="2000" b="1" baseline="0">
              <a:solidFill>
                <a:srgbClr val="FF0000"/>
              </a:solidFill>
            </a:rPr>
            <a:t>T = 0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333375</xdr:colOff>
      <xdr:row>17</xdr:row>
      <xdr:rowOff>133350</xdr:rowOff>
    </xdr:from>
    <xdr:to>
      <xdr:col>31</xdr:col>
      <xdr:colOff>266700</xdr:colOff>
      <xdr:row>40</xdr:row>
      <xdr:rowOff>60513</xdr:rowOff>
    </xdr:to>
    <xdr:pic>
      <xdr:nvPicPr>
        <xdr:cNvPr id="5" name="그림 3">
          <a:extLst>
            <a:ext uri="{FF2B5EF4-FFF2-40B4-BE49-F238E27FC236}">
              <a16:creationId xmlns:a16="http://schemas.microsoft.com/office/drawing/2014/main" id="{683EE2C8-D333-471D-804E-FEFDDF00B0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526"/>
        <a:stretch/>
      </xdr:blipFill>
      <xdr:spPr>
        <a:xfrm>
          <a:off x="10334625" y="3486150"/>
          <a:ext cx="5667375" cy="4413438"/>
        </a:xfrm>
        <a:prstGeom prst="rect">
          <a:avLst/>
        </a:prstGeom>
      </xdr:spPr>
    </xdr:pic>
    <xdr:clientData/>
  </xdr:twoCellAnchor>
  <xdr:twoCellAnchor editAs="oneCell">
    <xdr:from>
      <xdr:col>1</xdr:col>
      <xdr:colOff>598954</xdr:colOff>
      <xdr:row>24</xdr:row>
      <xdr:rowOff>118225</xdr:rowOff>
    </xdr:from>
    <xdr:to>
      <xdr:col>4</xdr:col>
      <xdr:colOff>1436645</xdr:colOff>
      <xdr:row>59</xdr:row>
      <xdr:rowOff>64611</xdr:rowOff>
    </xdr:to>
    <xdr:pic>
      <xdr:nvPicPr>
        <xdr:cNvPr id="7" name="그림 5">
          <a:extLst>
            <a:ext uri="{FF2B5EF4-FFF2-40B4-BE49-F238E27FC236}">
              <a16:creationId xmlns:a16="http://schemas.microsoft.com/office/drawing/2014/main" id="{2A9A08E3-3BFB-4CAF-8035-64E12CB41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704" y="4947400"/>
          <a:ext cx="4076191" cy="6394811"/>
        </a:xfrm>
        <a:prstGeom prst="rect">
          <a:avLst/>
        </a:prstGeom>
      </xdr:spPr>
    </xdr:pic>
    <xdr:clientData/>
  </xdr:twoCellAnchor>
  <xdr:twoCellAnchor editAs="oneCell">
    <xdr:from>
      <xdr:col>1</xdr:col>
      <xdr:colOff>675154</xdr:colOff>
      <xdr:row>15</xdr:row>
      <xdr:rowOff>173692</xdr:rowOff>
    </xdr:from>
    <xdr:to>
      <xdr:col>4</xdr:col>
      <xdr:colOff>1352550</xdr:colOff>
      <xdr:row>24</xdr:row>
      <xdr:rowOff>71119</xdr:rowOff>
    </xdr:to>
    <xdr:pic>
      <xdr:nvPicPr>
        <xdr:cNvPr id="8" name="그림 6">
          <a:extLst>
            <a:ext uri="{FF2B5EF4-FFF2-40B4-BE49-F238E27FC236}">
              <a16:creationId xmlns:a16="http://schemas.microsoft.com/office/drawing/2014/main" id="{492FFD20-F1D5-4876-A451-2BF662EB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04" y="3059767"/>
          <a:ext cx="3915896" cy="178337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34</xdr:row>
      <xdr:rowOff>9525</xdr:rowOff>
    </xdr:from>
    <xdr:to>
      <xdr:col>4</xdr:col>
      <xdr:colOff>1657350</xdr:colOff>
      <xdr:row>43</xdr:row>
      <xdr:rowOff>142875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6ED2ADE1-C8A2-4273-AB22-A7B4B5AC728D}"/>
            </a:ext>
          </a:extLst>
        </xdr:cNvPr>
        <xdr:cNvSpPr txBox="1"/>
      </xdr:nvSpPr>
      <xdr:spPr>
        <a:xfrm>
          <a:off x="304800" y="6915150"/>
          <a:ext cx="4876800" cy="2047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600" b="1">
              <a:solidFill>
                <a:srgbClr val="0000FF"/>
              </a:solidFill>
            </a:rPr>
            <a:t>- SCAN</a:t>
          </a:r>
          <a:r>
            <a:rPr lang="en-US" altLang="zh-CN" sz="1600" b="1" baseline="0">
              <a:solidFill>
                <a:srgbClr val="0000FF"/>
              </a:solidFill>
            </a:rPr>
            <a:t> : scan the I2C slave address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+ CMD : SCAN, LTC.No</a:t>
          </a:r>
        </a:p>
        <a:p>
          <a:r>
            <a:rPr lang="en-US" altLang="zh-CN" sz="1600" b="1" baseline="0">
              <a:solidFill>
                <a:srgbClr val="FF0000"/>
              </a:solidFill>
            </a:rPr>
            <a:t>     - LTC.No : 0 ~ 4 for PPS, 5 ~ 14 for INA, 15 for VTT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+ RESULT : </a:t>
          </a:r>
        </a:p>
        <a:p>
          <a:r>
            <a:rPr lang="en-US" altLang="zh-CN" sz="1600" b="1">
              <a:solidFill>
                <a:srgbClr val="0000FF"/>
              </a:solidFill>
            </a:rPr>
            <a:t>     - RW.DATA.0</a:t>
          </a:r>
          <a:r>
            <a:rPr lang="en-US" altLang="zh-CN" sz="1600" b="1" baseline="0">
              <a:solidFill>
                <a:srgbClr val="0000FF"/>
              </a:solidFill>
            </a:rPr>
            <a:t> : slave address count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   - RW.DATA.1 : desired slave address</a:t>
          </a:r>
        </a:p>
        <a:p>
          <a:r>
            <a:rPr lang="en-US" altLang="zh-CN" sz="1600" b="1" baseline="0">
              <a:solidFill>
                <a:srgbClr val="0000FF"/>
              </a:solidFill>
            </a:rPr>
            <a:t>     - RW.DATA.2 ~ : scaned address.0 ~ N</a:t>
          </a:r>
          <a:endParaRPr lang="en-US" altLang="zh-CN" sz="1600" b="1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105334</xdr:colOff>
      <xdr:row>25</xdr:row>
      <xdr:rowOff>180975</xdr:rowOff>
    </xdr:from>
    <xdr:to>
      <xdr:col>7</xdr:col>
      <xdr:colOff>228600</xdr:colOff>
      <xdr:row>32</xdr:row>
      <xdr:rowOff>152960</xdr:rowOff>
    </xdr:to>
    <xdr:sp macro="" textlink="">
      <xdr:nvSpPr>
        <xdr:cNvPr id="7" name="文本框 3">
          <a:extLst>
            <a:ext uri="{FF2B5EF4-FFF2-40B4-BE49-F238E27FC236}">
              <a16:creationId xmlns:a16="http://schemas.microsoft.com/office/drawing/2014/main" id="{F0733831-DB30-4239-2976-A3B96A8B6D28}"/>
            </a:ext>
          </a:extLst>
        </xdr:cNvPr>
        <xdr:cNvSpPr txBox="1"/>
      </xdr:nvSpPr>
      <xdr:spPr>
        <a:xfrm>
          <a:off x="105334" y="5172075"/>
          <a:ext cx="6028766" cy="1457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800" b="1">
              <a:solidFill>
                <a:srgbClr val="FF0000"/>
              </a:solidFill>
            </a:rPr>
            <a:t>RUN</a:t>
          </a:r>
          <a:r>
            <a:rPr lang="en-US" altLang="ko-KR" sz="1800" b="1" baseline="0">
              <a:solidFill>
                <a:srgbClr val="FF0000"/>
              </a:solidFill>
            </a:rPr>
            <a:t> signal = RUN &amp; nALERT</a:t>
          </a:r>
          <a:endParaRPr lang="en-US" altLang="zh-CN" sz="1800" b="1" baseline="0">
            <a:solidFill>
              <a:srgbClr val="FF0000"/>
            </a:solidFill>
          </a:endParaRPr>
        </a:p>
        <a:p>
          <a:pPr algn="l"/>
          <a:r>
            <a:rPr lang="en-US" altLang="zh-CN" sz="1800" b="1" baseline="0">
              <a:solidFill>
                <a:srgbClr val="FF0000"/>
              </a:solidFill>
            </a:rPr>
            <a:t>- RUN = 1</a:t>
          </a:r>
          <a:r>
            <a:rPr lang="ko-KR" altLang="en-US" sz="1800" b="1" baseline="0">
              <a:solidFill>
                <a:srgbClr val="FF0000"/>
              </a:solidFill>
            </a:rPr>
            <a:t>일 때 동작</a:t>
          </a:r>
          <a:endParaRPr lang="en-US" altLang="ko-KR" sz="1800" b="1" baseline="0">
            <a:solidFill>
              <a:srgbClr val="FF0000"/>
            </a:solidFill>
          </a:endParaRPr>
        </a:p>
        <a:p>
          <a:pPr algn="l"/>
          <a:r>
            <a:rPr lang="en-US" altLang="zh-CN" sz="1800" b="1" baseline="0">
              <a:solidFill>
                <a:srgbClr val="FF0000"/>
              </a:solidFill>
            </a:rPr>
            <a:t>- ALERT </a:t>
          </a:r>
          <a:r>
            <a:rPr lang="ko-KR" altLang="en-US" sz="1800" b="1" baseline="0">
              <a:solidFill>
                <a:srgbClr val="FF0000"/>
              </a:solidFill>
            </a:rPr>
            <a:t>가 발생하면 바로 </a:t>
          </a:r>
          <a:r>
            <a:rPr lang="en-US" altLang="ko-KR" sz="1800" b="1" baseline="0">
              <a:solidFill>
                <a:srgbClr val="FF0000"/>
              </a:solidFill>
            </a:rPr>
            <a:t>RUN = 0</a:t>
          </a:r>
          <a:r>
            <a:rPr lang="ko-KR" altLang="en-US" sz="1800" b="1" baseline="0">
              <a:solidFill>
                <a:srgbClr val="FF0000"/>
              </a:solidFill>
            </a:rPr>
            <a:t>으로 되어 </a:t>
          </a:r>
          <a:r>
            <a:rPr lang="en-US" altLang="ko-KR" sz="1800" b="1" baseline="0">
              <a:solidFill>
                <a:srgbClr val="FF0000"/>
              </a:solidFill>
            </a:rPr>
            <a:t>ALL DPS OFF</a:t>
          </a:r>
          <a:endParaRPr lang="en-US" altLang="zh-CN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123265</xdr:colOff>
      <xdr:row>26</xdr:row>
      <xdr:rowOff>190500</xdr:rowOff>
    </xdr:from>
    <xdr:to>
      <xdr:col>33</xdr:col>
      <xdr:colOff>341221</xdr:colOff>
      <xdr:row>33</xdr:row>
      <xdr:rowOff>194422</xdr:rowOff>
    </xdr:to>
    <xdr:sp macro="" textlink="">
      <xdr:nvSpPr>
        <xdr:cNvPr id="2" name="文本框 3">
          <a:extLst>
            <a:ext uri="{FF2B5EF4-FFF2-40B4-BE49-F238E27FC236}">
              <a16:creationId xmlns:a16="http://schemas.microsoft.com/office/drawing/2014/main" id="{50F25F02-5F7B-4C0E-BFBB-56D403B9E44D}"/>
            </a:ext>
          </a:extLst>
        </xdr:cNvPr>
        <xdr:cNvSpPr txBox="1"/>
      </xdr:nvSpPr>
      <xdr:spPr>
        <a:xfrm>
          <a:off x="10943665" y="5400675"/>
          <a:ext cx="5952006" cy="1470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ERASE : 1</a:t>
          </a:r>
          <a:r>
            <a:rPr lang="en-US" altLang="ko-KR" sz="2000" b="1" baseline="0">
              <a:solidFill>
                <a:srgbClr val="FF0000"/>
              </a:solidFill>
            </a:rPr>
            <a:t> sector( 64 KB size )</a:t>
          </a:r>
          <a:endParaRPr lang="en-US" altLang="zh-CN" sz="20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145676</xdr:colOff>
      <xdr:row>24</xdr:row>
      <xdr:rowOff>112655</xdr:rowOff>
    </xdr:from>
    <xdr:to>
      <xdr:col>37</xdr:col>
      <xdr:colOff>287543</xdr:colOff>
      <xdr:row>52</xdr:row>
      <xdr:rowOff>159905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D11B4DD-A092-49D5-8547-893F88DFA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0323" y="4897567"/>
          <a:ext cx="6596455" cy="480975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19</xdr:row>
      <xdr:rowOff>100854</xdr:rowOff>
    </xdr:from>
    <xdr:to>
      <xdr:col>30</xdr:col>
      <xdr:colOff>190499</xdr:colOff>
      <xdr:row>37</xdr:row>
      <xdr:rowOff>33618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81E147C6-DA79-48F5-9D35-1922F53C7A99}"/>
            </a:ext>
          </a:extLst>
        </xdr:cNvPr>
        <xdr:cNvSpPr txBox="1"/>
      </xdr:nvSpPr>
      <xdr:spPr>
        <a:xfrm>
          <a:off x="6645088" y="3866030"/>
          <a:ext cx="9009529" cy="3440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Rev0.92 @ 220318 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부터 </a:t>
          </a:r>
          <a:r>
            <a:rPr lang="en-US" altLang="ko-KR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DPS-ADC IP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는 동작하지 않음</a:t>
          </a:r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zh-CN" sz="54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zoomScaleNormal="100" workbookViewId="0">
      <pane xSplit="5" ySplit="14" topLeftCell="F15" activePane="bottomRight" state="frozen"/>
      <selection pane="topRight" activeCell="F1" sqref="F1"/>
      <selection pane="bottomLeft" activeCell="A15" sqref="A15"/>
      <selection pane="bottomRight" activeCell="H13" sqref="H13"/>
    </sheetView>
  </sheetViews>
  <sheetFormatPr defaultRowHeight="16.5"/>
  <cols>
    <col min="1" max="1" width="3.625" style="12" customWidth="1"/>
    <col min="2" max="2" width="15.625" style="12" customWidth="1"/>
    <col min="3" max="3" width="21" style="12" customWidth="1"/>
    <col min="4" max="4" width="16.125" style="29" customWidth="1"/>
    <col min="5" max="5" width="88" customWidth="1"/>
    <col min="6" max="6" width="18.375" style="12" customWidth="1"/>
    <col min="7" max="7" width="19" style="12" customWidth="1"/>
    <col min="8" max="8" width="42.125" customWidth="1"/>
  </cols>
  <sheetData>
    <row r="1" spans="1:8" ht="17.25" thickBot="1"/>
    <row r="2" spans="1:8" ht="18" thickBot="1">
      <c r="B2" s="15" t="s">
        <v>10</v>
      </c>
      <c r="C2" s="15" t="s">
        <v>11</v>
      </c>
      <c r="D2" s="28" t="s">
        <v>12</v>
      </c>
      <c r="E2" s="15" t="s">
        <v>13</v>
      </c>
      <c r="F2" s="15" t="s">
        <v>31</v>
      </c>
      <c r="G2" s="15" t="s">
        <v>32</v>
      </c>
    </row>
    <row r="3" spans="1:8">
      <c r="B3" s="150" t="s">
        <v>15</v>
      </c>
      <c r="C3" s="19" t="str">
        <f>C15</f>
        <v>BOARD-ID</v>
      </c>
      <c r="D3" s="29">
        <f>D15</f>
        <v>0.5</v>
      </c>
      <c r="E3" s="1" t="s">
        <v>362</v>
      </c>
      <c r="F3" s="32">
        <f>B15</f>
        <v>44454</v>
      </c>
      <c r="G3" s="32">
        <f>G15</f>
        <v>0</v>
      </c>
    </row>
    <row r="4" spans="1:8">
      <c r="B4" s="150"/>
      <c r="C4" s="16" t="str">
        <f>C18</f>
        <v>CFGx8-C2X</v>
      </c>
      <c r="D4" s="29">
        <f>D18</f>
        <v>0.61</v>
      </c>
      <c r="E4" s="1" t="s">
        <v>172</v>
      </c>
      <c r="F4" s="33">
        <f>B18</f>
        <v>44789</v>
      </c>
      <c r="G4" s="33">
        <f>G18</f>
        <v>0</v>
      </c>
    </row>
    <row r="5" spans="1:8">
      <c r="B5" s="150"/>
      <c r="C5" s="16" t="str">
        <f>C23</f>
        <v>LBx8-C2P</v>
      </c>
      <c r="D5" s="29">
        <f>D23</f>
        <v>0.6</v>
      </c>
      <c r="E5" s="1" t="s">
        <v>173</v>
      </c>
      <c r="F5" s="33">
        <f>B23</f>
        <v>44789</v>
      </c>
      <c r="G5" s="33">
        <f>G23</f>
        <v>0</v>
      </c>
    </row>
    <row r="6" spans="1:8">
      <c r="B6" s="150"/>
      <c r="C6" s="16" t="str">
        <f>C27</f>
        <v>LBx8-C2T</v>
      </c>
      <c r="D6" s="29">
        <f>D27</f>
        <v>0.6</v>
      </c>
      <c r="E6" s="1" t="s">
        <v>174</v>
      </c>
      <c r="F6" s="33">
        <f>B27</f>
        <v>44789</v>
      </c>
      <c r="G6" s="33">
        <f>G27</f>
        <v>0</v>
      </c>
    </row>
    <row r="7" spans="1:8">
      <c r="B7" s="150"/>
      <c r="C7" s="16" t="str">
        <f>C31</f>
        <v>ADC-AD7606</v>
      </c>
      <c r="D7" s="29">
        <f>D31</f>
        <v>0.5</v>
      </c>
      <c r="E7" s="1" t="s">
        <v>177</v>
      </c>
      <c r="F7" s="33">
        <f>B31</f>
        <v>44455</v>
      </c>
      <c r="G7" s="33">
        <f>G31</f>
        <v>0</v>
      </c>
    </row>
    <row r="8" spans="1:8">
      <c r="B8" s="150"/>
      <c r="C8" s="16" t="str">
        <f>C34</f>
        <v>DAC-AD5381</v>
      </c>
      <c r="D8" s="29">
        <f>D34</f>
        <v>0.5</v>
      </c>
      <c r="E8" s="1" t="s">
        <v>176</v>
      </c>
      <c r="F8" s="33">
        <f>B34</f>
        <v>44685</v>
      </c>
      <c r="G8" s="33">
        <f>G34</f>
        <v>0</v>
      </c>
    </row>
    <row r="9" spans="1:8">
      <c r="B9" s="150"/>
      <c r="C9" s="16" t="str">
        <f>C37</f>
        <v>PPS</v>
      </c>
      <c r="D9" s="29">
        <f>D37</f>
        <v>0.52</v>
      </c>
      <c r="E9" s="1" t="s">
        <v>175</v>
      </c>
      <c r="F9" s="33">
        <f>B37</f>
        <v>44789</v>
      </c>
      <c r="G9" s="33">
        <f>G37</f>
        <v>0</v>
      </c>
    </row>
    <row r="10" spans="1:8">
      <c r="B10" s="150"/>
      <c r="C10" s="16" t="str">
        <f>C40</f>
        <v>CFG-PROM</v>
      </c>
      <c r="D10" s="29">
        <f>D40</f>
        <v>0.5</v>
      </c>
      <c r="E10" s="1" t="s">
        <v>462</v>
      </c>
      <c r="F10" s="33">
        <f>B40</f>
        <v>45091</v>
      </c>
      <c r="G10" s="33">
        <f>G40</f>
        <v>0</v>
      </c>
    </row>
    <row r="11" spans="1:8" ht="17.25" thickBot="1">
      <c r="B11" s="151"/>
      <c r="C11" s="17" t="str">
        <f>C43</f>
        <v>PJT-INFO</v>
      </c>
      <c r="D11" s="30">
        <f>D43</f>
        <v>0.5</v>
      </c>
      <c r="E11" s="11" t="s">
        <v>44</v>
      </c>
      <c r="F11" s="38">
        <f>B43</f>
        <v>44468</v>
      </c>
      <c r="G11" s="38">
        <f>G43</f>
        <v>0</v>
      </c>
    </row>
    <row r="14" spans="1:8" ht="17.25">
      <c r="A14" s="27" t="s">
        <v>29</v>
      </c>
      <c r="B14" s="27" t="s">
        <v>24</v>
      </c>
      <c r="C14" s="27" t="s">
        <v>11</v>
      </c>
      <c r="D14" s="31" t="s">
        <v>12</v>
      </c>
      <c r="E14" s="27" t="s">
        <v>26</v>
      </c>
      <c r="F14" s="27" t="s">
        <v>22</v>
      </c>
      <c r="G14" s="27" t="s">
        <v>23</v>
      </c>
      <c r="H14" s="27" t="s">
        <v>27</v>
      </c>
    </row>
    <row r="15" spans="1:8" s="40" customFormat="1">
      <c r="A15" s="97" t="s">
        <v>338</v>
      </c>
      <c r="B15" s="39">
        <v>44454</v>
      </c>
      <c r="C15" s="70" t="s">
        <v>167</v>
      </c>
      <c r="D15" s="46">
        <v>0.5</v>
      </c>
      <c r="E15" s="47" t="s">
        <v>14</v>
      </c>
      <c r="F15" s="26" t="s">
        <v>25</v>
      </c>
      <c r="G15" s="39"/>
    </row>
    <row r="16" spans="1:8">
      <c r="B16" s="18"/>
    </row>
    <row r="18" spans="1:8" s="40" customFormat="1">
      <c r="A18" s="70" t="s">
        <v>30</v>
      </c>
      <c r="B18" s="39">
        <v>44789</v>
      </c>
      <c r="C18" s="70" t="s">
        <v>170</v>
      </c>
      <c r="D18" s="46">
        <v>0.61</v>
      </c>
      <c r="E18" s="47" t="s">
        <v>348</v>
      </c>
      <c r="F18" s="26" t="s">
        <v>25</v>
      </c>
      <c r="G18" s="39"/>
    </row>
    <row r="19" spans="1:8" s="40" customFormat="1">
      <c r="A19" s="70"/>
      <c r="B19" s="100">
        <v>44532</v>
      </c>
      <c r="C19" s="63" t="s">
        <v>170</v>
      </c>
      <c r="D19" s="87">
        <v>0.6</v>
      </c>
      <c r="E19" s="88" t="s">
        <v>349</v>
      </c>
      <c r="F19" s="26"/>
      <c r="G19" s="39"/>
    </row>
    <row r="20" spans="1:8" s="40" customFormat="1">
      <c r="A20" s="70"/>
      <c r="B20" s="86">
        <v>44454</v>
      </c>
      <c r="C20" s="63" t="s">
        <v>170</v>
      </c>
      <c r="D20" s="87">
        <v>0.5</v>
      </c>
      <c r="E20" s="88" t="s">
        <v>14</v>
      </c>
      <c r="F20" s="26" t="s">
        <v>25</v>
      </c>
      <c r="G20" s="39"/>
    </row>
    <row r="23" spans="1:8">
      <c r="A23" s="70" t="s">
        <v>30</v>
      </c>
      <c r="B23" s="39">
        <v>44789</v>
      </c>
      <c r="C23" s="70" t="s">
        <v>169</v>
      </c>
      <c r="D23" s="46">
        <v>0.6</v>
      </c>
      <c r="E23" s="47" t="s">
        <v>347</v>
      </c>
      <c r="F23" s="26" t="s">
        <v>25</v>
      </c>
      <c r="G23" s="39"/>
      <c r="H23" s="40"/>
    </row>
    <row r="24" spans="1:8">
      <c r="A24" s="70"/>
      <c r="B24" s="100">
        <v>44455</v>
      </c>
      <c r="C24" s="63" t="s">
        <v>169</v>
      </c>
      <c r="D24" s="87">
        <v>0.5</v>
      </c>
      <c r="E24" s="88" t="s">
        <v>14</v>
      </c>
      <c r="F24" s="26"/>
      <c r="G24" s="39"/>
      <c r="H24" s="40"/>
    </row>
    <row r="25" spans="1:8">
      <c r="B25" s="18"/>
      <c r="F25" s="18"/>
      <c r="G25" s="18"/>
    </row>
    <row r="27" spans="1:8" s="40" customFormat="1">
      <c r="A27" s="70" t="s">
        <v>30</v>
      </c>
      <c r="B27" s="39">
        <v>44789</v>
      </c>
      <c r="C27" s="70" t="s">
        <v>168</v>
      </c>
      <c r="D27" s="46">
        <v>0.6</v>
      </c>
      <c r="E27" s="47" t="s">
        <v>347</v>
      </c>
      <c r="F27" s="26" t="s">
        <v>25</v>
      </c>
      <c r="G27" s="39"/>
    </row>
    <row r="28" spans="1:8" s="40" customFormat="1">
      <c r="A28" s="70"/>
      <c r="B28" s="100">
        <v>44455</v>
      </c>
      <c r="C28" s="63" t="s">
        <v>168</v>
      </c>
      <c r="D28" s="87">
        <v>0.5</v>
      </c>
      <c r="E28" s="88" t="s">
        <v>14</v>
      </c>
      <c r="F28" s="26"/>
      <c r="G28" s="39"/>
    </row>
    <row r="31" spans="1:8" s="40" customFormat="1">
      <c r="A31" s="70" t="s">
        <v>30</v>
      </c>
      <c r="B31" s="39">
        <v>44455</v>
      </c>
      <c r="C31" s="70" t="s">
        <v>171</v>
      </c>
      <c r="D31" s="46">
        <v>0.5</v>
      </c>
      <c r="E31" s="47" t="s">
        <v>14</v>
      </c>
      <c r="F31" s="26" t="s">
        <v>25</v>
      </c>
      <c r="G31" s="39"/>
    </row>
    <row r="34" spans="1:7" s="40" customFormat="1">
      <c r="A34" s="70" t="s">
        <v>338</v>
      </c>
      <c r="B34" s="39">
        <v>44685</v>
      </c>
      <c r="C34" s="70" t="s">
        <v>357</v>
      </c>
      <c r="D34" s="46">
        <v>0.5</v>
      </c>
      <c r="E34" s="47" t="s">
        <v>14</v>
      </c>
      <c r="F34" s="26" t="s">
        <v>25</v>
      </c>
      <c r="G34" s="39"/>
    </row>
    <row r="37" spans="1:7" s="40" customFormat="1">
      <c r="A37" s="70" t="s">
        <v>338</v>
      </c>
      <c r="B37" s="39">
        <v>44789</v>
      </c>
      <c r="C37" s="70" t="s">
        <v>358</v>
      </c>
      <c r="D37" s="46">
        <v>0.52</v>
      </c>
      <c r="E37" s="116" t="s">
        <v>14</v>
      </c>
      <c r="F37" s="41" t="s">
        <v>25</v>
      </c>
      <c r="G37" s="39"/>
    </row>
    <row r="38" spans="1:7" s="40" customFormat="1">
      <c r="A38" s="70"/>
      <c r="B38" s="39"/>
      <c r="C38" s="70"/>
      <c r="D38" s="46"/>
      <c r="E38" s="116"/>
      <c r="F38" s="41"/>
      <c r="G38" s="39"/>
    </row>
    <row r="39" spans="1:7">
      <c r="A39" s="70"/>
      <c r="B39" s="39"/>
      <c r="C39" s="70"/>
      <c r="D39" s="46"/>
      <c r="E39" s="47"/>
      <c r="F39" s="41"/>
    </row>
    <row r="40" spans="1:7">
      <c r="A40" s="70" t="s">
        <v>338</v>
      </c>
      <c r="B40" s="39">
        <v>45091</v>
      </c>
      <c r="C40" s="70" t="s">
        <v>457</v>
      </c>
      <c r="D40" s="46">
        <v>0.5</v>
      </c>
      <c r="E40" s="47" t="s">
        <v>461</v>
      </c>
      <c r="F40" s="41" t="s">
        <v>25</v>
      </c>
    </row>
    <row r="41" spans="1:7">
      <c r="A41" s="70"/>
      <c r="B41" s="39"/>
      <c r="C41" s="70"/>
      <c r="D41" s="46"/>
      <c r="E41" s="47"/>
      <c r="F41" s="41"/>
    </row>
    <row r="42" spans="1:7" s="40" customFormat="1">
      <c r="A42" s="12"/>
      <c r="B42" s="12"/>
      <c r="C42" s="12"/>
      <c r="D42" s="29"/>
      <c r="E42"/>
      <c r="F42" s="12"/>
      <c r="G42" s="39"/>
    </row>
    <row r="43" spans="1:7" s="40" customFormat="1">
      <c r="A43" s="70" t="s">
        <v>30</v>
      </c>
      <c r="B43" s="113">
        <v>44468</v>
      </c>
      <c r="C43" s="114" t="s">
        <v>77</v>
      </c>
      <c r="D43" s="115">
        <v>0.5</v>
      </c>
      <c r="E43" s="116" t="s">
        <v>14</v>
      </c>
      <c r="F43" s="41" t="s">
        <v>25</v>
      </c>
      <c r="G43" s="39"/>
    </row>
    <row r="44" spans="1:7" s="40" customFormat="1">
      <c r="A44" s="70"/>
      <c r="B44" s="106"/>
      <c r="C44" s="107"/>
      <c r="D44" s="87"/>
      <c r="E44" s="88"/>
      <c r="F44" s="41"/>
      <c r="G44" s="39"/>
    </row>
    <row r="45" spans="1:7" s="40" customFormat="1">
      <c r="A45" s="70"/>
      <c r="B45" s="103"/>
      <c r="C45" s="104"/>
      <c r="D45" s="87"/>
      <c r="E45" s="88"/>
      <c r="F45" s="105"/>
      <c r="G45" s="39"/>
    </row>
    <row r="46" spans="1:7" s="40" customFormat="1">
      <c r="A46" s="70"/>
      <c r="B46" s="101"/>
      <c r="C46" s="102"/>
      <c r="D46" s="87"/>
      <c r="E46" s="88"/>
      <c r="F46" s="41"/>
      <c r="G46" s="39"/>
    </row>
    <row r="47" spans="1:7" s="40" customFormat="1">
      <c r="A47" s="70"/>
      <c r="B47" s="101"/>
      <c r="C47" s="102"/>
      <c r="D47" s="87"/>
      <c r="E47" s="88"/>
      <c r="F47" s="41"/>
      <c r="G47" s="39"/>
    </row>
    <row r="48" spans="1:7" s="40" customFormat="1">
      <c r="A48" s="70"/>
      <c r="B48" s="101"/>
      <c r="C48" s="102"/>
      <c r="D48" s="87"/>
      <c r="E48" s="88"/>
      <c r="F48" s="41"/>
      <c r="G48" s="39"/>
    </row>
    <row r="49" spans="1:7" s="40" customFormat="1">
      <c r="A49" s="70"/>
      <c r="B49" s="101"/>
      <c r="C49" s="102"/>
      <c r="D49" s="87"/>
      <c r="E49" s="88"/>
      <c r="F49" s="41"/>
      <c r="G49" s="39"/>
    </row>
    <row r="50" spans="1:7" s="40" customFormat="1">
      <c r="A50" s="70"/>
      <c r="B50" s="101"/>
      <c r="C50" s="102"/>
      <c r="D50" s="87"/>
      <c r="E50" s="88"/>
      <c r="F50" s="41"/>
      <c r="G50" s="39"/>
    </row>
    <row r="51" spans="1:7" s="40" customFormat="1">
      <c r="A51" s="70"/>
      <c r="B51" s="101"/>
      <c r="C51" s="102"/>
      <c r="D51" s="87"/>
      <c r="E51" s="88"/>
      <c r="F51" s="41"/>
      <c r="G51" s="39"/>
    </row>
    <row r="52" spans="1:7" s="40" customFormat="1">
      <c r="A52" s="70"/>
      <c r="B52" s="101"/>
      <c r="C52" s="102"/>
      <c r="D52" s="87"/>
      <c r="E52" s="88"/>
      <c r="F52" s="95"/>
      <c r="G52" s="39"/>
    </row>
    <row r="53" spans="1:7" s="40" customFormat="1">
      <c r="A53" s="70"/>
      <c r="B53" s="101"/>
      <c r="C53" s="102"/>
      <c r="D53" s="87"/>
      <c r="E53" s="88"/>
      <c r="F53" s="95"/>
      <c r="G53" s="39"/>
    </row>
    <row r="54" spans="1:7" s="40" customFormat="1">
      <c r="A54" s="70"/>
      <c r="B54" s="101"/>
      <c r="C54" s="102"/>
      <c r="D54" s="87"/>
      <c r="E54" s="88"/>
      <c r="F54" s="95"/>
      <c r="G54" s="39"/>
    </row>
    <row r="55" spans="1:7" s="40" customFormat="1">
      <c r="A55" s="70"/>
      <c r="B55" s="101"/>
      <c r="C55" s="102"/>
      <c r="D55" s="87"/>
      <c r="E55" s="88"/>
      <c r="F55" s="95"/>
      <c r="G55" s="39"/>
    </row>
    <row r="56" spans="1:7">
      <c r="B56" s="90"/>
      <c r="C56" s="91"/>
      <c r="D56" s="92"/>
      <c r="E56" s="93"/>
      <c r="F56" s="94"/>
    </row>
    <row r="57" spans="1:7">
      <c r="B57" s="90"/>
      <c r="C57" s="91"/>
      <c r="D57" s="92"/>
      <c r="E57" s="93"/>
      <c r="F57" s="94"/>
    </row>
  </sheetData>
  <mergeCells count="1">
    <mergeCell ref="B3:B11"/>
  </mergeCells>
  <phoneticPr fontId="6" type="noConversion"/>
  <conditionalFormatting sqref="A1:A1048576">
    <cfRule type="cellIs" dxfId="12" priority="2" operator="equal">
      <formula>"N"</formula>
    </cfRule>
    <cfRule type="cellIs" dxfId="11" priority="3" operator="equal">
      <formula>"D"</formula>
    </cfRule>
    <cfRule type="cellIs" dxfId="10" priority="4" operator="equal">
      <formula>"P"</formula>
    </cfRule>
  </conditionalFormatting>
  <conditionalFormatting sqref="A39">
    <cfRule type="iconSet" priority="32">
      <iconSet iconSet="3Symbols">
        <cfvo type="percent" val="0"/>
        <cfvo type="percent" val="33"/>
        <cfvo type="percent" val="67"/>
      </iconSet>
    </cfRule>
  </conditionalFormatting>
  <conditionalFormatting sqref="A40">
    <cfRule type="iconSet" priority="16">
      <iconSet iconSet="3Symbols">
        <cfvo type="percent" val="0"/>
        <cfvo type="percent" val="33"/>
        <cfvo type="percent" val="67"/>
      </iconSet>
    </cfRule>
  </conditionalFormatting>
  <conditionalFormatting sqref="A41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A42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A43:A1048576 A1:A38">
    <cfRule type="iconSet" priority="98">
      <iconSet iconSet="3Symbols">
        <cfvo type="percent" val="0"/>
        <cfvo type="percent" val="33"/>
        <cfvo type="percent" val="67"/>
      </iconSet>
    </cfRule>
  </conditionalFormatting>
  <conditionalFormatting sqref="F15">
    <cfRule type="cellIs" dxfId="9" priority="78" operator="equal">
      <formula>"-"</formula>
    </cfRule>
  </conditionalFormatting>
  <conditionalFormatting sqref="F18:F20">
    <cfRule type="cellIs" dxfId="8" priority="39" operator="equal">
      <formula>"-"</formula>
    </cfRule>
  </conditionalFormatting>
  <conditionalFormatting sqref="F23:F24">
    <cfRule type="cellIs" dxfId="7" priority="80" operator="equal">
      <formula>"-"</formula>
    </cfRule>
  </conditionalFormatting>
  <conditionalFormatting sqref="F27:F28">
    <cfRule type="cellIs" dxfId="6" priority="81" operator="equal">
      <formula>"-"</formula>
    </cfRule>
  </conditionalFormatting>
  <conditionalFormatting sqref="F31">
    <cfRule type="cellIs" dxfId="5" priority="76" operator="equal">
      <formula>"-"</formula>
    </cfRule>
  </conditionalFormatting>
  <conditionalFormatting sqref="F34">
    <cfRule type="cellIs" dxfId="4" priority="77" operator="equal">
      <formula>"-"</formula>
    </cfRule>
  </conditionalFormatting>
  <conditionalFormatting sqref="F37:F41">
    <cfRule type="cellIs" dxfId="3" priority="1" operator="equal">
      <formula>"-"</formula>
    </cfRule>
  </conditionalFormatting>
  <conditionalFormatting sqref="F43:F57">
    <cfRule type="cellIs" dxfId="2" priority="25" operator="equal">
      <formula>"-"</formula>
    </cfRule>
  </conditionalFormatting>
  <conditionalFormatting sqref="G1:G1048576">
    <cfRule type="cellIs" dxfId="1" priority="6" operator="equal">
      <formula>"-"</formula>
    </cfRule>
  </conditionalFormatting>
  <pageMargins left="0.25" right="0.25" top="0.75" bottom="0.75" header="0.3" footer="0.3"/>
  <pageSetup paperSize="9" scale="58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topLeftCell="A3" zoomScale="85" zoomScaleNormal="85" workbookViewId="0">
      <selection activeCell="V6" sqref="V6"/>
    </sheetView>
  </sheetViews>
  <sheetFormatPr defaultRowHeight="16.5"/>
  <sheetData/>
  <phoneticPr fontId="6" type="noConversion"/>
  <pageMargins left="0.25" right="0.25" top="0.75" bottom="0.75" header="0.3" footer="0.3"/>
  <pageSetup paperSize="9" scale="6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H18"/>
  <sheetViews>
    <sheetView zoomScaleNormal="100" workbookViewId="0">
      <pane xSplit="7" ySplit="18" topLeftCell="H19" activePane="bottomRight" state="frozen"/>
      <selection pane="topRight" activeCell="H1" sqref="H1"/>
      <selection pane="bottomLeft" activeCell="A18" sqref="A18"/>
      <selection pane="bottomRight" activeCell="M38" sqref="M38"/>
    </sheetView>
  </sheetViews>
  <sheetFormatPr defaultRowHeight="16.5"/>
  <cols>
    <col min="2" max="2" width="27.125" customWidth="1"/>
    <col min="3" max="3" width="18.625" customWidth="1"/>
    <col min="4" max="4" width="19.75" customWidth="1"/>
    <col min="5" max="5" width="11.375" customWidth="1"/>
    <col min="6" max="6" width="23.375" customWidth="1"/>
    <col min="7" max="7" width="28" customWidth="1"/>
    <col min="8" max="8" width="9" style="12"/>
  </cols>
  <sheetData>
    <row r="2" spans="2:7">
      <c r="B2" s="34" t="s">
        <v>45</v>
      </c>
      <c r="C2" s="34" t="s">
        <v>46</v>
      </c>
      <c r="D2" s="34" t="s">
        <v>47</v>
      </c>
      <c r="E2" s="34" t="s">
        <v>48</v>
      </c>
      <c r="F2" s="34" t="s">
        <v>49</v>
      </c>
      <c r="G2" s="154" t="s">
        <v>8</v>
      </c>
    </row>
    <row r="3" spans="2:7">
      <c r="B3" s="152" t="s">
        <v>322</v>
      </c>
      <c r="C3" s="153" t="s">
        <v>50</v>
      </c>
      <c r="D3" s="153" t="s">
        <v>50</v>
      </c>
      <c r="E3" s="153" t="s">
        <v>50</v>
      </c>
      <c r="F3" s="153" t="s">
        <v>50</v>
      </c>
      <c r="G3" s="154"/>
    </row>
    <row r="4" spans="2:7">
      <c r="B4" s="68" t="s">
        <v>167</v>
      </c>
      <c r="C4" s="36" t="s">
        <v>52</v>
      </c>
      <c r="D4" s="36" t="s">
        <v>143</v>
      </c>
      <c r="E4" s="36" t="s">
        <v>51</v>
      </c>
      <c r="F4" s="36" t="s">
        <v>144</v>
      </c>
    </row>
    <row r="5" spans="2:7">
      <c r="B5" s="35" t="s">
        <v>186</v>
      </c>
      <c r="C5" s="36" t="s">
        <v>52</v>
      </c>
      <c r="D5" s="36" t="s">
        <v>142</v>
      </c>
      <c r="E5" s="36" t="s">
        <v>51</v>
      </c>
      <c r="F5" s="36" t="s">
        <v>145</v>
      </c>
    </row>
    <row r="6" spans="2:7">
      <c r="B6" s="35" t="s">
        <v>187</v>
      </c>
      <c r="C6" s="36" t="s">
        <v>52</v>
      </c>
      <c r="D6" s="36" t="s">
        <v>141</v>
      </c>
      <c r="E6" s="36" t="s">
        <v>51</v>
      </c>
      <c r="F6" s="36" t="s">
        <v>146</v>
      </c>
    </row>
    <row r="7" spans="2:7">
      <c r="B7" s="35" t="s">
        <v>188</v>
      </c>
      <c r="C7" s="123" t="s">
        <v>52</v>
      </c>
      <c r="D7" s="123" t="s">
        <v>140</v>
      </c>
      <c r="E7" s="123" t="s">
        <v>51</v>
      </c>
      <c r="F7" s="123" t="s">
        <v>147</v>
      </c>
      <c r="G7" s="70"/>
    </row>
    <row r="8" spans="2:7">
      <c r="B8" s="35" t="s">
        <v>189</v>
      </c>
      <c r="C8" s="36" t="s">
        <v>52</v>
      </c>
      <c r="D8" s="36" t="s">
        <v>139</v>
      </c>
      <c r="E8" s="36" t="s">
        <v>51</v>
      </c>
      <c r="F8" s="36" t="s">
        <v>148</v>
      </c>
    </row>
    <row r="9" spans="2:7">
      <c r="B9" s="35"/>
      <c r="C9" s="36"/>
      <c r="D9" s="36"/>
      <c r="E9" s="36"/>
      <c r="F9" s="36"/>
    </row>
    <row r="10" spans="2:7">
      <c r="B10" s="126" t="s">
        <v>417</v>
      </c>
      <c r="C10" s="127" t="s">
        <v>52</v>
      </c>
      <c r="D10" s="127" t="s">
        <v>429</v>
      </c>
      <c r="E10" s="127" t="s">
        <v>51</v>
      </c>
      <c r="F10" s="127" t="s">
        <v>434</v>
      </c>
    </row>
    <row r="11" spans="2:7">
      <c r="B11" s="126" t="s">
        <v>358</v>
      </c>
      <c r="C11" s="127" t="s">
        <v>52</v>
      </c>
      <c r="D11" s="127" t="s">
        <v>430</v>
      </c>
      <c r="E11" s="127" t="s">
        <v>51</v>
      </c>
      <c r="F11" s="127" t="s">
        <v>435</v>
      </c>
    </row>
    <row r="12" spans="2:7">
      <c r="B12" s="35"/>
      <c r="C12" s="36"/>
      <c r="D12" s="36"/>
      <c r="E12" s="36"/>
      <c r="F12" s="36"/>
    </row>
    <row r="13" spans="2:7">
      <c r="B13" s="132" t="s">
        <v>457</v>
      </c>
      <c r="C13" s="133" t="s">
        <v>458</v>
      </c>
      <c r="D13" s="133" t="s">
        <v>459</v>
      </c>
      <c r="E13" s="133" t="s">
        <v>51</v>
      </c>
      <c r="F13" s="133" t="s">
        <v>460</v>
      </c>
      <c r="G13" s="65"/>
    </row>
    <row r="14" spans="2:7">
      <c r="B14" s="35" t="s">
        <v>190</v>
      </c>
      <c r="C14" s="36" t="s">
        <v>52</v>
      </c>
      <c r="D14" s="36" t="s">
        <v>137</v>
      </c>
      <c r="E14" s="36" t="s">
        <v>51</v>
      </c>
      <c r="F14" s="36" t="s">
        <v>138</v>
      </c>
    </row>
    <row r="15" spans="2:7">
      <c r="B15" s="35"/>
      <c r="C15" s="36"/>
      <c r="D15" s="36"/>
      <c r="E15" s="36"/>
      <c r="F15" s="36"/>
    </row>
    <row r="16" spans="2:7">
      <c r="B16" s="35" t="s">
        <v>191</v>
      </c>
      <c r="C16" s="36" t="s">
        <v>52</v>
      </c>
      <c r="D16" s="36" t="s">
        <v>131</v>
      </c>
      <c r="E16" s="36" t="s">
        <v>53</v>
      </c>
      <c r="F16" s="36" t="s">
        <v>133</v>
      </c>
    </row>
    <row r="17" spans="2:6">
      <c r="B17" s="35" t="s">
        <v>192</v>
      </c>
      <c r="C17" s="36" t="s">
        <v>52</v>
      </c>
      <c r="D17" s="36" t="s">
        <v>132</v>
      </c>
      <c r="E17" s="36" t="s">
        <v>53</v>
      </c>
      <c r="F17" s="36" t="s">
        <v>134</v>
      </c>
    </row>
    <row r="18" spans="2:6">
      <c r="B18" s="35" t="s">
        <v>193</v>
      </c>
      <c r="C18" s="36" t="s">
        <v>52</v>
      </c>
      <c r="D18" s="36" t="s">
        <v>136</v>
      </c>
      <c r="E18" s="36" t="s">
        <v>53</v>
      </c>
      <c r="F18" s="36" t="s">
        <v>135</v>
      </c>
    </row>
  </sheetData>
  <mergeCells count="2">
    <mergeCell ref="B3:F3"/>
    <mergeCell ref="G2:G3"/>
  </mergeCells>
  <phoneticPr fontId="6" type="noConversion"/>
  <pageMargins left="0.25" right="0.25" top="0.75" bottom="0.75" header="0.3" footer="0.3"/>
  <pageSetup paperSize="9" scale="69" orientation="landscape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10"/>
  <sheetViews>
    <sheetView zoomScale="92" zoomScaleNormal="92" workbookViewId="0">
      <pane xSplit="39" ySplit="10" topLeftCell="AN11" activePane="bottomRight" state="frozen"/>
      <selection pane="topRight" activeCell="AN1" sqref="AN1"/>
      <selection pane="bottomLeft" activeCell="A11" sqref="A11"/>
      <selection pane="bottomRight" activeCell="H7" sqref="H7:W7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8" t="s">
        <v>91</v>
      </c>
      <c r="C3" s="172" t="s">
        <v>104</v>
      </c>
      <c r="D3" s="44" t="str">
        <f>DEC2HEX(A3*4, 3)</f>
        <v>000</v>
      </c>
      <c r="E3" s="175" t="s">
        <v>0</v>
      </c>
      <c r="F3" s="45" t="s">
        <v>6</v>
      </c>
      <c r="G3" s="37"/>
      <c r="H3" s="163" t="s">
        <v>361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5"/>
    </row>
    <row r="4" spans="1:39">
      <c r="A4" s="12">
        <v>1</v>
      </c>
      <c r="B4" s="159"/>
      <c r="C4" s="173"/>
      <c r="D4" s="12" t="str">
        <f>DEC2HEX(A4*4, 3)</f>
        <v>004</v>
      </c>
      <c r="E4" s="176"/>
      <c r="F4" s="2" t="s">
        <v>6</v>
      </c>
      <c r="H4" s="166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8"/>
    </row>
    <row r="5" spans="1:39">
      <c r="A5" s="12">
        <v>2</v>
      </c>
      <c r="B5" s="159"/>
      <c r="C5" s="173"/>
      <c r="D5" s="12" t="str">
        <f t="shared" ref="D5:D9" si="1">DEC2HEX(A5*4, 3)</f>
        <v>008</v>
      </c>
      <c r="E5" s="176"/>
      <c r="F5" s="2" t="s">
        <v>6</v>
      </c>
      <c r="H5" s="166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8"/>
    </row>
    <row r="6" spans="1:39">
      <c r="A6" s="12">
        <v>3</v>
      </c>
      <c r="B6" s="159"/>
      <c r="C6" s="173"/>
      <c r="D6" s="12" t="str">
        <f t="shared" si="1"/>
        <v>00C</v>
      </c>
      <c r="E6" s="176"/>
      <c r="F6" s="2" t="s">
        <v>6</v>
      </c>
      <c r="H6" s="169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1"/>
    </row>
    <row r="7" spans="1:39">
      <c r="A7" s="12">
        <v>4</v>
      </c>
      <c r="B7" s="159"/>
      <c r="C7" s="173"/>
      <c r="D7" s="12" t="str">
        <f t="shared" si="1"/>
        <v>010</v>
      </c>
      <c r="E7" s="14" t="s">
        <v>106</v>
      </c>
      <c r="F7" s="2" t="s">
        <v>6</v>
      </c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39">
      <c r="A8" s="12">
        <v>5</v>
      </c>
      <c r="B8" s="159"/>
      <c r="C8" s="173"/>
      <c r="D8" s="12" t="str">
        <f t="shared" si="1"/>
        <v>014</v>
      </c>
      <c r="E8" s="14" t="s">
        <v>107</v>
      </c>
      <c r="F8" s="2" t="s">
        <v>6</v>
      </c>
      <c r="H8" s="179"/>
      <c r="I8" s="180"/>
      <c r="J8" s="180"/>
      <c r="K8" s="180"/>
      <c r="L8" s="180"/>
      <c r="M8" s="180"/>
      <c r="N8" s="180"/>
      <c r="O8" s="181"/>
      <c r="P8" s="182" t="s">
        <v>56</v>
      </c>
      <c r="Q8" s="182"/>
      <c r="R8" s="182"/>
      <c r="S8" s="182"/>
      <c r="T8" s="182"/>
      <c r="U8" s="182"/>
      <c r="V8" s="182"/>
      <c r="W8" s="182"/>
      <c r="X8" s="182" t="s">
        <v>76</v>
      </c>
      <c r="Y8" s="182"/>
      <c r="Z8" s="182"/>
      <c r="AA8" s="182"/>
      <c r="AB8" s="182"/>
      <c r="AC8" s="182"/>
      <c r="AD8" s="182"/>
      <c r="AE8" s="182"/>
      <c r="AF8" s="183" t="s">
        <v>57</v>
      </c>
      <c r="AG8" s="184"/>
      <c r="AH8" s="184"/>
      <c r="AI8" s="184"/>
      <c r="AJ8" s="184"/>
      <c r="AK8" s="184"/>
      <c r="AL8" s="184"/>
      <c r="AM8" s="185"/>
    </row>
    <row r="9" spans="1:39">
      <c r="A9" s="12">
        <v>6</v>
      </c>
      <c r="B9" s="159"/>
      <c r="C9" s="173"/>
      <c r="D9" s="12" t="str">
        <f t="shared" si="1"/>
        <v>018</v>
      </c>
      <c r="E9" s="51" t="s">
        <v>105</v>
      </c>
      <c r="F9" s="53" t="s">
        <v>4</v>
      </c>
      <c r="H9" s="186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8"/>
    </row>
    <row r="10" spans="1:39" ht="17.25" thickBot="1">
      <c r="A10" s="12">
        <v>7</v>
      </c>
      <c r="B10" s="160"/>
      <c r="C10" s="174"/>
      <c r="D10" s="43" t="str">
        <f>DEC2HEX(A10*4, 3)</f>
        <v>01C</v>
      </c>
      <c r="E10" s="52" t="s">
        <v>105</v>
      </c>
      <c r="F10" s="54" t="s">
        <v>4</v>
      </c>
      <c r="G10" s="48"/>
      <c r="H10" s="155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7"/>
    </row>
  </sheetData>
  <mergeCells count="13">
    <mergeCell ref="H10:AM10"/>
    <mergeCell ref="B3:B10"/>
    <mergeCell ref="X7:AE7"/>
    <mergeCell ref="AF7:AM7"/>
    <mergeCell ref="H3:AM6"/>
    <mergeCell ref="C3:C10"/>
    <mergeCell ref="E3:E6"/>
    <mergeCell ref="H7:W7"/>
    <mergeCell ref="H8:O8"/>
    <mergeCell ref="P8:W8"/>
    <mergeCell ref="X8:AE8"/>
    <mergeCell ref="AF8:AM8"/>
    <mergeCell ref="H9:AM9"/>
  </mergeCells>
  <phoneticPr fontId="6" type="noConversion"/>
  <pageMargins left="0.25" right="0.25" top="0.75" bottom="0.75" header="0.3" footer="0.3"/>
  <pageSetup paperSize="9" scale="52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36"/>
  <sheetViews>
    <sheetView zoomScale="92" zoomScaleNormal="92" workbookViewId="0">
      <pane xSplit="39" ySplit="22" topLeftCell="AN23" activePane="bottomRight" state="frozen"/>
      <selection activeCell="V54" sqref="V54"/>
      <selection pane="topRight" activeCell="V54" sqref="V54"/>
      <selection pane="bottomLeft" activeCell="V54" sqref="V54"/>
      <selection pane="bottomRight" activeCell="AM11" sqref="AM11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  <col min="40" max="40" width="14" customWidth="1"/>
  </cols>
  <sheetData>
    <row r="1" spans="1:40" ht="17.25" thickBot="1"/>
    <row r="2" spans="1:40" ht="17.25" thickBot="1">
      <c r="B2" s="8" t="s">
        <v>84</v>
      </c>
      <c r="C2" s="8" t="s">
        <v>85</v>
      </c>
      <c r="D2" s="9" t="s">
        <v>86</v>
      </c>
      <c r="E2" s="9" t="s">
        <v>87</v>
      </c>
      <c r="F2" s="7" t="s">
        <v>88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40" ht="16.5" customHeight="1">
      <c r="A3" s="12">
        <v>0</v>
      </c>
      <c r="B3" s="158" t="s">
        <v>108</v>
      </c>
      <c r="C3" s="163" t="s">
        <v>109</v>
      </c>
      <c r="D3" s="44" t="str">
        <f>DEC2HEX(A3*4, 3)</f>
        <v>000</v>
      </c>
      <c r="E3" s="175" t="s">
        <v>0</v>
      </c>
      <c r="F3" s="45" t="s">
        <v>6</v>
      </c>
      <c r="G3" s="37"/>
      <c r="H3" s="218" t="s">
        <v>110</v>
      </c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20"/>
    </row>
    <row r="4" spans="1:40">
      <c r="A4" s="12">
        <v>1</v>
      </c>
      <c r="B4" s="159"/>
      <c r="C4" s="173"/>
      <c r="D4" s="12" t="str">
        <f>DEC2HEX(A4*4, 3)</f>
        <v>004</v>
      </c>
      <c r="E4" s="176"/>
      <c r="F4" s="2" t="s">
        <v>6</v>
      </c>
      <c r="H4" s="221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3"/>
    </row>
    <row r="5" spans="1:40">
      <c r="A5" s="12">
        <v>2</v>
      </c>
      <c r="B5" s="159"/>
      <c r="C5" s="173"/>
      <c r="D5" s="12" t="str">
        <f t="shared" ref="D5:D22" si="1">DEC2HEX(A5*4, 3)</f>
        <v>008</v>
      </c>
      <c r="E5" s="176"/>
      <c r="F5" s="2" t="s">
        <v>6</v>
      </c>
      <c r="H5" s="221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3"/>
    </row>
    <row r="6" spans="1:40">
      <c r="A6" s="12">
        <v>3</v>
      </c>
      <c r="B6" s="159"/>
      <c r="C6" s="173"/>
      <c r="D6" s="12" t="str">
        <f t="shared" si="1"/>
        <v>00C</v>
      </c>
      <c r="E6" s="176"/>
      <c r="F6" s="2" t="s">
        <v>6</v>
      </c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3"/>
    </row>
    <row r="7" spans="1:40">
      <c r="A7" s="12">
        <v>4</v>
      </c>
      <c r="B7" s="159"/>
      <c r="C7" s="173"/>
      <c r="D7" s="12" t="str">
        <f t="shared" si="1"/>
        <v>010</v>
      </c>
      <c r="E7" s="14" t="s">
        <v>106</v>
      </c>
      <c r="F7" s="2" t="s">
        <v>6</v>
      </c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40">
      <c r="A8" s="12">
        <v>5</v>
      </c>
      <c r="B8" s="159"/>
      <c r="C8" s="173"/>
      <c r="D8" s="12" t="str">
        <f t="shared" si="1"/>
        <v>014</v>
      </c>
      <c r="E8" s="14" t="s">
        <v>107</v>
      </c>
      <c r="F8" s="2" t="s">
        <v>6</v>
      </c>
      <c r="H8" s="177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2"/>
    </row>
    <row r="9" spans="1:40">
      <c r="A9" s="12">
        <v>6</v>
      </c>
      <c r="B9" s="159"/>
      <c r="C9" s="173"/>
      <c r="D9" s="12" t="str">
        <f t="shared" si="1"/>
        <v>018</v>
      </c>
      <c r="E9" s="51" t="s">
        <v>105</v>
      </c>
      <c r="F9" s="2" t="s">
        <v>4</v>
      </c>
      <c r="H9" s="177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224"/>
    </row>
    <row r="10" spans="1:40">
      <c r="A10" s="12">
        <v>7</v>
      </c>
      <c r="B10" s="159"/>
      <c r="C10" s="173"/>
      <c r="D10" s="12" t="str">
        <f t="shared" si="1"/>
        <v>01C</v>
      </c>
      <c r="E10" s="118" t="s">
        <v>468</v>
      </c>
      <c r="F10" s="53" t="s">
        <v>6</v>
      </c>
      <c r="H10" s="196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34" t="s">
        <v>469</v>
      </c>
    </row>
    <row r="11" spans="1:40">
      <c r="A11" s="12">
        <v>8</v>
      </c>
      <c r="B11" s="159"/>
      <c r="C11" s="173"/>
      <c r="D11" s="12" t="str">
        <f t="shared" si="1"/>
        <v>020</v>
      </c>
      <c r="E11" s="14" t="s">
        <v>112</v>
      </c>
      <c r="F11" s="2" t="s">
        <v>6</v>
      </c>
      <c r="H11" s="196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225"/>
      <c r="AM11" s="49" t="s">
        <v>114</v>
      </c>
      <c r="AN11" s="12"/>
    </row>
    <row r="12" spans="1:40">
      <c r="A12" s="12">
        <v>9</v>
      </c>
      <c r="B12" s="159"/>
      <c r="C12" s="173"/>
      <c r="D12" s="12" t="str">
        <f t="shared" si="1"/>
        <v>024</v>
      </c>
      <c r="E12" s="14" t="s">
        <v>111</v>
      </c>
      <c r="F12" s="96" t="s">
        <v>4</v>
      </c>
      <c r="H12" s="196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225"/>
      <c r="AJ12" s="199" t="s">
        <v>342</v>
      </c>
      <c r="AK12" s="191"/>
      <c r="AL12" s="191"/>
      <c r="AM12" s="192"/>
    </row>
    <row r="13" spans="1:40">
      <c r="A13" s="12">
        <v>10</v>
      </c>
      <c r="B13" s="159"/>
      <c r="C13" s="173"/>
      <c r="D13" s="12" t="str">
        <f t="shared" si="1"/>
        <v>028</v>
      </c>
      <c r="E13" s="14" t="s">
        <v>113</v>
      </c>
      <c r="F13" s="96" t="s">
        <v>6</v>
      </c>
      <c r="H13" s="196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225"/>
      <c r="AF13" s="199" t="s">
        <v>343</v>
      </c>
      <c r="AG13" s="191"/>
      <c r="AH13" s="191"/>
      <c r="AI13" s="191"/>
      <c r="AJ13" s="191"/>
      <c r="AK13" s="191"/>
      <c r="AL13" s="191"/>
      <c r="AM13" s="192"/>
    </row>
    <row r="14" spans="1:40" ht="17.25" thickBot="1">
      <c r="A14" s="12">
        <v>11</v>
      </c>
      <c r="B14" s="159"/>
      <c r="C14" s="173"/>
      <c r="D14" s="12" t="str">
        <f t="shared" si="1"/>
        <v>02C</v>
      </c>
      <c r="E14" s="128" t="s">
        <v>431</v>
      </c>
      <c r="F14" s="129" t="s">
        <v>6</v>
      </c>
      <c r="H14" s="110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229" t="s">
        <v>432</v>
      </c>
      <c r="AG14" s="230"/>
      <c r="AH14" s="230"/>
      <c r="AI14" s="230"/>
      <c r="AJ14" s="230"/>
      <c r="AK14" s="230"/>
      <c r="AL14" s="230"/>
      <c r="AM14" s="231"/>
    </row>
    <row r="15" spans="1:40">
      <c r="A15" s="12">
        <v>12</v>
      </c>
      <c r="B15" s="159"/>
      <c r="C15" s="173"/>
      <c r="D15" s="12" t="str">
        <f t="shared" si="1"/>
        <v>030</v>
      </c>
      <c r="E15" s="51" t="s">
        <v>368</v>
      </c>
      <c r="F15" s="96" t="s">
        <v>4</v>
      </c>
      <c r="H15" s="196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12" t="s">
        <v>466</v>
      </c>
      <c r="AF15" s="232"/>
      <c r="AG15" s="233"/>
      <c r="AH15" s="233"/>
      <c r="AI15" s="233"/>
      <c r="AJ15" s="233"/>
      <c r="AK15" s="233"/>
      <c r="AL15" s="233"/>
      <c r="AM15" s="109" t="s">
        <v>465</v>
      </c>
    </row>
    <row r="16" spans="1:40">
      <c r="A16" s="12">
        <v>13</v>
      </c>
      <c r="B16" s="159"/>
      <c r="C16" s="173"/>
      <c r="D16" s="12" t="str">
        <f t="shared" si="1"/>
        <v>034</v>
      </c>
      <c r="E16" s="51"/>
      <c r="F16" s="96"/>
      <c r="H16" s="196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8"/>
    </row>
    <row r="17" spans="1:39">
      <c r="A17" s="12">
        <v>14</v>
      </c>
      <c r="B17" s="159"/>
      <c r="C17" s="173"/>
      <c r="D17" s="12" t="str">
        <f t="shared" si="1"/>
        <v>038</v>
      </c>
      <c r="E17" s="51"/>
      <c r="F17" s="96"/>
      <c r="H17" s="196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8"/>
    </row>
    <row r="18" spans="1:39">
      <c r="A18" s="12">
        <v>15</v>
      </c>
      <c r="B18" s="159"/>
      <c r="C18" s="173"/>
      <c r="D18" s="12" t="str">
        <f t="shared" si="1"/>
        <v>03C</v>
      </c>
      <c r="E18" s="51"/>
      <c r="F18" s="96"/>
      <c r="H18" s="196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8"/>
    </row>
    <row r="19" spans="1:39">
      <c r="A19" s="12">
        <v>16</v>
      </c>
      <c r="B19" s="159"/>
      <c r="C19" s="173"/>
      <c r="D19" s="12" t="str">
        <f t="shared" si="1"/>
        <v>040</v>
      </c>
      <c r="E19" s="189" t="s">
        <v>363</v>
      </c>
      <c r="F19" s="96" t="s">
        <v>6</v>
      </c>
      <c r="H19" s="190" t="s">
        <v>481</v>
      </c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2"/>
      <c r="X19" s="200" t="s">
        <v>480</v>
      </c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2"/>
    </row>
    <row r="20" spans="1:39">
      <c r="A20" s="12">
        <v>17</v>
      </c>
      <c r="B20" s="159"/>
      <c r="C20" s="173"/>
      <c r="D20" s="12" t="str">
        <f t="shared" si="1"/>
        <v>044</v>
      </c>
      <c r="E20" s="173"/>
      <c r="F20" s="96" t="s">
        <v>6</v>
      </c>
      <c r="H20" s="190" t="s">
        <v>482</v>
      </c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2"/>
      <c r="X20" s="200" t="s">
        <v>483</v>
      </c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2"/>
    </row>
    <row r="21" spans="1:39">
      <c r="A21" s="12">
        <v>18</v>
      </c>
      <c r="B21" s="159"/>
      <c r="C21" s="173"/>
      <c r="D21" s="12" t="str">
        <f t="shared" si="1"/>
        <v>048</v>
      </c>
      <c r="E21" s="173"/>
      <c r="F21" s="96" t="s">
        <v>6</v>
      </c>
      <c r="H21" s="190" t="s">
        <v>485</v>
      </c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2"/>
      <c r="X21" s="200" t="s">
        <v>484</v>
      </c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2"/>
    </row>
    <row r="22" spans="1:39" ht="17.25" thickBot="1">
      <c r="A22" s="12">
        <v>19</v>
      </c>
      <c r="B22" s="160"/>
      <c r="C22" s="174"/>
      <c r="D22" s="43" t="str">
        <f t="shared" si="1"/>
        <v>04C</v>
      </c>
      <c r="E22" s="174"/>
      <c r="F22" s="117" t="s">
        <v>6</v>
      </c>
      <c r="H22" s="193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5"/>
      <c r="X22" s="237" t="s">
        <v>486</v>
      </c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5"/>
    </row>
    <row r="23" spans="1:39" ht="17.25" thickBot="1"/>
    <row r="24" spans="1:39" ht="17.25" thickBot="1">
      <c r="I24" s="226" t="s">
        <v>470</v>
      </c>
      <c r="J24" s="227"/>
      <c r="K24" s="227"/>
      <c r="L24" s="227"/>
      <c r="M24" s="227"/>
      <c r="N24" s="227"/>
      <c r="O24" s="227"/>
      <c r="P24" s="227"/>
      <c r="Q24" s="228"/>
      <c r="S24" s="234" t="s">
        <v>235</v>
      </c>
      <c r="T24" s="235"/>
      <c r="U24" s="235"/>
      <c r="V24" s="235"/>
      <c r="W24" s="235"/>
      <c r="X24" s="235"/>
      <c r="Y24" s="235"/>
      <c r="Z24" s="235"/>
      <c r="AA24" s="236"/>
    </row>
    <row r="25" spans="1:39" ht="17.25" thickBot="1">
      <c r="I25" s="210" t="s">
        <v>471</v>
      </c>
      <c r="J25" s="211"/>
      <c r="K25" s="208" t="s">
        <v>472</v>
      </c>
      <c r="L25" s="208"/>
      <c r="M25" s="208"/>
      <c r="N25" s="208"/>
      <c r="O25" s="208"/>
      <c r="P25" s="208"/>
      <c r="Q25" s="209"/>
      <c r="R25" s="119"/>
      <c r="S25" s="215" t="s">
        <v>114</v>
      </c>
      <c r="T25" s="216"/>
      <c r="U25" s="212" t="s">
        <v>236</v>
      </c>
      <c r="V25" s="213"/>
      <c r="W25" s="213"/>
      <c r="X25" s="213"/>
      <c r="Y25" s="213"/>
      <c r="Z25" s="213"/>
      <c r="AA25" s="214"/>
    </row>
    <row r="26" spans="1:39" ht="17.25" thickBot="1"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210"/>
      <c r="T26" s="217"/>
      <c r="U26" s="208"/>
      <c r="V26" s="208"/>
      <c r="W26" s="208"/>
      <c r="X26" s="208"/>
      <c r="Y26" s="208"/>
      <c r="Z26" s="208"/>
      <c r="AA26" s="209"/>
    </row>
    <row r="27" spans="1:39" ht="17.25" thickBot="1"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</row>
    <row r="28" spans="1:39" ht="17.25" customHeight="1" thickBot="1">
      <c r="I28" s="201" t="s">
        <v>366</v>
      </c>
      <c r="J28" s="202"/>
      <c r="K28" s="202"/>
      <c r="L28" s="202"/>
      <c r="M28" s="202"/>
      <c r="N28" s="202"/>
      <c r="O28" s="202"/>
      <c r="P28" s="202"/>
      <c r="Q28" s="203"/>
      <c r="R28" s="119"/>
      <c r="S28" s="201" t="s">
        <v>367</v>
      </c>
      <c r="T28" s="202"/>
      <c r="U28" s="202"/>
      <c r="V28" s="202"/>
      <c r="W28" s="202"/>
      <c r="X28" s="202"/>
      <c r="Y28" s="202"/>
      <c r="Z28" s="202"/>
      <c r="AA28" s="203"/>
    </row>
    <row r="29" spans="1:39" ht="16.5" customHeight="1" thickBot="1">
      <c r="I29" s="210" t="s">
        <v>345</v>
      </c>
      <c r="J29" s="211"/>
      <c r="K29" s="208" t="s">
        <v>346</v>
      </c>
      <c r="L29" s="208"/>
      <c r="M29" s="208"/>
      <c r="N29" s="208"/>
      <c r="O29" s="208"/>
      <c r="P29" s="208"/>
      <c r="Q29" s="209"/>
      <c r="R29" s="119"/>
      <c r="S29" s="210" t="s">
        <v>111</v>
      </c>
      <c r="T29" s="211"/>
      <c r="U29" s="208" t="s">
        <v>344</v>
      </c>
      <c r="V29" s="208"/>
      <c r="W29" s="208"/>
      <c r="X29" s="208"/>
      <c r="Y29" s="208"/>
      <c r="Z29" s="208"/>
      <c r="AA29" s="209"/>
    </row>
    <row r="30" spans="1:39" ht="17.25" thickBot="1"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</row>
    <row r="31" spans="1:39" ht="17.25" thickBot="1">
      <c r="I31" s="201" t="s">
        <v>433</v>
      </c>
      <c r="J31" s="202"/>
      <c r="K31" s="202"/>
      <c r="L31" s="202"/>
      <c r="M31" s="202"/>
      <c r="N31" s="202"/>
      <c r="O31" s="202"/>
      <c r="P31" s="202"/>
      <c r="Q31" s="203"/>
      <c r="R31" s="119"/>
      <c r="S31" s="119"/>
      <c r="T31" s="119"/>
      <c r="U31" s="119"/>
      <c r="V31" s="119"/>
      <c r="W31" s="119"/>
      <c r="X31" s="119"/>
      <c r="Y31" s="119"/>
      <c r="Z31" s="119"/>
      <c r="AA31" s="119"/>
    </row>
    <row r="32" spans="1:39" ht="17.25" thickBot="1">
      <c r="I32" s="204" t="s">
        <v>467</v>
      </c>
      <c r="J32" s="205"/>
      <c r="K32" s="206" t="s">
        <v>272</v>
      </c>
      <c r="L32" s="206"/>
      <c r="M32" s="206"/>
      <c r="N32" s="206"/>
      <c r="O32" s="206"/>
      <c r="P32" s="206"/>
      <c r="Q32" s="207"/>
      <c r="R32" s="119"/>
      <c r="S32" s="119"/>
      <c r="T32" s="119"/>
      <c r="U32" s="119"/>
      <c r="V32" s="119"/>
      <c r="W32" s="119"/>
      <c r="X32" s="119"/>
      <c r="Y32" s="119"/>
      <c r="Z32" s="119"/>
      <c r="AA32" s="119"/>
    </row>
    <row r="33" spans="9:17" ht="17.25" thickBot="1">
      <c r="I33" s="204" t="s">
        <v>464</v>
      </c>
      <c r="J33" s="205"/>
      <c r="K33" s="206" t="s">
        <v>272</v>
      </c>
      <c r="L33" s="206"/>
      <c r="M33" s="206"/>
      <c r="N33" s="206"/>
      <c r="O33" s="206"/>
      <c r="P33" s="206"/>
      <c r="Q33" s="207"/>
    </row>
    <row r="34" spans="9:17" ht="17.25" thickBot="1"/>
    <row r="35" spans="9:17" ht="17.25" thickBot="1">
      <c r="I35" s="201" t="s">
        <v>474</v>
      </c>
      <c r="J35" s="202"/>
      <c r="K35" s="202"/>
      <c r="L35" s="202"/>
      <c r="M35" s="202"/>
      <c r="N35" s="202"/>
      <c r="O35" s="202"/>
      <c r="P35" s="202"/>
      <c r="Q35" s="203"/>
    </row>
    <row r="36" spans="9:17" ht="17.25" thickBot="1">
      <c r="I36" s="204" t="s">
        <v>364</v>
      </c>
      <c r="J36" s="205"/>
      <c r="K36" s="206" t="s">
        <v>365</v>
      </c>
      <c r="L36" s="206"/>
      <c r="M36" s="206"/>
      <c r="N36" s="206"/>
      <c r="O36" s="206"/>
      <c r="P36" s="206"/>
      <c r="Q36" s="207"/>
    </row>
  </sheetData>
  <mergeCells count="53">
    <mergeCell ref="X8:AE8"/>
    <mergeCell ref="AF8:AM8"/>
    <mergeCell ref="H9:AM9"/>
    <mergeCell ref="H11:AL11"/>
    <mergeCell ref="I24:Q24"/>
    <mergeCell ref="H10:AL10"/>
    <mergeCell ref="H12:AI12"/>
    <mergeCell ref="H13:AE13"/>
    <mergeCell ref="AF13:AM13"/>
    <mergeCell ref="AF14:AM14"/>
    <mergeCell ref="H15:AD15"/>
    <mergeCell ref="AF15:AL15"/>
    <mergeCell ref="S24:AA24"/>
    <mergeCell ref="X22:AM22"/>
    <mergeCell ref="AF7:AM7"/>
    <mergeCell ref="E3:E6"/>
    <mergeCell ref="H3:AM6"/>
    <mergeCell ref="H7:W7"/>
    <mergeCell ref="X7:AE7"/>
    <mergeCell ref="U25:AA26"/>
    <mergeCell ref="I25:J25"/>
    <mergeCell ref="I31:Q31"/>
    <mergeCell ref="I32:J32"/>
    <mergeCell ref="K32:Q32"/>
    <mergeCell ref="K25:Q25"/>
    <mergeCell ref="S25:T26"/>
    <mergeCell ref="S29:T29"/>
    <mergeCell ref="S28:AA28"/>
    <mergeCell ref="I35:Q35"/>
    <mergeCell ref="I36:J36"/>
    <mergeCell ref="K36:Q36"/>
    <mergeCell ref="U29:AA29"/>
    <mergeCell ref="I28:Q28"/>
    <mergeCell ref="I29:J29"/>
    <mergeCell ref="K29:Q29"/>
    <mergeCell ref="I33:J33"/>
    <mergeCell ref="K33:Q33"/>
    <mergeCell ref="E19:E22"/>
    <mergeCell ref="B3:B22"/>
    <mergeCell ref="C3:C22"/>
    <mergeCell ref="H8:O8"/>
    <mergeCell ref="P8:W8"/>
    <mergeCell ref="H20:W20"/>
    <mergeCell ref="H21:W21"/>
    <mergeCell ref="H22:W22"/>
    <mergeCell ref="H16:AM16"/>
    <mergeCell ref="H17:AM17"/>
    <mergeCell ref="H18:AM18"/>
    <mergeCell ref="AJ12:AM12"/>
    <mergeCell ref="X20:AM20"/>
    <mergeCell ref="X21:AM21"/>
    <mergeCell ref="X19:AM19"/>
    <mergeCell ref="H19:W19"/>
  </mergeCells>
  <phoneticPr fontId="6" type="noConversion"/>
  <pageMargins left="0.25" right="0.25" top="0.75" bottom="0.75" header="0.3" footer="0.3"/>
  <pageSetup paperSize="9" scale="52" orientation="landscape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A592-9BCE-4056-9955-5A35900FF0AD}">
  <sheetPr>
    <pageSetUpPr fitToPage="1"/>
  </sheetPr>
  <dimension ref="A1:AM27"/>
  <sheetViews>
    <sheetView zoomScale="92" zoomScaleNormal="92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F24" sqref="F24"/>
    </sheetView>
  </sheetViews>
  <sheetFormatPr defaultRowHeight="16.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277">
        <v>3</v>
      </c>
      <c r="I1" s="277"/>
      <c r="J1" s="277"/>
      <c r="K1" s="277"/>
      <c r="L1" s="277"/>
      <c r="M1" s="277"/>
      <c r="N1" s="277"/>
      <c r="O1" s="277"/>
      <c r="P1" s="277">
        <v>2</v>
      </c>
      <c r="Q1" s="277"/>
      <c r="R1" s="277"/>
      <c r="S1" s="277"/>
      <c r="T1" s="277"/>
      <c r="U1" s="277"/>
      <c r="V1" s="277"/>
      <c r="W1" s="277"/>
      <c r="X1" s="277">
        <v>1</v>
      </c>
      <c r="Y1" s="277"/>
      <c r="Z1" s="277"/>
      <c r="AA1" s="277"/>
      <c r="AB1" s="277"/>
      <c r="AC1" s="277"/>
      <c r="AD1" s="277"/>
      <c r="AE1" s="277"/>
      <c r="AF1" s="277">
        <v>0</v>
      </c>
      <c r="AG1" s="277"/>
      <c r="AH1" s="277"/>
      <c r="AI1" s="277"/>
      <c r="AJ1" s="277"/>
      <c r="AK1" s="277"/>
      <c r="AL1" s="277"/>
      <c r="AM1" s="277"/>
    </row>
    <row r="2" spans="1:39" ht="17.25" thickBot="1">
      <c r="B2" s="8" t="s">
        <v>3</v>
      </c>
      <c r="C2" s="8" t="s">
        <v>2</v>
      </c>
      <c r="D2" s="147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278" t="s">
        <v>95</v>
      </c>
      <c r="C3" s="281" t="s">
        <v>115</v>
      </c>
      <c r="D3" s="148" t="str">
        <f>DEC2HEX(A3*4, 3)</f>
        <v>000</v>
      </c>
      <c r="E3" s="278" t="s">
        <v>0</v>
      </c>
      <c r="F3" s="142" t="s">
        <v>6</v>
      </c>
      <c r="G3" s="143"/>
      <c r="H3" s="218" t="s">
        <v>94</v>
      </c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20"/>
    </row>
    <row r="4" spans="1:39">
      <c r="A4" s="12">
        <v>1</v>
      </c>
      <c r="B4" s="279"/>
      <c r="C4" s="282"/>
      <c r="D4" s="62" t="str">
        <f>DEC2HEX(A4*4, 3)</f>
        <v>004</v>
      </c>
      <c r="E4" s="279"/>
      <c r="F4" s="109" t="s">
        <v>6</v>
      </c>
      <c r="G4" s="144"/>
      <c r="H4" s="221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3"/>
    </row>
    <row r="5" spans="1:39">
      <c r="A5" s="12">
        <v>2</v>
      </c>
      <c r="B5" s="279"/>
      <c r="C5" s="282"/>
      <c r="D5" s="62" t="str">
        <f t="shared" ref="D5:D14" si="1">DEC2HEX(A5*4, 3)</f>
        <v>008</v>
      </c>
      <c r="E5" s="279"/>
      <c r="F5" s="109" t="s">
        <v>6</v>
      </c>
      <c r="G5" s="144"/>
      <c r="H5" s="221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3"/>
    </row>
    <row r="6" spans="1:39">
      <c r="A6" s="12">
        <v>3</v>
      </c>
      <c r="B6" s="279"/>
      <c r="C6" s="282"/>
      <c r="D6" s="62" t="str">
        <f t="shared" si="1"/>
        <v>00C</v>
      </c>
      <c r="E6" s="279"/>
      <c r="F6" s="109" t="s">
        <v>6</v>
      </c>
      <c r="G6" s="144"/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3"/>
    </row>
    <row r="7" spans="1:39">
      <c r="A7" s="12">
        <v>4</v>
      </c>
      <c r="B7" s="279"/>
      <c r="C7" s="282"/>
      <c r="D7" s="62" t="str">
        <f t="shared" si="1"/>
        <v>010</v>
      </c>
      <c r="E7" s="140" t="s">
        <v>106</v>
      </c>
      <c r="F7" s="109" t="s">
        <v>6</v>
      </c>
      <c r="G7" s="144"/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39">
      <c r="A8" s="12">
        <v>5</v>
      </c>
      <c r="B8" s="279"/>
      <c r="C8" s="282"/>
      <c r="D8" s="62" t="str">
        <f t="shared" si="1"/>
        <v>014</v>
      </c>
      <c r="E8" s="140" t="s">
        <v>107</v>
      </c>
      <c r="F8" s="109" t="s">
        <v>6</v>
      </c>
      <c r="G8" s="144"/>
      <c r="H8" s="177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2"/>
    </row>
    <row r="9" spans="1:39">
      <c r="A9" s="12">
        <v>6</v>
      </c>
      <c r="B9" s="279"/>
      <c r="C9" s="282"/>
      <c r="D9" s="62" t="str">
        <f t="shared" si="1"/>
        <v>018</v>
      </c>
      <c r="E9" s="139" t="s">
        <v>105</v>
      </c>
      <c r="F9" s="109" t="s">
        <v>4</v>
      </c>
      <c r="G9" s="144"/>
      <c r="H9" s="177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224"/>
    </row>
    <row r="10" spans="1:39">
      <c r="A10" s="12">
        <v>7</v>
      </c>
      <c r="B10" s="279"/>
      <c r="C10" s="282"/>
      <c r="D10" s="62" t="str">
        <f t="shared" si="1"/>
        <v>01C</v>
      </c>
      <c r="E10" s="139" t="s">
        <v>105</v>
      </c>
      <c r="F10" s="109" t="s">
        <v>4</v>
      </c>
      <c r="G10" s="144"/>
      <c r="H10" s="177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224"/>
    </row>
    <row r="11" spans="1:39">
      <c r="A11" s="12">
        <v>8</v>
      </c>
      <c r="B11" s="279"/>
      <c r="C11" s="282"/>
      <c r="D11" s="62" t="str">
        <f t="shared" si="1"/>
        <v>020</v>
      </c>
      <c r="E11" s="140" t="s">
        <v>89</v>
      </c>
      <c r="F11" s="109" t="s">
        <v>4</v>
      </c>
      <c r="G11" s="144"/>
      <c r="H11" s="57" t="s">
        <v>78</v>
      </c>
      <c r="I11" s="178"/>
      <c r="J11" s="178"/>
      <c r="K11" s="178"/>
      <c r="L11" s="178"/>
      <c r="M11" s="178"/>
      <c r="N11" s="55" t="s">
        <v>34</v>
      </c>
      <c r="O11" s="55" t="s">
        <v>35</v>
      </c>
      <c r="P11" s="55" t="s">
        <v>36</v>
      </c>
      <c r="Q11" s="55" t="s">
        <v>37</v>
      </c>
      <c r="R11" s="55" t="s">
        <v>38</v>
      </c>
      <c r="S11" s="55" t="s">
        <v>39</v>
      </c>
      <c r="T11" s="178"/>
      <c r="U11" s="178"/>
      <c r="V11" s="55" t="s">
        <v>40</v>
      </c>
      <c r="W11" s="55" t="s">
        <v>41</v>
      </c>
      <c r="X11" s="161" t="s">
        <v>197</v>
      </c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2"/>
    </row>
    <row r="12" spans="1:39">
      <c r="A12" s="12">
        <v>9</v>
      </c>
      <c r="B12" s="279"/>
      <c r="C12" s="282"/>
      <c r="D12" s="149" t="str">
        <f t="shared" si="1"/>
        <v>024</v>
      </c>
      <c r="E12" s="14"/>
      <c r="F12" s="2"/>
      <c r="H12" s="177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224"/>
    </row>
    <row r="13" spans="1:39" ht="16.5" customHeight="1">
      <c r="A13" s="12">
        <v>10</v>
      </c>
      <c r="B13" s="279"/>
      <c r="C13" s="282"/>
      <c r="D13" s="149" t="str">
        <f t="shared" si="1"/>
        <v>028</v>
      </c>
      <c r="E13" s="14"/>
      <c r="F13" s="2"/>
      <c r="H13" s="177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224"/>
    </row>
    <row r="14" spans="1:39">
      <c r="A14" s="12">
        <v>11</v>
      </c>
      <c r="B14" s="279"/>
      <c r="C14" s="282"/>
      <c r="D14" s="149" t="str">
        <f t="shared" si="1"/>
        <v>02C</v>
      </c>
      <c r="E14" s="13"/>
      <c r="F14" s="2"/>
      <c r="H14" s="177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224"/>
    </row>
    <row r="15" spans="1:39" ht="17.25" thickBot="1">
      <c r="A15" s="12">
        <v>12</v>
      </c>
      <c r="B15" s="280"/>
      <c r="C15" s="283"/>
      <c r="D15" s="59" t="str">
        <f>DEC2HEX(A15*4, 3)</f>
        <v>030</v>
      </c>
      <c r="E15" s="141" t="s">
        <v>90</v>
      </c>
      <c r="F15" s="145" t="s">
        <v>6</v>
      </c>
      <c r="G15" s="146"/>
      <c r="H15" s="260"/>
      <c r="I15" s="247"/>
      <c r="J15" s="247"/>
      <c r="K15" s="247"/>
      <c r="L15" s="247"/>
      <c r="M15" s="247"/>
      <c r="N15" s="247"/>
      <c r="O15" s="50" t="s">
        <v>97</v>
      </c>
      <c r="P15" s="50" t="s">
        <v>98</v>
      </c>
      <c r="Q15" s="50" t="s">
        <v>99</v>
      </c>
      <c r="R15" s="50" t="s">
        <v>100</v>
      </c>
      <c r="S15" s="50" t="s">
        <v>101</v>
      </c>
      <c r="T15" s="247"/>
      <c r="U15" s="247"/>
      <c r="V15" s="50" t="s">
        <v>102</v>
      </c>
      <c r="W15" s="50" t="s">
        <v>103</v>
      </c>
      <c r="X15" s="247"/>
      <c r="Y15" s="247"/>
      <c r="Z15" s="247"/>
      <c r="AA15" s="247"/>
      <c r="AB15" s="247"/>
      <c r="AC15" s="247"/>
      <c r="AD15" s="247"/>
      <c r="AE15" s="247"/>
      <c r="AF15" s="58" t="s">
        <v>92</v>
      </c>
      <c r="AG15" s="58" t="s">
        <v>42</v>
      </c>
      <c r="AH15" s="58" t="s">
        <v>58</v>
      </c>
      <c r="AI15" s="58" t="s">
        <v>59</v>
      </c>
      <c r="AJ15" s="58" t="s">
        <v>43</v>
      </c>
      <c r="AK15" s="58"/>
      <c r="AL15" s="58"/>
      <c r="AM15" s="59" t="s">
        <v>60</v>
      </c>
    </row>
    <row r="16" spans="1:39" ht="17.25" thickBot="1">
      <c r="A16" s="12"/>
      <c r="B16"/>
    </row>
    <row r="17" spans="9:36" ht="17.25" thickBot="1">
      <c r="I17" s="226" t="s">
        <v>214</v>
      </c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8"/>
    </row>
    <row r="18" spans="9:36" ht="16.5" customHeight="1">
      <c r="I18" s="240" t="s">
        <v>198</v>
      </c>
      <c r="J18" s="241"/>
      <c r="K18" s="245" t="s">
        <v>278</v>
      </c>
      <c r="L18" s="245"/>
      <c r="M18" s="245"/>
      <c r="N18" s="245"/>
      <c r="O18" s="245"/>
      <c r="P18" s="245"/>
      <c r="Q18" s="245"/>
      <c r="R18" s="246"/>
      <c r="T18" s="268" t="s">
        <v>202</v>
      </c>
      <c r="U18" s="269"/>
      <c r="V18" s="269"/>
      <c r="W18" s="261" t="s">
        <v>207</v>
      </c>
      <c r="X18" s="261"/>
      <c r="Y18" s="261"/>
      <c r="Z18" s="261"/>
      <c r="AA18" s="276"/>
      <c r="AC18" s="272" t="s">
        <v>203</v>
      </c>
      <c r="AD18" s="273"/>
      <c r="AE18" s="261" t="s">
        <v>237</v>
      </c>
      <c r="AF18" s="262"/>
      <c r="AG18" s="262"/>
      <c r="AH18" s="262"/>
      <c r="AI18" s="262"/>
      <c r="AJ18" s="263"/>
    </row>
    <row r="19" spans="9:36" ht="16.5" customHeight="1" thickBot="1">
      <c r="I19" s="248" t="s">
        <v>199</v>
      </c>
      <c r="J19" s="249"/>
      <c r="K19" s="250" t="s">
        <v>280</v>
      </c>
      <c r="L19" s="250"/>
      <c r="M19" s="250"/>
      <c r="N19" s="250"/>
      <c r="O19" s="250"/>
      <c r="P19" s="250"/>
      <c r="Q19" s="250"/>
      <c r="R19" s="251"/>
      <c r="T19" s="270" t="s">
        <v>201</v>
      </c>
      <c r="U19" s="271"/>
      <c r="V19" s="271"/>
      <c r="W19" s="252" t="s">
        <v>208</v>
      </c>
      <c r="X19" s="252"/>
      <c r="Y19" s="252"/>
      <c r="Z19" s="252"/>
      <c r="AA19" s="253"/>
      <c r="AC19" s="274"/>
      <c r="AD19" s="275"/>
      <c r="AE19" s="256"/>
      <c r="AF19" s="256"/>
      <c r="AG19" s="256"/>
      <c r="AH19" s="256"/>
      <c r="AI19" s="256"/>
      <c r="AJ19" s="257"/>
    </row>
    <row r="20" spans="9:36" ht="16.5" customHeight="1">
      <c r="I20" s="248" t="s">
        <v>200</v>
      </c>
      <c r="J20" s="249"/>
      <c r="K20" s="254" t="s">
        <v>281</v>
      </c>
      <c r="L20" s="254"/>
      <c r="M20" s="254"/>
      <c r="N20" s="254"/>
      <c r="O20" s="254"/>
      <c r="P20" s="254"/>
      <c r="Q20" s="254"/>
      <c r="R20" s="255"/>
    </row>
    <row r="21" spans="9:36" ht="17.25" thickBot="1">
      <c r="I21" s="242"/>
      <c r="J21" s="243"/>
      <c r="K21" s="256"/>
      <c r="L21" s="256"/>
      <c r="M21" s="256"/>
      <c r="N21" s="256"/>
      <c r="O21" s="256"/>
      <c r="P21" s="256"/>
      <c r="Q21" s="256"/>
      <c r="R21" s="257"/>
    </row>
    <row r="22" spans="9:36" ht="17.25" thickBot="1"/>
    <row r="23" spans="9:36" ht="17.25" thickBot="1">
      <c r="I23" s="265" t="s">
        <v>215</v>
      </c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7"/>
    </row>
    <row r="24" spans="9:36">
      <c r="I24" s="240" t="s">
        <v>204</v>
      </c>
      <c r="J24" s="241"/>
      <c r="K24" s="244" t="s">
        <v>211</v>
      </c>
      <c r="L24" s="245"/>
      <c r="M24" s="245"/>
      <c r="N24" s="245"/>
      <c r="O24" s="245"/>
      <c r="P24" s="246"/>
      <c r="R24" s="240" t="s">
        <v>93</v>
      </c>
      <c r="S24" s="241"/>
      <c r="T24" s="245" t="s">
        <v>282</v>
      </c>
      <c r="U24" s="245"/>
      <c r="V24" s="245"/>
      <c r="W24" s="245"/>
      <c r="X24" s="245"/>
      <c r="Y24" s="246"/>
      <c r="AA24" s="240" t="s">
        <v>64</v>
      </c>
      <c r="AB24" s="241"/>
      <c r="AC24" s="244" t="s">
        <v>277</v>
      </c>
      <c r="AD24" s="245"/>
      <c r="AE24" s="245"/>
      <c r="AF24" s="245"/>
      <c r="AG24" s="245"/>
      <c r="AH24" s="246"/>
    </row>
    <row r="25" spans="9:36" ht="17.25" thickBot="1">
      <c r="I25" s="248" t="s">
        <v>205</v>
      </c>
      <c r="J25" s="249"/>
      <c r="K25" s="264" t="s">
        <v>212</v>
      </c>
      <c r="L25" s="250"/>
      <c r="M25" s="250"/>
      <c r="N25" s="250"/>
      <c r="O25" s="250"/>
      <c r="P25" s="251"/>
      <c r="R25" s="248" t="s">
        <v>61</v>
      </c>
      <c r="S25" s="249"/>
      <c r="T25" s="250" t="s">
        <v>283</v>
      </c>
      <c r="U25" s="250"/>
      <c r="V25" s="250"/>
      <c r="W25" s="250"/>
      <c r="X25" s="250"/>
      <c r="Y25" s="251"/>
      <c r="AA25" s="242" t="s">
        <v>65</v>
      </c>
      <c r="AB25" s="243"/>
      <c r="AC25" s="238" t="s">
        <v>238</v>
      </c>
      <c r="AD25" s="238"/>
      <c r="AE25" s="238"/>
      <c r="AF25" s="238"/>
      <c r="AG25" s="238"/>
      <c r="AH25" s="239"/>
    </row>
    <row r="26" spans="9:36" ht="14.25" customHeight="1" thickBot="1">
      <c r="I26" s="258" t="s">
        <v>206</v>
      </c>
      <c r="J26" s="259"/>
      <c r="K26" s="252" t="s">
        <v>213</v>
      </c>
      <c r="L26" s="256"/>
      <c r="M26" s="256"/>
      <c r="N26" s="256"/>
      <c r="O26" s="256"/>
      <c r="P26" s="257"/>
      <c r="R26" s="248" t="s">
        <v>62</v>
      </c>
      <c r="S26" s="249"/>
      <c r="T26" s="250" t="s">
        <v>209</v>
      </c>
      <c r="U26" s="250"/>
      <c r="V26" s="250"/>
      <c r="W26" s="250"/>
      <c r="X26" s="250"/>
      <c r="Y26" s="251"/>
    </row>
    <row r="27" spans="9:36" ht="17.25" thickBot="1">
      <c r="R27" s="242" t="s">
        <v>63</v>
      </c>
      <c r="S27" s="243"/>
      <c r="T27" s="238" t="s">
        <v>210</v>
      </c>
      <c r="U27" s="238"/>
      <c r="V27" s="238"/>
      <c r="W27" s="238"/>
      <c r="X27" s="238"/>
      <c r="Y27" s="239"/>
    </row>
  </sheetData>
  <mergeCells count="58"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H10:AM10"/>
    <mergeCell ref="H13:AM13"/>
    <mergeCell ref="X11:AM11"/>
    <mergeCell ref="AF7:AM7"/>
    <mergeCell ref="H8:O8"/>
    <mergeCell ref="P8:W8"/>
    <mergeCell ref="X8:AE8"/>
    <mergeCell ref="AF8:AM8"/>
    <mergeCell ref="H9:AM9"/>
    <mergeCell ref="H12:AM12"/>
    <mergeCell ref="I11:M11"/>
    <mergeCell ref="T11:U11"/>
    <mergeCell ref="H14:AM14"/>
    <mergeCell ref="H15:N15"/>
    <mergeCell ref="X15:AE15"/>
    <mergeCell ref="R27:S27"/>
    <mergeCell ref="AE18:AJ19"/>
    <mergeCell ref="I24:J24"/>
    <mergeCell ref="K24:P24"/>
    <mergeCell ref="I25:J25"/>
    <mergeCell ref="K25:P25"/>
    <mergeCell ref="T24:Y24"/>
    <mergeCell ref="T25:Y25"/>
    <mergeCell ref="I23:AH23"/>
    <mergeCell ref="T18:V18"/>
    <mergeCell ref="T19:V19"/>
    <mergeCell ref="AC18:AD19"/>
    <mergeCell ref="W18:AA18"/>
    <mergeCell ref="T15:U15"/>
    <mergeCell ref="R24:S24"/>
    <mergeCell ref="R25:S25"/>
    <mergeCell ref="R26:S26"/>
    <mergeCell ref="T26:Y26"/>
    <mergeCell ref="W19:AA19"/>
    <mergeCell ref="K19:R19"/>
    <mergeCell ref="K20:R21"/>
    <mergeCell ref="K18:R18"/>
    <mergeCell ref="I17:AJ17"/>
    <mergeCell ref="I18:J18"/>
    <mergeCell ref="I19:J19"/>
    <mergeCell ref="I20:J21"/>
    <mergeCell ref="K26:P26"/>
    <mergeCell ref="I26:J26"/>
    <mergeCell ref="T27:Y27"/>
    <mergeCell ref="AA24:AB24"/>
    <mergeCell ref="AA25:AB25"/>
    <mergeCell ref="AC24:AH24"/>
    <mergeCell ref="AC25:AH25"/>
  </mergeCells>
  <phoneticPr fontId="24" type="noConversion"/>
  <pageMargins left="0.25" right="0.25" top="0.75" bottom="0.75" header="0.3" footer="0.3"/>
  <pageSetup paperSize="9" scale="52" orientation="landscape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515B-AFA7-4FBE-902F-C2C6FDDBD703}">
  <sheetPr>
    <pageSetUpPr fitToPage="1"/>
  </sheetPr>
  <dimension ref="A1:AM50"/>
  <sheetViews>
    <sheetView zoomScale="92" zoomScaleNormal="92" workbookViewId="0">
      <pane xSplit="39" ySplit="15" topLeftCell="AN26" activePane="bottomRight" state="frozen"/>
      <selection pane="topRight" activeCell="AN1" sqref="AN1"/>
      <selection pane="bottomLeft" activeCell="A16" sqref="A16"/>
      <selection pane="bottomRight" activeCell="Y46" sqref="Y46"/>
    </sheetView>
  </sheetViews>
  <sheetFormatPr defaultRowHeight="16.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277">
        <v>3</v>
      </c>
      <c r="I1" s="277"/>
      <c r="J1" s="277"/>
      <c r="K1" s="277"/>
      <c r="L1" s="277"/>
      <c r="M1" s="277"/>
      <c r="N1" s="277"/>
      <c r="O1" s="277"/>
      <c r="P1" s="277">
        <v>2</v>
      </c>
      <c r="Q1" s="277"/>
      <c r="R1" s="277"/>
      <c r="S1" s="277"/>
      <c r="T1" s="277"/>
      <c r="U1" s="277"/>
      <c r="V1" s="277"/>
      <c r="W1" s="277"/>
      <c r="X1" s="277">
        <v>1</v>
      </c>
      <c r="Y1" s="277"/>
      <c r="Z1" s="277"/>
      <c r="AA1" s="277"/>
      <c r="AB1" s="277"/>
      <c r="AC1" s="277"/>
      <c r="AD1" s="277"/>
      <c r="AE1" s="277"/>
      <c r="AF1" s="277">
        <v>0</v>
      </c>
      <c r="AG1" s="277"/>
      <c r="AH1" s="277"/>
      <c r="AI1" s="277"/>
      <c r="AJ1" s="277"/>
      <c r="AK1" s="277"/>
      <c r="AL1" s="277"/>
      <c r="AM1" s="277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75" t="s">
        <v>9</v>
      </c>
      <c r="C3" s="326" t="s">
        <v>117</v>
      </c>
      <c r="D3" s="56" t="str">
        <f>DEC2HEX(A3*4, 3)</f>
        <v>000</v>
      </c>
      <c r="E3" s="175" t="s">
        <v>0</v>
      </c>
      <c r="F3" s="45" t="s">
        <v>6</v>
      </c>
      <c r="G3" s="37"/>
      <c r="H3" s="218" t="s">
        <v>96</v>
      </c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20"/>
    </row>
    <row r="4" spans="1:39">
      <c r="A4" s="12">
        <v>1</v>
      </c>
      <c r="B4" s="176"/>
      <c r="C4" s="327"/>
      <c r="D4" s="14" t="str">
        <f>DEC2HEX(A4*4, 3)</f>
        <v>004</v>
      </c>
      <c r="E4" s="176"/>
      <c r="F4" s="2" t="s">
        <v>6</v>
      </c>
      <c r="H4" s="221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3"/>
    </row>
    <row r="5" spans="1:39">
      <c r="A5" s="12">
        <v>2</v>
      </c>
      <c r="B5" s="176"/>
      <c r="C5" s="327"/>
      <c r="D5" s="14" t="str">
        <f t="shared" ref="D5:D14" si="1">DEC2HEX(A5*4, 3)</f>
        <v>008</v>
      </c>
      <c r="E5" s="176"/>
      <c r="F5" s="2" t="s">
        <v>6</v>
      </c>
      <c r="H5" s="221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3"/>
    </row>
    <row r="6" spans="1:39">
      <c r="A6" s="12">
        <v>3</v>
      </c>
      <c r="B6" s="176"/>
      <c r="C6" s="327"/>
      <c r="D6" s="14" t="str">
        <f t="shared" si="1"/>
        <v>00C</v>
      </c>
      <c r="E6" s="176"/>
      <c r="F6" s="2" t="s">
        <v>6</v>
      </c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3"/>
    </row>
    <row r="7" spans="1:39">
      <c r="A7" s="12">
        <v>4</v>
      </c>
      <c r="B7" s="176"/>
      <c r="C7" s="327"/>
      <c r="D7" s="14" t="str">
        <f t="shared" si="1"/>
        <v>010</v>
      </c>
      <c r="E7" s="14" t="s">
        <v>106</v>
      </c>
      <c r="F7" s="2" t="s">
        <v>6</v>
      </c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39">
      <c r="A8" s="12">
        <v>5</v>
      </c>
      <c r="B8" s="176"/>
      <c r="C8" s="327"/>
      <c r="D8" s="14" t="str">
        <f t="shared" si="1"/>
        <v>014</v>
      </c>
      <c r="E8" s="14" t="s">
        <v>107</v>
      </c>
      <c r="F8" s="2" t="s">
        <v>6</v>
      </c>
      <c r="H8" s="177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2"/>
    </row>
    <row r="9" spans="1:39">
      <c r="A9" s="12">
        <v>6</v>
      </c>
      <c r="B9" s="176"/>
      <c r="C9" s="327"/>
      <c r="D9" s="14" t="str">
        <f t="shared" si="1"/>
        <v>018</v>
      </c>
      <c r="E9" s="51" t="s">
        <v>105</v>
      </c>
      <c r="F9" s="2" t="s">
        <v>4</v>
      </c>
      <c r="H9" s="177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224"/>
    </row>
    <row r="10" spans="1:39">
      <c r="A10" s="12">
        <v>7</v>
      </c>
      <c r="B10" s="176"/>
      <c r="C10" s="327"/>
      <c r="D10" s="14" t="str">
        <f t="shared" si="1"/>
        <v>01C</v>
      </c>
      <c r="E10" s="51" t="s">
        <v>105</v>
      </c>
      <c r="F10" s="53" t="s">
        <v>4</v>
      </c>
      <c r="H10" s="177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224"/>
    </row>
    <row r="11" spans="1:39">
      <c r="A11" s="12">
        <v>8</v>
      </c>
      <c r="B11" s="176"/>
      <c r="C11" s="327"/>
      <c r="D11" s="14" t="str">
        <f t="shared" si="1"/>
        <v>020</v>
      </c>
      <c r="E11" s="51" t="s">
        <v>118</v>
      </c>
      <c r="F11" s="53" t="s">
        <v>4</v>
      </c>
      <c r="H11" s="322" t="s">
        <v>5</v>
      </c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4"/>
    </row>
    <row r="12" spans="1:39">
      <c r="A12" s="12">
        <v>9</v>
      </c>
      <c r="B12" s="176"/>
      <c r="C12" s="327"/>
      <c r="D12" s="14" t="str">
        <f t="shared" si="1"/>
        <v>024</v>
      </c>
      <c r="E12" s="14" t="s">
        <v>89</v>
      </c>
      <c r="F12" s="2" t="s">
        <v>4</v>
      </c>
      <c r="H12" s="57" t="s">
        <v>78</v>
      </c>
      <c r="I12" s="307"/>
      <c r="J12" s="225"/>
      <c r="K12" s="79" t="s">
        <v>122</v>
      </c>
      <c r="L12" s="315" t="s">
        <v>290</v>
      </c>
      <c r="M12" s="316"/>
      <c r="N12" s="55" t="s">
        <v>66</v>
      </c>
      <c r="O12" s="62" t="s">
        <v>67</v>
      </c>
      <c r="P12" s="307"/>
      <c r="Q12" s="197"/>
      <c r="R12" s="197"/>
      <c r="S12" s="225"/>
      <c r="T12" s="135" t="s">
        <v>36</v>
      </c>
      <c r="U12" s="136" t="s">
        <v>37</v>
      </c>
      <c r="V12" s="55" t="s">
        <v>38</v>
      </c>
      <c r="W12" s="62" t="s">
        <v>39</v>
      </c>
      <c r="X12" s="306" t="s">
        <v>197</v>
      </c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2"/>
    </row>
    <row r="13" spans="1:39">
      <c r="A13" s="12">
        <v>10</v>
      </c>
      <c r="B13" s="176"/>
      <c r="C13" s="327"/>
      <c r="D13" s="14" t="str">
        <f t="shared" si="1"/>
        <v>028</v>
      </c>
      <c r="E13" s="14" t="s">
        <v>350</v>
      </c>
      <c r="F13" s="2" t="s">
        <v>351</v>
      </c>
      <c r="H13" s="308" t="s">
        <v>350</v>
      </c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10"/>
    </row>
    <row r="14" spans="1:39">
      <c r="A14" s="12">
        <v>11</v>
      </c>
      <c r="B14" s="176"/>
      <c r="C14" s="327"/>
      <c r="D14" s="14" t="str">
        <f t="shared" si="1"/>
        <v>02C</v>
      </c>
      <c r="E14" s="51" t="s">
        <v>119</v>
      </c>
      <c r="F14" s="53" t="s">
        <v>4</v>
      </c>
      <c r="H14" s="177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61" t="s">
        <v>120</v>
      </c>
      <c r="AG14" s="161"/>
      <c r="AH14" s="161"/>
      <c r="AI14" s="161"/>
      <c r="AJ14" s="161"/>
      <c r="AK14" s="161"/>
      <c r="AL14" s="161"/>
      <c r="AM14" s="162"/>
    </row>
    <row r="15" spans="1:39" ht="17.25" thickBot="1">
      <c r="A15" s="12">
        <v>12</v>
      </c>
      <c r="B15" s="325"/>
      <c r="C15" s="328"/>
      <c r="D15" s="42" t="str">
        <f>DEC2HEX(A15*4, 3)</f>
        <v>030</v>
      </c>
      <c r="E15" s="42" t="s">
        <v>90</v>
      </c>
      <c r="F15" s="54" t="s">
        <v>6</v>
      </c>
      <c r="G15" s="48"/>
      <c r="H15" s="333" t="s">
        <v>299</v>
      </c>
      <c r="I15" s="332"/>
      <c r="J15" s="332"/>
      <c r="K15" s="332"/>
      <c r="L15" s="332"/>
      <c r="M15" s="332"/>
      <c r="N15" s="332"/>
      <c r="O15" s="332"/>
      <c r="P15" s="331" t="s">
        <v>300</v>
      </c>
      <c r="Q15" s="332"/>
      <c r="R15" s="332"/>
      <c r="S15" s="332"/>
      <c r="T15" s="332"/>
      <c r="U15" s="332"/>
      <c r="V15" s="332"/>
      <c r="W15" s="332"/>
      <c r="X15" s="329" t="s">
        <v>298</v>
      </c>
      <c r="Y15" s="330"/>
      <c r="Z15" s="330"/>
      <c r="AA15" s="330"/>
      <c r="AB15" s="330"/>
      <c r="AC15" s="330"/>
      <c r="AD15" s="330"/>
      <c r="AE15" s="330"/>
      <c r="AF15" s="58" t="s">
        <v>68</v>
      </c>
      <c r="AG15" s="58" t="s">
        <v>69</v>
      </c>
      <c r="AH15" s="58" t="s">
        <v>70</v>
      </c>
      <c r="AI15" s="58" t="s">
        <v>71</v>
      </c>
      <c r="AJ15" s="58" t="s">
        <v>43</v>
      </c>
      <c r="AK15" s="58"/>
      <c r="AL15" s="58"/>
      <c r="AM15" s="59" t="s">
        <v>60</v>
      </c>
    </row>
    <row r="16" spans="1:39" ht="17.25" thickBot="1"/>
    <row r="17" spans="1:34" ht="17.25" thickBot="1">
      <c r="I17" s="265" t="s">
        <v>228</v>
      </c>
      <c r="J17" s="266"/>
      <c r="K17" s="266"/>
      <c r="L17" s="266"/>
      <c r="M17" s="266"/>
      <c r="N17" s="266"/>
      <c r="O17" s="266"/>
      <c r="P17" s="267"/>
    </row>
    <row r="18" spans="1:34" ht="17.25" thickBot="1">
      <c r="I18" s="301" t="s">
        <v>226</v>
      </c>
      <c r="J18" s="317"/>
      <c r="K18" s="318" t="s">
        <v>227</v>
      </c>
      <c r="L18" s="318"/>
      <c r="M18" s="318"/>
      <c r="N18" s="318"/>
      <c r="O18" s="318"/>
      <c r="P18" s="319"/>
    </row>
    <row r="19" spans="1:34" ht="17.25" thickBot="1"/>
    <row r="20" spans="1:34" ht="17.25" thickBot="1">
      <c r="I20" s="226" t="s">
        <v>216</v>
      </c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8"/>
    </row>
    <row r="21" spans="1:34" ht="17.25" thickBot="1">
      <c r="I21" s="240" t="s">
        <v>198</v>
      </c>
      <c r="J21" s="241"/>
      <c r="K21" s="244" t="s">
        <v>279</v>
      </c>
      <c r="L21" s="245"/>
      <c r="M21" s="245"/>
      <c r="N21" s="245"/>
      <c r="O21" s="245"/>
      <c r="P21" s="246"/>
      <c r="R21" s="301" t="s">
        <v>219</v>
      </c>
      <c r="S21" s="302"/>
      <c r="T21" s="302"/>
      <c r="U21" s="303" t="s">
        <v>207</v>
      </c>
      <c r="V21" s="303"/>
      <c r="W21" s="303"/>
      <c r="X21" s="303"/>
      <c r="Y21" s="304"/>
      <c r="AA21" s="272" t="s">
        <v>203</v>
      </c>
      <c r="AB21" s="273"/>
      <c r="AC21" s="261" t="s">
        <v>297</v>
      </c>
      <c r="AD21" s="262"/>
      <c r="AE21" s="262"/>
      <c r="AF21" s="262"/>
      <c r="AG21" s="262"/>
      <c r="AH21" s="263"/>
    </row>
    <row r="22" spans="1:34" ht="17.25" thickBot="1">
      <c r="I22" s="305" t="s">
        <v>295</v>
      </c>
      <c r="J22" s="249"/>
      <c r="K22" s="264" t="s">
        <v>296</v>
      </c>
      <c r="L22" s="250"/>
      <c r="M22" s="250"/>
      <c r="N22" s="250"/>
      <c r="O22" s="250"/>
      <c r="P22" s="251"/>
      <c r="AA22" s="274"/>
      <c r="AB22" s="275"/>
      <c r="AC22" s="256"/>
      <c r="AD22" s="256"/>
      <c r="AE22" s="256"/>
      <c r="AF22" s="256"/>
      <c r="AG22" s="256"/>
      <c r="AH22" s="257"/>
    </row>
    <row r="23" spans="1:34" ht="17.25" thickBot="1">
      <c r="I23" s="248" t="s">
        <v>217</v>
      </c>
      <c r="J23" s="249"/>
      <c r="K23" s="264" t="s">
        <v>284</v>
      </c>
      <c r="L23" s="250"/>
      <c r="M23" s="250"/>
      <c r="N23" s="250"/>
      <c r="O23" s="250"/>
      <c r="P23" s="251"/>
      <c r="R23" s="81" t="s">
        <v>122</v>
      </c>
      <c r="S23" s="320" t="s">
        <v>290</v>
      </c>
      <c r="T23" s="321"/>
      <c r="U23" s="71" t="s">
        <v>66</v>
      </c>
      <c r="V23" s="72" t="s">
        <v>67</v>
      </c>
    </row>
    <row r="24" spans="1:34" ht="17.25" thickBot="1">
      <c r="I24" s="242" t="s">
        <v>218</v>
      </c>
      <c r="J24" s="243"/>
      <c r="K24" s="314" t="s">
        <v>285</v>
      </c>
      <c r="L24" s="238"/>
      <c r="M24" s="238"/>
      <c r="N24" s="238"/>
      <c r="O24" s="238"/>
      <c r="P24" s="239"/>
      <c r="R24" s="60">
        <v>0</v>
      </c>
      <c r="S24" s="80" t="s">
        <v>28</v>
      </c>
      <c r="T24" s="80" t="s">
        <v>196</v>
      </c>
      <c r="U24" s="61">
        <v>1</v>
      </c>
      <c r="V24" s="61">
        <v>0</v>
      </c>
      <c r="W24" s="284" t="s">
        <v>194</v>
      </c>
      <c r="X24" s="285"/>
      <c r="Y24" s="285"/>
      <c r="Z24" s="285"/>
      <c r="AA24" s="285"/>
      <c r="AB24" s="285"/>
      <c r="AC24" s="285"/>
      <c r="AD24" s="285"/>
      <c r="AE24" s="285"/>
      <c r="AF24" s="285"/>
      <c r="AG24" s="286"/>
    </row>
    <row r="25" spans="1:34" ht="17.25" thickBot="1">
      <c r="A25" s="65"/>
      <c r="K25" s="77"/>
      <c r="L25" s="78"/>
      <c r="M25" s="78"/>
      <c r="N25" s="78"/>
      <c r="O25" s="78"/>
      <c r="P25" s="78"/>
      <c r="R25" s="57">
        <v>0</v>
      </c>
      <c r="S25" s="66" t="s">
        <v>28</v>
      </c>
      <c r="T25" s="66" t="s">
        <v>196</v>
      </c>
      <c r="U25" s="55">
        <v>0</v>
      </c>
      <c r="V25" s="55">
        <v>1</v>
      </c>
      <c r="W25" s="287" t="s">
        <v>195</v>
      </c>
      <c r="X25" s="288"/>
      <c r="Y25" s="288"/>
      <c r="Z25" s="288"/>
      <c r="AA25" s="288"/>
      <c r="AB25" s="288"/>
      <c r="AC25" s="288"/>
      <c r="AD25" s="288"/>
      <c r="AE25" s="288"/>
      <c r="AF25" s="288"/>
      <c r="AG25" s="289"/>
    </row>
    <row r="26" spans="1:34">
      <c r="I26" s="292" t="s">
        <v>352</v>
      </c>
      <c r="J26" s="293"/>
      <c r="K26" s="293"/>
      <c r="L26" s="293"/>
      <c r="M26" s="293"/>
      <c r="N26" s="293"/>
      <c r="O26" s="293"/>
      <c r="P26" s="294"/>
      <c r="R26" s="73">
        <v>1</v>
      </c>
      <c r="S26" s="74">
        <v>0</v>
      </c>
      <c r="T26" s="74">
        <v>0</v>
      </c>
      <c r="U26" s="74">
        <v>1</v>
      </c>
      <c r="V26" s="74">
        <v>0</v>
      </c>
      <c r="W26" s="290" t="s">
        <v>293</v>
      </c>
      <c r="X26" s="290"/>
      <c r="Y26" s="290"/>
      <c r="Z26" s="290"/>
      <c r="AA26" s="290"/>
      <c r="AB26" s="290"/>
      <c r="AC26" s="290"/>
      <c r="AD26" s="290"/>
      <c r="AE26" s="290"/>
      <c r="AF26" s="290"/>
      <c r="AG26" s="291"/>
    </row>
    <row r="27" spans="1:34" ht="17.25" customHeight="1">
      <c r="I27" s="334">
        <v>0</v>
      </c>
      <c r="J27" s="334"/>
      <c r="K27" s="337" t="s">
        <v>353</v>
      </c>
      <c r="L27" s="338"/>
      <c r="M27" s="338"/>
      <c r="N27" s="338"/>
      <c r="O27" s="338"/>
      <c r="P27" s="338"/>
      <c r="R27" s="73">
        <v>1</v>
      </c>
      <c r="S27" s="74">
        <v>0</v>
      </c>
      <c r="T27" s="74">
        <v>1</v>
      </c>
      <c r="U27" s="74">
        <v>0</v>
      </c>
      <c r="V27" s="74">
        <v>1</v>
      </c>
      <c r="W27" s="290" t="s">
        <v>291</v>
      </c>
      <c r="X27" s="290"/>
      <c r="Y27" s="290"/>
      <c r="Z27" s="290"/>
      <c r="AA27" s="290"/>
      <c r="AB27" s="290"/>
      <c r="AC27" s="290"/>
      <c r="AD27" s="290"/>
      <c r="AE27" s="290"/>
      <c r="AF27" s="290"/>
      <c r="AG27" s="291"/>
    </row>
    <row r="28" spans="1:34" ht="16.5" customHeight="1">
      <c r="I28" s="334">
        <v>1</v>
      </c>
      <c r="J28" s="334"/>
      <c r="K28" s="339" t="s">
        <v>356</v>
      </c>
      <c r="L28" s="340"/>
      <c r="M28" s="340"/>
      <c r="N28" s="340"/>
      <c r="O28" s="340"/>
      <c r="P28" s="340"/>
      <c r="R28" s="73">
        <v>1</v>
      </c>
      <c r="S28" s="74">
        <v>1</v>
      </c>
      <c r="T28" s="74">
        <v>0</v>
      </c>
      <c r="U28" s="74">
        <v>1</v>
      </c>
      <c r="V28" s="74">
        <v>0</v>
      </c>
      <c r="W28" s="290" t="s">
        <v>292</v>
      </c>
      <c r="X28" s="290"/>
      <c r="Y28" s="290"/>
      <c r="Z28" s="290"/>
      <c r="AA28" s="290"/>
      <c r="AB28" s="290"/>
      <c r="AC28" s="290"/>
      <c r="AD28" s="290"/>
      <c r="AE28" s="290"/>
      <c r="AF28" s="290"/>
      <c r="AG28" s="291"/>
    </row>
    <row r="29" spans="1:34" ht="17.25" thickBot="1">
      <c r="I29" s="334">
        <v>2</v>
      </c>
      <c r="J29" s="334"/>
      <c r="K29" s="335" t="s">
        <v>354</v>
      </c>
      <c r="L29" s="336"/>
      <c r="M29" s="336"/>
      <c r="N29" s="336"/>
      <c r="O29" s="336"/>
      <c r="P29" s="336"/>
      <c r="R29" s="75">
        <v>1</v>
      </c>
      <c r="S29" s="76">
        <v>1</v>
      </c>
      <c r="T29" s="76">
        <v>1</v>
      </c>
      <c r="U29" s="76">
        <v>0</v>
      </c>
      <c r="V29" s="76">
        <v>1</v>
      </c>
      <c r="W29" s="296" t="s">
        <v>294</v>
      </c>
      <c r="X29" s="296"/>
      <c r="Y29" s="296"/>
      <c r="Z29" s="296"/>
      <c r="AA29" s="296"/>
      <c r="AB29" s="296"/>
      <c r="AC29" s="296"/>
      <c r="AD29" s="296"/>
      <c r="AE29" s="296"/>
      <c r="AF29" s="296"/>
      <c r="AG29" s="297"/>
    </row>
    <row r="30" spans="1:34">
      <c r="I30" s="334">
        <v>3</v>
      </c>
      <c r="J30" s="334"/>
      <c r="K30" s="335" t="s">
        <v>355</v>
      </c>
      <c r="L30" s="336"/>
      <c r="M30" s="336"/>
      <c r="N30" s="336"/>
      <c r="O30" s="336"/>
      <c r="P30" s="336"/>
    </row>
    <row r="31" spans="1:34" ht="17.25" thickBot="1"/>
    <row r="32" spans="1:34" ht="16.5" customHeight="1" thickBot="1">
      <c r="A32" s="65"/>
      <c r="I32" s="292" t="s">
        <v>220</v>
      </c>
      <c r="J32" s="293"/>
      <c r="K32" s="293"/>
      <c r="L32" s="293"/>
      <c r="M32" s="293"/>
      <c r="N32" s="293"/>
      <c r="O32" s="293"/>
      <c r="P32" s="294"/>
    </row>
    <row r="33" spans="1:39">
      <c r="A33" s="65"/>
      <c r="I33" s="240" t="s">
        <v>221</v>
      </c>
      <c r="J33" s="241"/>
      <c r="K33" s="298" t="s">
        <v>239</v>
      </c>
      <c r="L33" s="299"/>
      <c r="M33" s="299"/>
      <c r="N33" s="299"/>
      <c r="O33" s="299"/>
      <c r="P33" s="300"/>
    </row>
    <row r="34" spans="1:39" ht="17.25" thickBot="1">
      <c r="I34" s="242"/>
      <c r="J34" s="243"/>
      <c r="K34" s="311" t="s">
        <v>302</v>
      </c>
      <c r="L34" s="312"/>
      <c r="M34" s="312"/>
      <c r="N34" s="312"/>
      <c r="O34" s="312"/>
      <c r="P34" s="313"/>
    </row>
    <row r="35" spans="1:39" ht="17.25" thickBot="1"/>
    <row r="36" spans="1:39" ht="17.25" thickBot="1">
      <c r="I36" s="265" t="s">
        <v>234</v>
      </c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7"/>
    </row>
    <row r="37" spans="1:39">
      <c r="I37" s="240" t="s">
        <v>72</v>
      </c>
      <c r="J37" s="241"/>
      <c r="K37" s="244" t="s">
        <v>222</v>
      </c>
      <c r="L37" s="245"/>
      <c r="M37" s="245"/>
      <c r="N37" s="245"/>
      <c r="O37" s="245"/>
      <c r="P37" s="246"/>
      <c r="R37" s="240" t="s">
        <v>64</v>
      </c>
      <c r="S37" s="241"/>
      <c r="T37" s="244" t="s">
        <v>277</v>
      </c>
      <c r="U37" s="245"/>
      <c r="V37" s="245"/>
      <c r="W37" s="245"/>
      <c r="X37" s="245"/>
      <c r="Y37" s="246"/>
    </row>
    <row r="38" spans="1:39" ht="17.25" thickBot="1">
      <c r="I38" s="248" t="s">
        <v>73</v>
      </c>
      <c r="J38" s="249"/>
      <c r="K38" s="264" t="s">
        <v>224</v>
      </c>
      <c r="L38" s="250"/>
      <c r="M38" s="250"/>
      <c r="N38" s="250"/>
      <c r="O38" s="250"/>
      <c r="P38" s="251"/>
      <c r="R38" s="242" t="s">
        <v>65</v>
      </c>
      <c r="S38" s="243"/>
      <c r="T38" s="238" t="s">
        <v>238</v>
      </c>
      <c r="U38" s="238"/>
      <c r="V38" s="238"/>
      <c r="W38" s="238"/>
      <c r="X38" s="238"/>
      <c r="Y38" s="239"/>
      <c r="AM38"/>
    </row>
    <row r="39" spans="1:39">
      <c r="I39" s="248" t="s">
        <v>74</v>
      </c>
      <c r="J39" s="249"/>
      <c r="K39" s="295" t="s">
        <v>223</v>
      </c>
      <c r="L39" s="254"/>
      <c r="M39" s="254"/>
      <c r="N39" s="254"/>
      <c r="O39" s="254"/>
      <c r="P39" s="255"/>
      <c r="AM39"/>
    </row>
    <row r="40" spans="1:39" ht="17.25" thickBot="1">
      <c r="I40" s="242" t="s">
        <v>75</v>
      </c>
      <c r="J40" s="243"/>
      <c r="K40" s="252" t="s">
        <v>225</v>
      </c>
      <c r="L40" s="256"/>
      <c r="M40" s="256"/>
      <c r="N40" s="256"/>
      <c r="O40" s="256"/>
      <c r="P40" s="257"/>
      <c r="AM40"/>
    </row>
    <row r="41" spans="1:39">
      <c r="AM41"/>
    </row>
    <row r="42" spans="1:39">
      <c r="AM42"/>
    </row>
    <row r="43" spans="1:39">
      <c r="AM43"/>
    </row>
    <row r="44" spans="1:39">
      <c r="AM44"/>
    </row>
    <row r="45" spans="1:39">
      <c r="AM45"/>
    </row>
    <row r="46" spans="1:39">
      <c r="AM46"/>
    </row>
    <row r="47" spans="1:39">
      <c r="AM47"/>
    </row>
    <row r="48" spans="1:39">
      <c r="AM48"/>
    </row>
    <row r="49" spans="39:39">
      <c r="AM49"/>
    </row>
    <row r="50" spans="39:39">
      <c r="AM50"/>
    </row>
  </sheetData>
  <mergeCells count="77">
    <mergeCell ref="I29:J29"/>
    <mergeCell ref="K29:P29"/>
    <mergeCell ref="I30:J30"/>
    <mergeCell ref="K30:P30"/>
    <mergeCell ref="I26:P26"/>
    <mergeCell ref="K27:P27"/>
    <mergeCell ref="K28:P28"/>
    <mergeCell ref="I27:J27"/>
    <mergeCell ref="I28:J28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X15:AE15"/>
    <mergeCell ref="P15:W15"/>
    <mergeCell ref="H15:O15"/>
    <mergeCell ref="H10:AM10"/>
    <mergeCell ref="AF7:AM7"/>
    <mergeCell ref="H8:O8"/>
    <mergeCell ref="P8:W8"/>
    <mergeCell ref="X8:AE8"/>
    <mergeCell ref="AF8:AM8"/>
    <mergeCell ref="H9:AM9"/>
    <mergeCell ref="H11:AM11"/>
    <mergeCell ref="X12:AM12"/>
    <mergeCell ref="P12:S12"/>
    <mergeCell ref="H13:AM13"/>
    <mergeCell ref="K34:P34"/>
    <mergeCell ref="H14:AE14"/>
    <mergeCell ref="AF14:AM14"/>
    <mergeCell ref="I17:P17"/>
    <mergeCell ref="I12:J12"/>
    <mergeCell ref="I23:J23"/>
    <mergeCell ref="K23:P23"/>
    <mergeCell ref="I24:J24"/>
    <mergeCell ref="K24:P24"/>
    <mergeCell ref="L12:M12"/>
    <mergeCell ref="I18:J18"/>
    <mergeCell ref="K18:P18"/>
    <mergeCell ref="S23:T23"/>
    <mergeCell ref="R38:S38"/>
    <mergeCell ref="T38:Y38"/>
    <mergeCell ref="I37:J37"/>
    <mergeCell ref="K37:P37"/>
    <mergeCell ref="R37:S37"/>
    <mergeCell ref="T37:Y37"/>
    <mergeCell ref="I20:AH20"/>
    <mergeCell ref="I21:J21"/>
    <mergeCell ref="K21:P21"/>
    <mergeCell ref="R21:T21"/>
    <mergeCell ref="U21:Y21"/>
    <mergeCell ref="AA21:AB22"/>
    <mergeCell ref="AC21:AH22"/>
    <mergeCell ref="I22:J22"/>
    <mergeCell ref="K22:P22"/>
    <mergeCell ref="W24:AG24"/>
    <mergeCell ref="W25:AG25"/>
    <mergeCell ref="W26:AG26"/>
    <mergeCell ref="W27:AG27"/>
    <mergeCell ref="I40:J40"/>
    <mergeCell ref="K40:P40"/>
    <mergeCell ref="I36:Y36"/>
    <mergeCell ref="I32:P32"/>
    <mergeCell ref="I33:J34"/>
    <mergeCell ref="I39:J39"/>
    <mergeCell ref="K39:P39"/>
    <mergeCell ref="I38:J38"/>
    <mergeCell ref="K38:P38"/>
    <mergeCell ref="W28:AG28"/>
    <mergeCell ref="W29:AG29"/>
    <mergeCell ref="K33:P33"/>
  </mergeCells>
  <phoneticPr fontId="24" type="noConversion"/>
  <pageMargins left="0.25" right="0.25" top="0.75" bottom="0.75" header="0.3" footer="0.3"/>
  <pageSetup paperSize="9" scale="52" orientation="landscape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2DCD-114E-4810-B1F9-A578C0A301B4}">
  <sheetPr>
    <pageSetUpPr fitToPage="1"/>
  </sheetPr>
  <dimension ref="A1:AM34"/>
  <sheetViews>
    <sheetView zoomScale="92" zoomScaleNormal="92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A12" sqref="A12:XFD12"/>
    </sheetView>
  </sheetViews>
  <sheetFormatPr defaultRowHeight="16.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277">
        <v>3</v>
      </c>
      <c r="I1" s="277"/>
      <c r="J1" s="277"/>
      <c r="K1" s="277"/>
      <c r="L1" s="277"/>
      <c r="M1" s="277"/>
      <c r="N1" s="277"/>
      <c r="O1" s="277"/>
      <c r="P1" s="277">
        <v>2</v>
      </c>
      <c r="Q1" s="277"/>
      <c r="R1" s="277"/>
      <c r="S1" s="277"/>
      <c r="T1" s="277"/>
      <c r="U1" s="277"/>
      <c r="V1" s="277"/>
      <c r="W1" s="277"/>
      <c r="X1" s="277">
        <v>1</v>
      </c>
      <c r="Y1" s="277"/>
      <c r="Z1" s="277"/>
      <c r="AA1" s="277"/>
      <c r="AB1" s="277"/>
      <c r="AC1" s="277"/>
      <c r="AD1" s="277"/>
      <c r="AE1" s="277"/>
      <c r="AF1" s="277">
        <v>0</v>
      </c>
      <c r="AG1" s="277"/>
      <c r="AH1" s="277"/>
      <c r="AI1" s="277"/>
      <c r="AJ1" s="277"/>
      <c r="AK1" s="277"/>
      <c r="AL1" s="277"/>
      <c r="AM1" s="277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75" t="s">
        <v>181</v>
      </c>
      <c r="C3" s="326" t="s">
        <v>182</v>
      </c>
      <c r="D3" s="56" t="str">
        <f>DEC2HEX(A3*4, 3)</f>
        <v>000</v>
      </c>
      <c r="E3" s="175" t="s">
        <v>0</v>
      </c>
      <c r="F3" s="45" t="s">
        <v>6</v>
      </c>
      <c r="G3" s="37"/>
      <c r="H3" s="218" t="s">
        <v>183</v>
      </c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20"/>
    </row>
    <row r="4" spans="1:39">
      <c r="A4" s="12">
        <v>1</v>
      </c>
      <c r="B4" s="176"/>
      <c r="C4" s="327"/>
      <c r="D4" s="14" t="str">
        <f>DEC2HEX(A4*4, 3)</f>
        <v>004</v>
      </c>
      <c r="E4" s="176"/>
      <c r="F4" s="2" t="s">
        <v>6</v>
      </c>
      <c r="H4" s="221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3"/>
    </row>
    <row r="5" spans="1:39">
      <c r="A5" s="12">
        <v>2</v>
      </c>
      <c r="B5" s="176"/>
      <c r="C5" s="327"/>
      <c r="D5" s="14" t="str">
        <f t="shared" ref="D5:D14" si="1">DEC2HEX(A5*4, 3)</f>
        <v>008</v>
      </c>
      <c r="E5" s="176"/>
      <c r="F5" s="2" t="s">
        <v>6</v>
      </c>
      <c r="H5" s="221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3"/>
    </row>
    <row r="6" spans="1:39">
      <c r="A6" s="12">
        <v>3</v>
      </c>
      <c r="B6" s="176"/>
      <c r="C6" s="327"/>
      <c r="D6" s="14" t="str">
        <f t="shared" si="1"/>
        <v>00C</v>
      </c>
      <c r="E6" s="176"/>
      <c r="F6" s="2" t="s">
        <v>6</v>
      </c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3"/>
    </row>
    <row r="7" spans="1:39">
      <c r="A7" s="12">
        <v>4</v>
      </c>
      <c r="B7" s="176"/>
      <c r="C7" s="327"/>
      <c r="D7" s="14" t="str">
        <f t="shared" si="1"/>
        <v>010</v>
      </c>
      <c r="E7" s="14" t="s">
        <v>106</v>
      </c>
      <c r="F7" s="2" t="s">
        <v>6</v>
      </c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39">
      <c r="A8" s="12">
        <v>5</v>
      </c>
      <c r="B8" s="176"/>
      <c r="C8" s="327"/>
      <c r="D8" s="14" t="str">
        <f t="shared" si="1"/>
        <v>014</v>
      </c>
      <c r="E8" s="14" t="s">
        <v>107</v>
      </c>
      <c r="F8" s="2" t="s">
        <v>6</v>
      </c>
      <c r="H8" s="177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2"/>
    </row>
    <row r="9" spans="1:39">
      <c r="A9" s="12">
        <v>6</v>
      </c>
      <c r="B9" s="176"/>
      <c r="C9" s="327"/>
      <c r="D9" s="14" t="str">
        <f t="shared" si="1"/>
        <v>018</v>
      </c>
      <c r="E9" s="51" t="s">
        <v>105</v>
      </c>
      <c r="F9" s="2" t="s">
        <v>4</v>
      </c>
      <c r="H9" s="177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224"/>
    </row>
    <row r="10" spans="1:39">
      <c r="A10" s="12">
        <v>7</v>
      </c>
      <c r="B10" s="176"/>
      <c r="C10" s="327"/>
      <c r="D10" s="14" t="str">
        <f t="shared" si="1"/>
        <v>01C</v>
      </c>
      <c r="E10" s="51" t="s">
        <v>105</v>
      </c>
      <c r="F10" s="53" t="s">
        <v>4</v>
      </c>
      <c r="H10" s="177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224"/>
    </row>
    <row r="11" spans="1:39">
      <c r="A11" s="12">
        <v>8</v>
      </c>
      <c r="B11" s="176"/>
      <c r="C11" s="327"/>
      <c r="D11" s="14" t="str">
        <f t="shared" si="1"/>
        <v>020</v>
      </c>
      <c r="E11" s="51" t="s">
        <v>118</v>
      </c>
      <c r="F11" s="53" t="s">
        <v>4</v>
      </c>
      <c r="H11" s="322" t="s">
        <v>5</v>
      </c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  <c r="AI11" s="323"/>
      <c r="AJ11" s="323"/>
      <c r="AK11" s="323"/>
      <c r="AL11" s="323"/>
      <c r="AM11" s="324"/>
    </row>
    <row r="12" spans="1:39">
      <c r="A12" s="12">
        <v>9</v>
      </c>
      <c r="B12" s="176"/>
      <c r="C12" s="327"/>
      <c r="D12" s="14" t="str">
        <f t="shared" si="1"/>
        <v>024</v>
      </c>
      <c r="E12" s="14" t="s">
        <v>89</v>
      </c>
      <c r="F12" s="2" t="s">
        <v>4</v>
      </c>
      <c r="H12" s="57" t="s">
        <v>78</v>
      </c>
      <c r="I12" s="307"/>
      <c r="J12" s="197"/>
      <c r="K12" s="197"/>
      <c r="L12" s="197"/>
      <c r="M12" s="225"/>
      <c r="N12" s="55" t="s">
        <v>66</v>
      </c>
      <c r="O12" s="62" t="s">
        <v>67</v>
      </c>
      <c r="P12" s="196"/>
      <c r="Q12" s="197"/>
      <c r="R12" s="197"/>
      <c r="S12" s="197"/>
      <c r="T12" s="197"/>
      <c r="U12" s="225"/>
      <c r="V12" s="55" t="s">
        <v>185</v>
      </c>
      <c r="W12" s="62" t="s">
        <v>184</v>
      </c>
      <c r="X12" s="306" t="s">
        <v>197</v>
      </c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2"/>
    </row>
    <row r="13" spans="1:39">
      <c r="A13" s="12">
        <v>10</v>
      </c>
      <c r="B13" s="176"/>
      <c r="C13" s="327"/>
      <c r="D13" s="14" t="str">
        <f t="shared" si="1"/>
        <v>028</v>
      </c>
      <c r="E13" s="14" t="s">
        <v>350</v>
      </c>
      <c r="F13" s="2" t="s">
        <v>351</v>
      </c>
      <c r="H13" s="308" t="s">
        <v>350</v>
      </c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10"/>
    </row>
    <row r="14" spans="1:39">
      <c r="A14" s="12">
        <v>11</v>
      </c>
      <c r="B14" s="176"/>
      <c r="C14" s="327"/>
      <c r="D14" s="14" t="str">
        <f t="shared" si="1"/>
        <v>02C</v>
      </c>
      <c r="E14" s="51" t="s">
        <v>119</v>
      </c>
      <c r="F14" s="53" t="s">
        <v>4</v>
      </c>
      <c r="H14" s="177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61" t="s">
        <v>120</v>
      </c>
      <c r="AG14" s="161"/>
      <c r="AH14" s="161"/>
      <c r="AI14" s="161"/>
      <c r="AJ14" s="161"/>
      <c r="AK14" s="161"/>
      <c r="AL14" s="161"/>
      <c r="AM14" s="162"/>
    </row>
    <row r="15" spans="1:39" ht="17.25" thickBot="1">
      <c r="A15" s="12">
        <v>12</v>
      </c>
      <c r="B15" s="325"/>
      <c r="C15" s="328"/>
      <c r="D15" s="42" t="str">
        <f>DEC2HEX(A15*4, 3)</f>
        <v>030</v>
      </c>
      <c r="E15" s="42" t="s">
        <v>90</v>
      </c>
      <c r="F15" s="54" t="s">
        <v>6</v>
      </c>
      <c r="G15" s="48"/>
      <c r="H15" s="82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329" t="s">
        <v>301</v>
      </c>
      <c r="Y15" s="330"/>
      <c r="Z15" s="330"/>
      <c r="AA15" s="330"/>
      <c r="AB15" s="330"/>
      <c r="AC15" s="330"/>
      <c r="AD15" s="330"/>
      <c r="AE15" s="330"/>
      <c r="AF15" s="58" t="s">
        <v>68</v>
      </c>
      <c r="AG15" s="58" t="s">
        <v>69</v>
      </c>
      <c r="AH15" s="58" t="s">
        <v>70</v>
      </c>
      <c r="AI15" s="58" t="s">
        <v>71</v>
      </c>
      <c r="AJ15" s="58" t="s">
        <v>43</v>
      </c>
      <c r="AK15" s="58"/>
      <c r="AL15" s="58"/>
      <c r="AM15" s="59" t="s">
        <v>60</v>
      </c>
    </row>
    <row r="16" spans="1:39" ht="17.25" thickBot="1"/>
    <row r="17" spans="1:34" ht="17.25" thickBot="1">
      <c r="I17" s="265" t="s">
        <v>230</v>
      </c>
      <c r="J17" s="266"/>
      <c r="K17" s="266"/>
      <c r="L17" s="266"/>
      <c r="M17" s="266"/>
      <c r="N17" s="266"/>
      <c r="O17" s="266"/>
      <c r="P17" s="267"/>
    </row>
    <row r="18" spans="1:34" ht="17.25" thickBot="1">
      <c r="I18" s="301" t="s">
        <v>226</v>
      </c>
      <c r="J18" s="317"/>
      <c r="K18" s="318" t="s">
        <v>229</v>
      </c>
      <c r="L18" s="318"/>
      <c r="M18" s="318"/>
      <c r="N18" s="318"/>
      <c r="O18" s="318"/>
      <c r="P18" s="319"/>
    </row>
    <row r="19" spans="1:34" ht="17.25" thickBot="1"/>
    <row r="20" spans="1:34" ht="17.25" thickBot="1">
      <c r="I20" s="226" t="s">
        <v>231</v>
      </c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8"/>
    </row>
    <row r="21" spans="1:34" ht="17.25" thickBot="1">
      <c r="I21" s="240" t="s">
        <v>198</v>
      </c>
      <c r="J21" s="241"/>
      <c r="K21" s="244" t="s">
        <v>279</v>
      </c>
      <c r="L21" s="245"/>
      <c r="M21" s="245"/>
      <c r="N21" s="245"/>
      <c r="O21" s="245"/>
      <c r="P21" s="246"/>
      <c r="R21" s="301" t="s">
        <v>201</v>
      </c>
      <c r="S21" s="302"/>
      <c r="T21" s="302"/>
      <c r="U21" s="303" t="s">
        <v>208</v>
      </c>
      <c r="V21" s="303"/>
      <c r="W21" s="303"/>
      <c r="X21" s="303"/>
      <c r="Y21" s="304"/>
      <c r="AA21" s="272" t="s">
        <v>203</v>
      </c>
      <c r="AB21" s="273"/>
      <c r="AC21" s="261" t="s">
        <v>237</v>
      </c>
      <c r="AD21" s="262"/>
      <c r="AE21" s="262"/>
      <c r="AF21" s="262"/>
      <c r="AG21" s="262"/>
      <c r="AH21" s="263"/>
    </row>
    <row r="22" spans="1:34" ht="17.25" thickBot="1">
      <c r="I22" s="248" t="s">
        <v>217</v>
      </c>
      <c r="J22" s="249"/>
      <c r="K22" s="264" t="s">
        <v>284</v>
      </c>
      <c r="L22" s="250"/>
      <c r="M22" s="250"/>
      <c r="N22" s="250"/>
      <c r="O22" s="250"/>
      <c r="P22" s="251"/>
      <c r="AA22" s="274"/>
      <c r="AB22" s="275"/>
      <c r="AC22" s="256"/>
      <c r="AD22" s="256"/>
      <c r="AE22" s="256"/>
      <c r="AF22" s="256"/>
      <c r="AG22" s="256"/>
      <c r="AH22" s="257"/>
    </row>
    <row r="23" spans="1:34" ht="17.25" thickBot="1">
      <c r="I23" s="242" t="s">
        <v>218</v>
      </c>
      <c r="J23" s="243"/>
      <c r="K23" s="314" t="s">
        <v>285</v>
      </c>
      <c r="L23" s="238"/>
      <c r="M23" s="238"/>
      <c r="N23" s="238"/>
      <c r="O23" s="238"/>
      <c r="P23" s="239"/>
    </row>
    <row r="24" spans="1:34" ht="17.25" thickBot="1">
      <c r="A24" s="65"/>
      <c r="K24" s="77"/>
      <c r="L24" s="78"/>
      <c r="M24" s="78"/>
      <c r="N24" s="78"/>
      <c r="O24" s="78"/>
      <c r="P24" s="78"/>
    </row>
    <row r="25" spans="1:34" ht="17.25" thickBot="1">
      <c r="I25" s="292" t="s">
        <v>232</v>
      </c>
      <c r="J25" s="293"/>
      <c r="K25" s="293"/>
      <c r="L25" s="293"/>
      <c r="M25" s="293"/>
      <c r="N25" s="293"/>
      <c r="O25" s="293"/>
      <c r="P25" s="294"/>
    </row>
    <row r="26" spans="1:34" ht="17.25" customHeight="1">
      <c r="I26" s="240" t="s">
        <v>221</v>
      </c>
      <c r="J26" s="241"/>
      <c r="K26" s="298" t="s">
        <v>239</v>
      </c>
      <c r="L26" s="299"/>
      <c r="M26" s="299"/>
      <c r="N26" s="299"/>
      <c r="O26" s="299"/>
      <c r="P26" s="300"/>
    </row>
    <row r="27" spans="1:34" ht="16.5" customHeight="1" thickBot="1">
      <c r="I27" s="242"/>
      <c r="J27" s="243"/>
      <c r="K27" s="311" t="s">
        <v>302</v>
      </c>
      <c r="L27" s="312"/>
      <c r="M27" s="312"/>
      <c r="N27" s="312"/>
      <c r="O27" s="312"/>
      <c r="P27" s="313"/>
    </row>
    <row r="28" spans="1:34">
      <c r="K28" s="77"/>
      <c r="L28" s="78"/>
      <c r="M28" s="78"/>
      <c r="N28" s="78"/>
      <c r="O28" s="78"/>
      <c r="P28" s="78"/>
    </row>
    <row r="29" spans="1:34" ht="17.25" thickBot="1">
      <c r="K29" s="77"/>
      <c r="L29" s="78"/>
      <c r="M29" s="78"/>
      <c r="N29" s="78"/>
      <c r="O29" s="78"/>
      <c r="P29" s="78"/>
    </row>
    <row r="30" spans="1:34" ht="17.25" thickBot="1">
      <c r="I30" s="265" t="s">
        <v>233</v>
      </c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7"/>
    </row>
    <row r="31" spans="1:34" ht="16.5" customHeight="1">
      <c r="A31" s="65"/>
      <c r="I31" s="240" t="s">
        <v>72</v>
      </c>
      <c r="J31" s="241"/>
      <c r="K31" s="244" t="s">
        <v>222</v>
      </c>
      <c r="L31" s="245"/>
      <c r="M31" s="245"/>
      <c r="N31" s="245"/>
      <c r="O31" s="245"/>
      <c r="P31" s="246"/>
      <c r="R31" s="240" t="s">
        <v>64</v>
      </c>
      <c r="S31" s="241"/>
      <c r="T31" s="244" t="s">
        <v>277</v>
      </c>
      <c r="U31" s="245"/>
      <c r="V31" s="245"/>
      <c r="W31" s="245"/>
      <c r="X31" s="245"/>
      <c r="Y31" s="246"/>
    </row>
    <row r="32" spans="1:34" ht="17.25" thickBot="1">
      <c r="A32" s="65"/>
      <c r="I32" s="248" t="s">
        <v>73</v>
      </c>
      <c r="J32" s="249"/>
      <c r="K32" s="264" t="s">
        <v>224</v>
      </c>
      <c r="L32" s="250"/>
      <c r="M32" s="250"/>
      <c r="N32" s="250"/>
      <c r="O32" s="250"/>
      <c r="P32" s="251"/>
      <c r="R32" s="242" t="s">
        <v>65</v>
      </c>
      <c r="S32" s="243"/>
      <c r="T32" s="238" t="s">
        <v>238</v>
      </c>
      <c r="U32" s="238"/>
      <c r="V32" s="238"/>
      <c r="W32" s="238"/>
      <c r="X32" s="238"/>
      <c r="Y32" s="239"/>
    </row>
    <row r="33" spans="9:16">
      <c r="I33" s="248" t="s">
        <v>74</v>
      </c>
      <c r="J33" s="249"/>
      <c r="K33" s="295" t="s">
        <v>223</v>
      </c>
      <c r="L33" s="254"/>
      <c r="M33" s="254"/>
      <c r="N33" s="254"/>
      <c r="O33" s="254"/>
      <c r="P33" s="255"/>
    </row>
    <row r="34" spans="9:16" ht="17.25" thickBot="1">
      <c r="I34" s="242" t="s">
        <v>75</v>
      </c>
      <c r="J34" s="243"/>
      <c r="K34" s="252" t="s">
        <v>225</v>
      </c>
      <c r="L34" s="256"/>
      <c r="M34" s="256"/>
      <c r="N34" s="256"/>
      <c r="O34" s="256"/>
      <c r="P34" s="257"/>
    </row>
  </sheetData>
  <mergeCells count="56">
    <mergeCell ref="B3:B15"/>
    <mergeCell ref="C3:C15"/>
    <mergeCell ref="E3:E6"/>
    <mergeCell ref="H3:AM6"/>
    <mergeCell ref="H7:W7"/>
    <mergeCell ref="X7:AE7"/>
    <mergeCell ref="X15:AE15"/>
    <mergeCell ref="H9:AM9"/>
    <mergeCell ref="H8:O8"/>
    <mergeCell ref="P8:W8"/>
    <mergeCell ref="X8:AE8"/>
    <mergeCell ref="AF8:AM8"/>
    <mergeCell ref="H1:O1"/>
    <mergeCell ref="P1:W1"/>
    <mergeCell ref="X1:AE1"/>
    <mergeCell ref="AF1:AM1"/>
    <mergeCell ref="AF7:AM7"/>
    <mergeCell ref="I18:J18"/>
    <mergeCell ref="K18:P18"/>
    <mergeCell ref="H10:AM10"/>
    <mergeCell ref="H11:AM11"/>
    <mergeCell ref="X12:AM12"/>
    <mergeCell ref="H13:AM13"/>
    <mergeCell ref="H14:AE14"/>
    <mergeCell ref="AF14:AM14"/>
    <mergeCell ref="I17:P17"/>
    <mergeCell ref="I20:AH20"/>
    <mergeCell ref="I21:J21"/>
    <mergeCell ref="K21:P21"/>
    <mergeCell ref="R21:T21"/>
    <mergeCell ref="U21:Y21"/>
    <mergeCell ref="AA21:AB22"/>
    <mergeCell ref="AC21:AH22"/>
    <mergeCell ref="I22:J22"/>
    <mergeCell ref="K22:P22"/>
    <mergeCell ref="T31:Y31"/>
    <mergeCell ref="I25:P25"/>
    <mergeCell ref="I26:J27"/>
    <mergeCell ref="I23:J23"/>
    <mergeCell ref="K23:P23"/>
    <mergeCell ref="I34:J34"/>
    <mergeCell ref="K34:P34"/>
    <mergeCell ref="P12:U12"/>
    <mergeCell ref="I12:M12"/>
    <mergeCell ref="K26:P26"/>
    <mergeCell ref="K27:P27"/>
    <mergeCell ref="I32:J32"/>
    <mergeCell ref="K32:P32"/>
    <mergeCell ref="R32:S32"/>
    <mergeCell ref="T32:Y32"/>
    <mergeCell ref="I33:J33"/>
    <mergeCell ref="K33:P33"/>
    <mergeCell ref="I30:Y30"/>
    <mergeCell ref="I31:J31"/>
    <mergeCell ref="K31:P31"/>
    <mergeCell ref="R31:S31"/>
  </mergeCells>
  <phoneticPr fontId="24" type="noConversion"/>
  <pageMargins left="0.25" right="0.25" top="0.75" bottom="0.75" header="0.3" footer="0.3"/>
  <pageSetup paperSize="9" scale="52" orientation="landscape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43"/>
  <sheetViews>
    <sheetView zoomScale="92" zoomScaleNormal="92" workbookViewId="0">
      <pane xSplit="39" ySplit="21" topLeftCell="AN22" activePane="bottomRight" state="frozen"/>
      <selection pane="topRight" activeCell="AN1" sqref="AN1"/>
      <selection pane="bottomLeft" activeCell="A22" sqref="A22"/>
      <selection pane="bottomRight" activeCell="E35" sqref="E35"/>
    </sheetView>
  </sheetViews>
  <sheetFormatPr defaultRowHeight="16.5"/>
  <cols>
    <col min="1" max="1" width="3.75" style="12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277">
        <v>3</v>
      </c>
      <c r="I1" s="277"/>
      <c r="J1" s="277"/>
      <c r="K1" s="277"/>
      <c r="L1" s="277"/>
      <c r="M1" s="277"/>
      <c r="N1" s="277"/>
      <c r="O1" s="277"/>
      <c r="P1" s="277">
        <v>2</v>
      </c>
      <c r="Q1" s="277"/>
      <c r="R1" s="277"/>
      <c r="S1" s="277"/>
      <c r="T1" s="277"/>
      <c r="U1" s="277"/>
      <c r="V1" s="277"/>
      <c r="W1" s="277"/>
      <c r="X1" s="277">
        <v>1</v>
      </c>
      <c r="Y1" s="277"/>
      <c r="Z1" s="277"/>
      <c r="AA1" s="277"/>
      <c r="AB1" s="277"/>
      <c r="AC1" s="277"/>
      <c r="AD1" s="277"/>
      <c r="AE1" s="277"/>
      <c r="AF1" s="277">
        <v>0</v>
      </c>
      <c r="AG1" s="277"/>
      <c r="AH1" s="277"/>
      <c r="AI1" s="277"/>
      <c r="AJ1" s="277"/>
      <c r="AK1" s="277"/>
      <c r="AL1" s="277"/>
      <c r="AM1" s="277"/>
    </row>
    <row r="2" spans="1:39" ht="17.25" thickBot="1">
      <c r="B2" s="8" t="s">
        <v>3</v>
      </c>
      <c r="C2" s="8" t="s">
        <v>2</v>
      </c>
      <c r="D2" s="9" t="s">
        <v>16</v>
      </c>
      <c r="E2" s="9" t="s">
        <v>0</v>
      </c>
      <c r="F2" s="7" t="s">
        <v>17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8" t="s">
        <v>123</v>
      </c>
      <c r="C3" s="172" t="s">
        <v>125</v>
      </c>
      <c r="D3" s="45" t="str">
        <f>DEC2HEX(A3*4, 3)</f>
        <v>000</v>
      </c>
      <c r="E3" s="175" t="s">
        <v>0</v>
      </c>
      <c r="F3" s="45" t="s">
        <v>6</v>
      </c>
      <c r="G3" s="10"/>
      <c r="H3" s="218" t="s">
        <v>124</v>
      </c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20"/>
    </row>
    <row r="4" spans="1:39">
      <c r="A4" s="12">
        <v>1</v>
      </c>
      <c r="B4" s="159"/>
      <c r="C4" s="173"/>
      <c r="D4" s="2" t="str">
        <f>DEC2HEX(A4*4, 3)</f>
        <v>004</v>
      </c>
      <c r="E4" s="176"/>
      <c r="F4" s="2" t="s">
        <v>6</v>
      </c>
      <c r="G4" s="1"/>
      <c r="H4" s="221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3"/>
    </row>
    <row r="5" spans="1:39">
      <c r="A5" s="12">
        <v>2</v>
      </c>
      <c r="B5" s="159"/>
      <c r="C5" s="173"/>
      <c r="D5" s="2" t="str">
        <f t="shared" ref="D5:D21" si="1">DEC2HEX(A5*4, 3)</f>
        <v>008</v>
      </c>
      <c r="E5" s="176"/>
      <c r="F5" s="2" t="s">
        <v>6</v>
      </c>
      <c r="G5" s="1"/>
      <c r="H5" s="221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3"/>
    </row>
    <row r="6" spans="1:39">
      <c r="A6" s="12">
        <v>3</v>
      </c>
      <c r="B6" s="159"/>
      <c r="C6" s="173"/>
      <c r="D6" s="2" t="str">
        <f t="shared" si="1"/>
        <v>00C</v>
      </c>
      <c r="E6" s="176"/>
      <c r="F6" s="2" t="s">
        <v>6</v>
      </c>
      <c r="G6" s="1"/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3"/>
    </row>
    <row r="7" spans="1:39">
      <c r="A7" s="12">
        <v>4</v>
      </c>
      <c r="B7" s="159"/>
      <c r="C7" s="173"/>
      <c r="D7" s="2" t="str">
        <f t="shared" si="1"/>
        <v>010</v>
      </c>
      <c r="E7" s="14" t="s">
        <v>106</v>
      </c>
      <c r="F7" s="2" t="s">
        <v>6</v>
      </c>
      <c r="G7" s="1"/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39">
      <c r="A8" s="12">
        <v>5</v>
      </c>
      <c r="B8" s="159"/>
      <c r="C8" s="173"/>
      <c r="D8" s="2" t="str">
        <f t="shared" si="1"/>
        <v>014</v>
      </c>
      <c r="E8" s="14" t="s">
        <v>107</v>
      </c>
      <c r="F8" s="2" t="s">
        <v>6</v>
      </c>
      <c r="G8" s="1"/>
      <c r="H8" s="177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2"/>
    </row>
    <row r="9" spans="1:39">
      <c r="A9" s="12">
        <v>6</v>
      </c>
      <c r="B9" s="159"/>
      <c r="C9" s="173"/>
      <c r="D9" s="2" t="str">
        <f t="shared" si="1"/>
        <v>018</v>
      </c>
      <c r="E9" s="51" t="s">
        <v>105</v>
      </c>
      <c r="F9" s="2" t="s">
        <v>4</v>
      </c>
      <c r="G9" s="1"/>
      <c r="H9" s="177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224"/>
    </row>
    <row r="10" spans="1:39">
      <c r="A10" s="12">
        <v>7</v>
      </c>
      <c r="B10" s="159"/>
      <c r="C10" s="173"/>
      <c r="D10" s="2" t="str">
        <f t="shared" si="1"/>
        <v>01C</v>
      </c>
      <c r="E10" s="51" t="s">
        <v>105</v>
      </c>
      <c r="F10" s="53" t="s">
        <v>4</v>
      </c>
      <c r="G10" s="1"/>
      <c r="H10" s="177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224"/>
    </row>
    <row r="11" spans="1:39">
      <c r="A11" s="12">
        <v>8</v>
      </c>
      <c r="B11" s="159"/>
      <c r="C11" s="173"/>
      <c r="D11" s="2" t="str">
        <f t="shared" si="1"/>
        <v>020</v>
      </c>
      <c r="E11" s="51" t="s">
        <v>89</v>
      </c>
      <c r="F11" s="53" t="s">
        <v>4</v>
      </c>
      <c r="G11" s="1"/>
      <c r="H11" s="196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225"/>
      <c r="AE11" s="66" t="s">
        <v>78</v>
      </c>
      <c r="AF11" s="374" t="s">
        <v>116</v>
      </c>
      <c r="AG11" s="376"/>
      <c r="AH11" s="66" t="s">
        <v>33</v>
      </c>
      <c r="AI11" s="55" t="s">
        <v>18</v>
      </c>
      <c r="AJ11" s="199" t="s">
        <v>359</v>
      </c>
      <c r="AK11" s="191"/>
      <c r="AL11" s="191"/>
      <c r="AM11" s="192"/>
    </row>
    <row r="12" spans="1:39">
      <c r="A12" s="12">
        <v>9</v>
      </c>
      <c r="B12" s="159"/>
      <c r="C12" s="173"/>
      <c r="D12" s="2" t="str">
        <f t="shared" si="1"/>
        <v>024</v>
      </c>
      <c r="E12" s="51" t="s">
        <v>126</v>
      </c>
      <c r="F12" s="53" t="s">
        <v>4</v>
      </c>
      <c r="G12" s="1"/>
      <c r="H12" s="282" t="s">
        <v>248</v>
      </c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2"/>
    </row>
    <row r="13" spans="1:39">
      <c r="A13" s="12">
        <v>10</v>
      </c>
      <c r="B13" s="159"/>
      <c r="C13" s="173"/>
      <c r="D13" s="2" t="str">
        <f t="shared" si="1"/>
        <v>028</v>
      </c>
      <c r="E13" s="51" t="s">
        <v>127</v>
      </c>
      <c r="F13" s="53" t="s">
        <v>4</v>
      </c>
      <c r="G13" s="1"/>
      <c r="H13" s="196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225"/>
      <c r="AL13" s="120" t="s">
        <v>254</v>
      </c>
      <c r="AM13" s="67" t="s">
        <v>255</v>
      </c>
    </row>
    <row r="14" spans="1:39">
      <c r="A14" s="12">
        <v>11</v>
      </c>
      <c r="B14" s="159"/>
      <c r="C14" s="173"/>
      <c r="D14" s="2" t="str">
        <f t="shared" si="1"/>
        <v>02C</v>
      </c>
      <c r="E14" s="51" t="s">
        <v>128</v>
      </c>
      <c r="F14" s="53" t="s">
        <v>4</v>
      </c>
      <c r="G14" s="1"/>
      <c r="H14" s="196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225"/>
      <c r="AG14" s="374" t="s">
        <v>130</v>
      </c>
      <c r="AH14" s="375"/>
      <c r="AI14" s="376"/>
      <c r="AJ14" s="64"/>
      <c r="AK14" s="315" t="s">
        <v>129</v>
      </c>
      <c r="AL14" s="191"/>
      <c r="AM14" s="192"/>
    </row>
    <row r="15" spans="1:39">
      <c r="A15" s="12">
        <v>12</v>
      </c>
      <c r="B15" s="159"/>
      <c r="C15" s="173"/>
      <c r="D15" s="2" t="str">
        <f t="shared" si="1"/>
        <v>030</v>
      </c>
      <c r="E15" s="51" t="s">
        <v>90</v>
      </c>
      <c r="F15" s="2" t="s">
        <v>6</v>
      </c>
      <c r="G15" s="1"/>
      <c r="H15" s="196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225"/>
      <c r="AE15" s="66" t="s">
        <v>43</v>
      </c>
      <c r="AF15" s="315" t="s">
        <v>116</v>
      </c>
      <c r="AG15" s="316"/>
      <c r="AH15" s="66" t="s">
        <v>33</v>
      </c>
      <c r="AI15" s="55" t="s">
        <v>18</v>
      </c>
      <c r="AJ15" s="199" t="s">
        <v>359</v>
      </c>
      <c r="AK15" s="191"/>
      <c r="AL15" s="191"/>
      <c r="AM15" s="192"/>
    </row>
    <row r="16" spans="1:39">
      <c r="A16" s="20"/>
      <c r="B16" s="159"/>
      <c r="C16" s="173"/>
      <c r="D16" s="21"/>
      <c r="E16" s="22"/>
      <c r="F16" s="23"/>
      <c r="G16" s="24"/>
      <c r="H16" s="22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3"/>
    </row>
    <row r="17" spans="1:39">
      <c r="A17" s="20"/>
      <c r="B17" s="159"/>
      <c r="C17" s="173"/>
      <c r="D17" s="21"/>
      <c r="E17" s="22"/>
      <c r="F17" s="23"/>
      <c r="G17" s="24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3"/>
    </row>
    <row r="18" spans="1:39">
      <c r="A18" s="12">
        <v>16</v>
      </c>
      <c r="B18" s="159"/>
      <c r="C18" s="173"/>
      <c r="D18" s="2" t="str">
        <f t="shared" si="1"/>
        <v>040</v>
      </c>
      <c r="E18" s="173" t="s">
        <v>303</v>
      </c>
      <c r="F18" s="2" t="s">
        <v>7</v>
      </c>
      <c r="G18" s="1"/>
      <c r="H18" s="173" t="s">
        <v>304</v>
      </c>
      <c r="I18" s="327"/>
      <c r="J18" s="327"/>
      <c r="K18" s="327"/>
      <c r="L18" s="327"/>
      <c r="M18" s="327"/>
      <c r="N18" s="327"/>
      <c r="O18" s="327"/>
      <c r="P18" s="327"/>
      <c r="Q18" s="327"/>
      <c r="R18" s="327"/>
      <c r="S18" s="327"/>
      <c r="T18" s="327"/>
      <c r="U18" s="327"/>
      <c r="V18" s="327"/>
      <c r="W18" s="327"/>
      <c r="X18" s="327" t="s">
        <v>308</v>
      </c>
      <c r="Y18" s="327"/>
      <c r="Z18" s="327"/>
      <c r="AA18" s="327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7"/>
      <c r="AM18" s="373"/>
    </row>
    <row r="19" spans="1:39">
      <c r="A19" s="12">
        <v>17</v>
      </c>
      <c r="B19" s="159"/>
      <c r="C19" s="173"/>
      <c r="D19" s="2" t="str">
        <f t="shared" si="1"/>
        <v>044</v>
      </c>
      <c r="E19" s="173"/>
      <c r="F19" s="2" t="s">
        <v>19</v>
      </c>
      <c r="G19" s="1"/>
      <c r="H19" s="173" t="s">
        <v>305</v>
      </c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 t="s">
        <v>309</v>
      </c>
      <c r="Y19" s="327"/>
      <c r="Z19" s="327"/>
      <c r="AA19" s="327"/>
      <c r="AB19" s="327"/>
      <c r="AC19" s="327"/>
      <c r="AD19" s="327"/>
      <c r="AE19" s="327"/>
      <c r="AF19" s="327"/>
      <c r="AG19" s="327"/>
      <c r="AH19" s="327"/>
      <c r="AI19" s="327"/>
      <c r="AJ19" s="327"/>
      <c r="AK19" s="327"/>
      <c r="AL19" s="327"/>
      <c r="AM19" s="373"/>
    </row>
    <row r="20" spans="1:39">
      <c r="A20" s="12">
        <v>18</v>
      </c>
      <c r="B20" s="159"/>
      <c r="C20" s="173"/>
      <c r="D20" s="2" t="str">
        <f t="shared" si="1"/>
        <v>048</v>
      </c>
      <c r="E20" s="173"/>
      <c r="F20" s="2" t="s">
        <v>20</v>
      </c>
      <c r="G20" s="1"/>
      <c r="H20" s="173" t="s">
        <v>306</v>
      </c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 t="s">
        <v>310</v>
      </c>
      <c r="Y20" s="327"/>
      <c r="Z20" s="327"/>
      <c r="AA20" s="327"/>
      <c r="AB20" s="327"/>
      <c r="AC20" s="327"/>
      <c r="AD20" s="327"/>
      <c r="AE20" s="327"/>
      <c r="AF20" s="327"/>
      <c r="AG20" s="327"/>
      <c r="AH20" s="327"/>
      <c r="AI20" s="327"/>
      <c r="AJ20" s="327"/>
      <c r="AK20" s="327"/>
      <c r="AL20" s="327"/>
      <c r="AM20" s="373"/>
    </row>
    <row r="21" spans="1:39" ht="17.25" thickBot="1">
      <c r="A21" s="12">
        <v>19</v>
      </c>
      <c r="B21" s="160"/>
      <c r="C21" s="174"/>
      <c r="D21" s="3" t="str">
        <f t="shared" si="1"/>
        <v>04C</v>
      </c>
      <c r="E21" s="174"/>
      <c r="F21" s="3" t="s">
        <v>20</v>
      </c>
      <c r="G21" s="11"/>
      <c r="H21" s="174" t="s">
        <v>307</v>
      </c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 t="s">
        <v>311</v>
      </c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77"/>
    </row>
    <row r="22" spans="1:39" ht="17.25" thickBot="1">
      <c r="B22" s="84"/>
      <c r="C22" s="12"/>
      <c r="D22" s="12"/>
      <c r="E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9" ht="17.25" thickBot="1">
      <c r="B23" s="84"/>
      <c r="C23" s="12"/>
      <c r="D23" s="12"/>
      <c r="E23" s="12"/>
      <c r="H23" s="12"/>
      <c r="I23" s="265" t="s">
        <v>312</v>
      </c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7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9" ht="17.25" customHeight="1">
      <c r="I24" s="352" t="s">
        <v>121</v>
      </c>
      <c r="J24" s="353"/>
      <c r="K24" s="354" t="s">
        <v>279</v>
      </c>
      <c r="L24" s="355"/>
      <c r="M24" s="355"/>
      <c r="N24" s="355"/>
      <c r="O24" s="355"/>
      <c r="P24" s="356"/>
      <c r="R24" s="268" t="s">
        <v>360</v>
      </c>
      <c r="S24" s="269"/>
      <c r="T24" s="244" t="s">
        <v>369</v>
      </c>
      <c r="U24" s="245"/>
      <c r="V24" s="245"/>
      <c r="W24" s="245"/>
      <c r="X24" s="245"/>
      <c r="Y24" s="245"/>
      <c r="Z24" s="246"/>
    </row>
    <row r="25" spans="1:39" ht="17.25" thickBot="1">
      <c r="C25" s="89"/>
      <c r="I25" s="343" t="s">
        <v>241</v>
      </c>
      <c r="J25" s="370"/>
      <c r="K25" s="347" t="s">
        <v>240</v>
      </c>
      <c r="L25" s="371"/>
      <c r="M25" s="371"/>
      <c r="N25" s="371"/>
      <c r="O25" s="371"/>
      <c r="P25" s="372"/>
      <c r="R25" s="270"/>
      <c r="S25" s="271"/>
      <c r="T25" s="314"/>
      <c r="U25" s="238"/>
      <c r="V25" s="238"/>
      <c r="W25" s="238"/>
      <c r="X25" s="238"/>
      <c r="Y25" s="238"/>
      <c r="Z25" s="239"/>
    </row>
    <row r="26" spans="1:39">
      <c r="C26" s="89"/>
      <c r="I26" s="305" t="s">
        <v>242</v>
      </c>
      <c r="J26" s="249"/>
      <c r="K26" s="264" t="s">
        <v>286</v>
      </c>
      <c r="L26" s="250"/>
      <c r="M26" s="250"/>
      <c r="N26" s="250"/>
      <c r="O26" s="250"/>
      <c r="P26" s="251"/>
    </row>
    <row r="27" spans="1:39" ht="17.25" thickBot="1">
      <c r="I27" s="270" t="s">
        <v>178</v>
      </c>
      <c r="J27" s="243"/>
      <c r="K27" s="314" t="s">
        <v>287</v>
      </c>
      <c r="L27" s="238"/>
      <c r="M27" s="238"/>
      <c r="N27" s="238"/>
      <c r="O27" s="238"/>
      <c r="P27" s="239"/>
    </row>
    <row r="28" spans="1:39" ht="17.25" thickBot="1">
      <c r="C28" s="89"/>
    </row>
    <row r="29" spans="1:39" ht="17.25" thickBot="1">
      <c r="C29" s="89"/>
      <c r="I29" s="265" t="s">
        <v>245</v>
      </c>
      <c r="J29" s="266"/>
      <c r="K29" s="266"/>
      <c r="L29" s="266"/>
      <c r="M29" s="266"/>
      <c r="N29" s="266"/>
      <c r="O29" s="266"/>
      <c r="P29" s="266"/>
      <c r="Q29" s="266"/>
      <c r="R29" s="267"/>
    </row>
    <row r="30" spans="1:39" ht="17.25" thickBot="1">
      <c r="I30" s="301" t="s">
        <v>126</v>
      </c>
      <c r="J30" s="317"/>
      <c r="K30" s="349" t="s">
        <v>246</v>
      </c>
      <c r="L30" s="350"/>
      <c r="M30" s="350"/>
      <c r="N30" s="350"/>
      <c r="O30" s="350"/>
      <c r="P30" s="350"/>
      <c r="Q30" s="350"/>
      <c r="R30" s="351"/>
    </row>
    <row r="31" spans="1:39" ht="17.25" thickBot="1"/>
    <row r="32" spans="1:39" ht="17.25" thickBot="1">
      <c r="I32" s="292" t="s">
        <v>247</v>
      </c>
      <c r="J32" s="293"/>
      <c r="K32" s="293"/>
      <c r="L32" s="293"/>
      <c r="M32" s="293"/>
      <c r="N32" s="293"/>
      <c r="O32" s="293"/>
      <c r="P32" s="293"/>
      <c r="Q32" s="293"/>
      <c r="R32" s="294"/>
    </row>
    <row r="33" spans="1:25">
      <c r="A33" s="63"/>
      <c r="I33" s="341" t="s">
        <v>256</v>
      </c>
      <c r="J33" s="342"/>
      <c r="K33" s="345" t="s">
        <v>249</v>
      </c>
      <c r="L33" s="345"/>
      <c r="M33" s="345"/>
      <c r="N33" s="345"/>
      <c r="O33" s="345"/>
      <c r="P33" s="345"/>
      <c r="Q33" s="345"/>
      <c r="R33" s="346"/>
    </row>
    <row r="34" spans="1:25">
      <c r="A34" s="63"/>
      <c r="I34" s="343"/>
      <c r="J34" s="344"/>
      <c r="K34" s="347" t="s">
        <v>250</v>
      </c>
      <c r="L34" s="347"/>
      <c r="M34" s="347"/>
      <c r="N34" s="347"/>
      <c r="O34" s="347"/>
      <c r="P34" s="347"/>
      <c r="Q34" s="347"/>
      <c r="R34" s="348"/>
    </row>
    <row r="35" spans="1:25">
      <c r="I35" s="305" t="s">
        <v>257</v>
      </c>
      <c r="J35" s="357"/>
      <c r="K35" s="358" t="s">
        <v>251</v>
      </c>
      <c r="L35" s="358"/>
      <c r="M35" s="358"/>
      <c r="N35" s="358"/>
      <c r="O35" s="358"/>
      <c r="P35" s="358"/>
      <c r="Q35" s="358"/>
      <c r="R35" s="359"/>
    </row>
    <row r="36" spans="1:25" ht="17.25" thickBot="1">
      <c r="A36" s="63"/>
      <c r="I36" s="270"/>
      <c r="J36" s="271"/>
      <c r="K36" s="314" t="s">
        <v>252</v>
      </c>
      <c r="L36" s="314"/>
      <c r="M36" s="314"/>
      <c r="N36" s="314"/>
      <c r="O36" s="314"/>
      <c r="P36" s="314"/>
      <c r="Q36" s="314"/>
      <c r="R36" s="360"/>
    </row>
    <row r="37" spans="1:25" ht="17.25" thickBot="1"/>
    <row r="38" spans="1:25" ht="17.25" thickBot="1">
      <c r="A38" s="63"/>
      <c r="I38" s="265" t="s">
        <v>253</v>
      </c>
      <c r="J38" s="266"/>
      <c r="K38" s="266"/>
      <c r="L38" s="266"/>
      <c r="M38" s="266"/>
      <c r="N38" s="266"/>
      <c r="O38" s="266"/>
      <c r="P38" s="266"/>
      <c r="Q38" s="266"/>
      <c r="R38" s="267"/>
    </row>
    <row r="39" spans="1:25" ht="17.25" thickBot="1">
      <c r="I39" s="361" t="s">
        <v>130</v>
      </c>
      <c r="J39" s="362"/>
      <c r="K39" s="363" t="s">
        <v>258</v>
      </c>
      <c r="L39" s="364"/>
      <c r="M39" s="364"/>
      <c r="N39" s="364"/>
      <c r="O39" s="364"/>
      <c r="P39" s="364"/>
      <c r="Q39" s="364"/>
      <c r="R39" s="365"/>
    </row>
    <row r="40" spans="1:25" ht="17.25" thickBot="1">
      <c r="I40" s="301" t="s">
        <v>129</v>
      </c>
      <c r="J40" s="317"/>
      <c r="K40" s="349" t="s">
        <v>259</v>
      </c>
      <c r="L40" s="350"/>
      <c r="M40" s="350"/>
      <c r="N40" s="350"/>
      <c r="O40" s="350"/>
      <c r="P40" s="350"/>
      <c r="Q40" s="350"/>
      <c r="R40" s="351"/>
    </row>
    <row r="41" spans="1:25" ht="17.25" thickBot="1"/>
    <row r="42" spans="1:25" ht="17.25" thickBot="1">
      <c r="I42" s="265" t="s">
        <v>243</v>
      </c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7"/>
    </row>
    <row r="43" spans="1:25" ht="17.25" thickBot="1">
      <c r="I43" s="366" t="s">
        <v>179</v>
      </c>
      <c r="J43" s="317"/>
      <c r="K43" s="367" t="s">
        <v>277</v>
      </c>
      <c r="L43" s="318"/>
      <c r="M43" s="318"/>
      <c r="N43" s="318"/>
      <c r="O43" s="318"/>
      <c r="P43" s="319"/>
      <c r="R43" s="368" t="s">
        <v>180</v>
      </c>
      <c r="S43" s="369"/>
      <c r="T43" s="367" t="s">
        <v>244</v>
      </c>
      <c r="U43" s="318"/>
      <c r="V43" s="318"/>
      <c r="W43" s="318"/>
      <c r="X43" s="318"/>
      <c r="Y43" s="319"/>
    </row>
  </sheetData>
  <mergeCells count="69">
    <mergeCell ref="B3:B21"/>
    <mergeCell ref="C3:C21"/>
    <mergeCell ref="H21:W21"/>
    <mergeCell ref="X21:AM21"/>
    <mergeCell ref="E18:E21"/>
    <mergeCell ref="E3:E6"/>
    <mergeCell ref="H3:AM6"/>
    <mergeCell ref="H8:O8"/>
    <mergeCell ref="P8:W8"/>
    <mergeCell ref="X8:AE8"/>
    <mergeCell ref="AF8:AM8"/>
    <mergeCell ref="H9:AM9"/>
    <mergeCell ref="H10:AM10"/>
    <mergeCell ref="H11:AD11"/>
    <mergeCell ref="AF11:AG11"/>
    <mergeCell ref="H15:AD15"/>
    <mergeCell ref="AF1:AM1"/>
    <mergeCell ref="X1:AE1"/>
    <mergeCell ref="P1:W1"/>
    <mergeCell ref="H1:O1"/>
    <mergeCell ref="H7:W7"/>
    <mergeCell ref="X7:AE7"/>
    <mergeCell ref="AF7:AM7"/>
    <mergeCell ref="H12:AM12"/>
    <mergeCell ref="H13:AK13"/>
    <mergeCell ref="AG14:AI14"/>
    <mergeCell ref="H14:AF14"/>
    <mergeCell ref="AK14:AM14"/>
    <mergeCell ref="AF15:AG15"/>
    <mergeCell ref="I25:J25"/>
    <mergeCell ref="K25:P25"/>
    <mergeCell ref="I30:J30"/>
    <mergeCell ref="I29:R29"/>
    <mergeCell ref="X18:AM18"/>
    <mergeCell ref="H18:W18"/>
    <mergeCell ref="H19:W19"/>
    <mergeCell ref="X19:AM19"/>
    <mergeCell ref="H20:W20"/>
    <mergeCell ref="X20:AM20"/>
    <mergeCell ref="I23:Z23"/>
    <mergeCell ref="I42:Y42"/>
    <mergeCell ref="I43:J43"/>
    <mergeCell ref="K43:P43"/>
    <mergeCell ref="R43:S43"/>
    <mergeCell ref="T43:Y43"/>
    <mergeCell ref="I40:J40"/>
    <mergeCell ref="K40:R40"/>
    <mergeCell ref="I35:J36"/>
    <mergeCell ref="K35:R35"/>
    <mergeCell ref="K36:R36"/>
    <mergeCell ref="I38:R38"/>
    <mergeCell ref="I39:J39"/>
    <mergeCell ref="K39:R39"/>
    <mergeCell ref="AJ11:AM11"/>
    <mergeCell ref="AJ15:AM15"/>
    <mergeCell ref="I32:R32"/>
    <mergeCell ref="I33:J34"/>
    <mergeCell ref="K33:R33"/>
    <mergeCell ref="K34:R34"/>
    <mergeCell ref="R24:S25"/>
    <mergeCell ref="T24:Z24"/>
    <mergeCell ref="T25:Z25"/>
    <mergeCell ref="K30:R30"/>
    <mergeCell ref="I26:J26"/>
    <mergeCell ref="K26:P26"/>
    <mergeCell ref="I27:J27"/>
    <mergeCell ref="K27:P27"/>
    <mergeCell ref="I24:J24"/>
    <mergeCell ref="K24:P24"/>
  </mergeCells>
  <phoneticPr fontId="6" type="noConversion"/>
  <pageMargins left="0.25" right="0.25" top="0.75" bottom="0.75" header="0.3" footer="0.3"/>
  <pageSetup paperSize="9" scale="52" orientation="landscape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AM28"/>
  <sheetViews>
    <sheetView tabSelected="1" zoomScale="92" zoomScaleNormal="92" workbookViewId="0">
      <pane xSplit="39" ySplit="15" topLeftCell="AN16" activePane="bottomRight" state="frozen"/>
      <selection activeCell="AE42" sqref="AE42"/>
      <selection pane="topRight" activeCell="AE42" sqref="AE42"/>
      <selection pane="bottomLeft" activeCell="AE42" sqref="AE42"/>
      <selection pane="bottomRight" activeCell="I22" sqref="I22:J22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14" width="5.375" customWidth="1"/>
    <col min="15" max="15" width="6.625" customWidth="1"/>
    <col min="16" max="39" width="5.375" customWidth="1"/>
  </cols>
  <sheetData>
    <row r="1" spans="1:39" ht="17.25" thickBot="1">
      <c r="B1" s="12"/>
      <c r="F1" s="12"/>
      <c r="H1" s="277">
        <v>3</v>
      </c>
      <c r="I1" s="277"/>
      <c r="J1" s="277"/>
      <c r="K1" s="277"/>
      <c r="L1" s="277"/>
      <c r="M1" s="277"/>
      <c r="N1" s="277"/>
      <c r="O1" s="277"/>
      <c r="P1" s="277">
        <v>2</v>
      </c>
      <c r="Q1" s="277"/>
      <c r="R1" s="277"/>
      <c r="S1" s="277"/>
      <c r="T1" s="277"/>
      <c r="U1" s="277"/>
      <c r="V1" s="277"/>
      <c r="W1" s="277"/>
      <c r="X1" s="277">
        <v>1</v>
      </c>
      <c r="Y1" s="277"/>
      <c r="Z1" s="277"/>
      <c r="AA1" s="277"/>
      <c r="AB1" s="277"/>
      <c r="AC1" s="277"/>
      <c r="AD1" s="277"/>
      <c r="AE1" s="277"/>
      <c r="AF1" s="277">
        <v>0</v>
      </c>
      <c r="AG1" s="277"/>
      <c r="AH1" s="277"/>
      <c r="AI1" s="277"/>
      <c r="AJ1" s="277"/>
      <c r="AK1" s="277"/>
      <c r="AL1" s="277"/>
      <c r="AM1" s="277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8" t="s">
        <v>371</v>
      </c>
      <c r="C3" s="172" t="s">
        <v>418</v>
      </c>
      <c r="D3" s="45" t="str">
        <f>DEC2HEX(A3*4, 3)</f>
        <v>000</v>
      </c>
      <c r="E3" s="175" t="s">
        <v>0</v>
      </c>
      <c r="F3" s="45" t="s">
        <v>6</v>
      </c>
      <c r="G3" s="69"/>
      <c r="H3" s="218" t="s">
        <v>370</v>
      </c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20"/>
    </row>
    <row r="4" spans="1:39">
      <c r="A4" s="12">
        <v>1</v>
      </c>
      <c r="B4" s="159"/>
      <c r="C4" s="173"/>
      <c r="D4" s="2" t="str">
        <f>DEC2HEX(A4*4, 3)</f>
        <v>004</v>
      </c>
      <c r="E4" s="176"/>
      <c r="F4" s="2" t="s">
        <v>6</v>
      </c>
      <c r="G4" s="13"/>
      <c r="H4" s="221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3"/>
    </row>
    <row r="5" spans="1:39" ht="16.5" customHeight="1">
      <c r="A5" s="12">
        <v>2</v>
      </c>
      <c r="B5" s="159"/>
      <c r="C5" s="173"/>
      <c r="D5" s="2" t="str">
        <f t="shared" ref="D5:D14" si="1">DEC2HEX(A5*4, 3)</f>
        <v>008</v>
      </c>
      <c r="E5" s="176"/>
      <c r="F5" s="2" t="s">
        <v>6</v>
      </c>
      <c r="G5" s="13"/>
      <c r="H5" s="221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3"/>
    </row>
    <row r="6" spans="1:39">
      <c r="A6" s="12">
        <v>3</v>
      </c>
      <c r="B6" s="159"/>
      <c r="C6" s="173"/>
      <c r="D6" s="2" t="str">
        <f t="shared" si="1"/>
        <v>00C</v>
      </c>
      <c r="E6" s="176"/>
      <c r="F6" s="2" t="s">
        <v>6</v>
      </c>
      <c r="G6" s="13"/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3"/>
    </row>
    <row r="7" spans="1:39">
      <c r="A7" s="12">
        <v>4</v>
      </c>
      <c r="B7" s="159"/>
      <c r="C7" s="173"/>
      <c r="D7" s="2" t="str">
        <f t="shared" si="1"/>
        <v>010</v>
      </c>
      <c r="E7" s="14" t="s">
        <v>106</v>
      </c>
      <c r="F7" s="2" t="s">
        <v>6</v>
      </c>
      <c r="G7" s="13"/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39">
      <c r="A8" s="12">
        <v>5</v>
      </c>
      <c r="B8" s="159"/>
      <c r="C8" s="173"/>
      <c r="D8" s="2" t="str">
        <f t="shared" si="1"/>
        <v>014</v>
      </c>
      <c r="E8" s="14" t="s">
        <v>107</v>
      </c>
      <c r="F8" s="2" t="s">
        <v>6</v>
      </c>
      <c r="G8" s="13"/>
      <c r="H8" s="177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2"/>
    </row>
    <row r="9" spans="1:39">
      <c r="A9" s="12">
        <v>6</v>
      </c>
      <c r="B9" s="159"/>
      <c r="C9" s="173"/>
      <c r="D9" s="2" t="str">
        <f t="shared" si="1"/>
        <v>018</v>
      </c>
      <c r="E9" s="51" t="s">
        <v>105</v>
      </c>
      <c r="F9" s="2" t="s">
        <v>4</v>
      </c>
      <c r="G9" s="13"/>
      <c r="H9" s="177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224"/>
    </row>
    <row r="10" spans="1:39">
      <c r="A10" s="12">
        <v>7</v>
      </c>
      <c r="B10" s="159"/>
      <c r="C10" s="173"/>
      <c r="D10" s="2" t="str">
        <f t="shared" si="1"/>
        <v>01C</v>
      </c>
      <c r="E10" s="51" t="s">
        <v>105</v>
      </c>
      <c r="F10" s="53" t="s">
        <v>4</v>
      </c>
      <c r="G10" s="13"/>
      <c r="H10" s="177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224"/>
    </row>
    <row r="11" spans="1:39">
      <c r="A11" s="12">
        <v>8</v>
      </c>
      <c r="B11" s="159"/>
      <c r="C11" s="173"/>
      <c r="D11" s="2" t="str">
        <f t="shared" si="1"/>
        <v>020</v>
      </c>
      <c r="E11" s="14" t="s">
        <v>89</v>
      </c>
      <c r="F11" s="2" t="s">
        <v>4</v>
      </c>
      <c r="G11" s="13"/>
      <c r="H11" s="196"/>
      <c r="I11" s="197"/>
      <c r="J11" s="197"/>
      <c r="K11" s="225"/>
      <c r="L11" s="55" t="s">
        <v>395</v>
      </c>
      <c r="M11" s="55" t="s">
        <v>396</v>
      </c>
      <c r="N11" s="122" t="s">
        <v>397</v>
      </c>
      <c r="O11" s="123" t="s">
        <v>398</v>
      </c>
      <c r="P11" s="307"/>
      <c r="Q11" s="225"/>
      <c r="R11" s="55" t="s">
        <v>399</v>
      </c>
      <c r="S11" s="55" t="s">
        <v>21</v>
      </c>
      <c r="T11" s="161" t="s">
        <v>409</v>
      </c>
      <c r="U11" s="161"/>
      <c r="V11" s="161"/>
      <c r="W11" s="161"/>
      <c r="X11" s="161"/>
      <c r="Y11" s="161"/>
      <c r="Z11" s="161" t="s">
        <v>400</v>
      </c>
      <c r="AA11" s="161"/>
      <c r="AB11" s="161" t="s">
        <v>401</v>
      </c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2"/>
    </row>
    <row r="12" spans="1:39">
      <c r="A12" s="12">
        <v>9</v>
      </c>
      <c r="B12" s="159"/>
      <c r="C12" s="173"/>
      <c r="D12" s="2" t="str">
        <f t="shared" si="1"/>
        <v>024</v>
      </c>
      <c r="E12" s="14"/>
      <c r="F12" s="2"/>
      <c r="G12" s="13"/>
      <c r="H12" s="177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224"/>
    </row>
    <row r="13" spans="1:39">
      <c r="A13" s="12">
        <v>10</v>
      </c>
      <c r="B13" s="159"/>
      <c r="C13" s="173"/>
      <c r="D13" s="2" t="str">
        <f t="shared" si="1"/>
        <v>028</v>
      </c>
      <c r="E13" s="14"/>
      <c r="F13" s="2"/>
      <c r="G13" s="13"/>
      <c r="H13" s="177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224"/>
    </row>
    <row r="14" spans="1:39">
      <c r="A14" s="12">
        <v>11</v>
      </c>
      <c r="B14" s="159"/>
      <c r="C14" s="173"/>
      <c r="D14" s="2" t="str">
        <f t="shared" si="1"/>
        <v>02C</v>
      </c>
      <c r="E14" s="51"/>
      <c r="F14" s="53"/>
      <c r="H14" s="177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224"/>
    </row>
    <row r="15" spans="1:39" ht="17.25" thickBot="1">
      <c r="A15" s="12">
        <v>12</v>
      </c>
      <c r="B15" s="160"/>
      <c r="C15" s="174"/>
      <c r="D15" s="3" t="str">
        <f>DEC2HEX(A15*4, 3)</f>
        <v>030</v>
      </c>
      <c r="E15" s="42" t="s">
        <v>90</v>
      </c>
      <c r="F15" s="3" t="s">
        <v>6</v>
      </c>
      <c r="G15" s="121"/>
      <c r="H15" s="380"/>
      <c r="I15" s="381"/>
      <c r="J15" s="381"/>
      <c r="K15" s="379"/>
      <c r="L15" s="58" t="s">
        <v>43</v>
      </c>
      <c r="M15" s="58" t="s">
        <v>396</v>
      </c>
      <c r="N15" s="124" t="s">
        <v>397</v>
      </c>
      <c r="O15" s="125" t="s">
        <v>398</v>
      </c>
      <c r="P15" s="378"/>
      <c r="Q15" s="379"/>
      <c r="R15" s="58" t="s">
        <v>399</v>
      </c>
      <c r="S15" s="58" t="s">
        <v>21</v>
      </c>
      <c r="T15" s="330" t="s">
        <v>409</v>
      </c>
      <c r="U15" s="330"/>
      <c r="V15" s="330"/>
      <c r="W15" s="330"/>
      <c r="X15" s="330"/>
      <c r="Y15" s="330"/>
      <c r="Z15" s="330" t="s">
        <v>400</v>
      </c>
      <c r="AA15" s="330"/>
      <c r="AB15" s="330" t="s">
        <v>402</v>
      </c>
      <c r="AC15" s="330"/>
      <c r="AD15" s="330"/>
      <c r="AE15" s="330"/>
      <c r="AF15" s="330"/>
      <c r="AG15" s="330"/>
      <c r="AH15" s="330"/>
      <c r="AI15" s="330"/>
      <c r="AJ15" s="330"/>
      <c r="AK15" s="330"/>
      <c r="AL15" s="330"/>
      <c r="AM15" s="382"/>
    </row>
    <row r="16" spans="1:39" ht="17.25" thickBot="1">
      <c r="A16" s="12"/>
    </row>
    <row r="17" spans="9:16" ht="17.25" thickBot="1">
      <c r="I17" s="234" t="s">
        <v>427</v>
      </c>
      <c r="J17" s="235"/>
      <c r="K17" s="235"/>
      <c r="L17" s="235"/>
      <c r="M17" s="235"/>
      <c r="N17" s="236"/>
    </row>
    <row r="18" spans="9:16">
      <c r="I18" s="240" t="s">
        <v>403</v>
      </c>
      <c r="J18" s="241"/>
      <c r="K18" s="244" t="s">
        <v>279</v>
      </c>
      <c r="L18" s="245"/>
      <c r="M18" s="245"/>
      <c r="N18" s="245"/>
      <c r="O18" s="245"/>
      <c r="P18" s="246"/>
    </row>
    <row r="19" spans="9:16">
      <c r="I19" s="305" t="s">
        <v>404</v>
      </c>
      <c r="J19" s="249"/>
      <c r="K19" s="264" t="s">
        <v>405</v>
      </c>
      <c r="L19" s="250"/>
      <c r="M19" s="250"/>
      <c r="N19" s="250"/>
      <c r="O19" s="250"/>
      <c r="P19" s="251"/>
    </row>
    <row r="20" spans="9:16">
      <c r="I20" s="305" t="s">
        <v>406</v>
      </c>
      <c r="J20" s="249"/>
      <c r="K20" s="264" t="s">
        <v>407</v>
      </c>
      <c r="L20" s="250"/>
      <c r="M20" s="250"/>
      <c r="N20" s="250"/>
      <c r="O20" s="250"/>
      <c r="P20" s="251"/>
    </row>
    <row r="21" spans="9:16">
      <c r="I21" s="305" t="s">
        <v>408</v>
      </c>
      <c r="J21" s="249"/>
      <c r="K21" s="264" t="s">
        <v>262</v>
      </c>
      <c r="L21" s="250"/>
      <c r="M21" s="250"/>
      <c r="N21" s="250"/>
      <c r="O21" s="250"/>
      <c r="P21" s="251"/>
    </row>
    <row r="22" spans="9:16">
      <c r="I22" s="305" t="s">
        <v>410</v>
      </c>
      <c r="J22" s="249"/>
      <c r="K22" s="264" t="s">
        <v>411</v>
      </c>
      <c r="L22" s="250"/>
      <c r="M22" s="250"/>
      <c r="N22" s="250"/>
      <c r="O22" s="250"/>
      <c r="P22" s="251"/>
    </row>
    <row r="23" spans="9:16">
      <c r="I23" s="305" t="s">
        <v>400</v>
      </c>
      <c r="J23" s="249"/>
      <c r="K23" s="264" t="s">
        <v>412</v>
      </c>
      <c r="L23" s="250"/>
      <c r="M23" s="250"/>
      <c r="N23" s="250"/>
      <c r="O23" s="250"/>
      <c r="P23" s="251"/>
    </row>
    <row r="24" spans="9:16" ht="17.25" thickBot="1">
      <c r="I24" s="270" t="s">
        <v>401</v>
      </c>
      <c r="J24" s="243"/>
      <c r="K24" s="314" t="s">
        <v>413</v>
      </c>
      <c r="L24" s="238"/>
      <c r="M24" s="238"/>
      <c r="N24" s="238"/>
      <c r="O24" s="238"/>
      <c r="P24" s="239"/>
    </row>
    <row r="25" spans="9:16" ht="17.25" thickBot="1"/>
    <row r="26" spans="9:16" ht="17.25" thickBot="1">
      <c r="I26" s="292" t="s">
        <v>428</v>
      </c>
      <c r="J26" s="293"/>
      <c r="K26" s="293"/>
      <c r="L26" s="293"/>
      <c r="M26" s="293"/>
      <c r="N26" s="294"/>
    </row>
    <row r="27" spans="9:16">
      <c r="I27" s="240" t="s">
        <v>414</v>
      </c>
      <c r="J27" s="241"/>
      <c r="K27" s="245" t="s">
        <v>276</v>
      </c>
      <c r="L27" s="245"/>
      <c r="M27" s="245"/>
      <c r="N27" s="245"/>
      <c r="O27" s="245"/>
      <c r="P27" s="246"/>
    </row>
    <row r="28" spans="9:16" ht="17.25" thickBot="1">
      <c r="I28" s="242" t="s">
        <v>415</v>
      </c>
      <c r="J28" s="243"/>
      <c r="K28" s="314" t="s">
        <v>416</v>
      </c>
      <c r="L28" s="238"/>
      <c r="M28" s="238"/>
      <c r="N28" s="238"/>
      <c r="O28" s="238"/>
      <c r="P28" s="239"/>
    </row>
  </sheetData>
  <mergeCells count="50">
    <mergeCell ref="I28:J28"/>
    <mergeCell ref="K28:P28"/>
    <mergeCell ref="I18:J18"/>
    <mergeCell ref="K18:P18"/>
    <mergeCell ref="I19:J19"/>
    <mergeCell ref="K19:P19"/>
    <mergeCell ref="I27:J27"/>
    <mergeCell ref="K27:P27"/>
    <mergeCell ref="K20:P20"/>
    <mergeCell ref="B3:B15"/>
    <mergeCell ref="C3:C15"/>
    <mergeCell ref="H7:W7"/>
    <mergeCell ref="X7:AE7"/>
    <mergeCell ref="AF7:AM7"/>
    <mergeCell ref="H9:AM9"/>
    <mergeCell ref="H10:AM10"/>
    <mergeCell ref="E3:E6"/>
    <mergeCell ref="H12:AM12"/>
    <mergeCell ref="H13:AM13"/>
    <mergeCell ref="T11:Y11"/>
    <mergeCell ref="Z11:AA11"/>
    <mergeCell ref="AB11:AM11"/>
    <mergeCell ref="T15:Y15"/>
    <mergeCell ref="Z15:AA15"/>
    <mergeCell ref="AB15:AM15"/>
    <mergeCell ref="H1:O1"/>
    <mergeCell ref="P1:W1"/>
    <mergeCell ref="X1:AE1"/>
    <mergeCell ref="AF1:AM1"/>
    <mergeCell ref="X8:AE8"/>
    <mergeCell ref="AF8:AM8"/>
    <mergeCell ref="H3:AM6"/>
    <mergeCell ref="H8:O8"/>
    <mergeCell ref="P8:W8"/>
    <mergeCell ref="H14:AM14"/>
    <mergeCell ref="I17:N17"/>
    <mergeCell ref="I26:N26"/>
    <mergeCell ref="P11:Q11"/>
    <mergeCell ref="P15:Q15"/>
    <mergeCell ref="H11:K11"/>
    <mergeCell ref="H15:K15"/>
    <mergeCell ref="I22:J22"/>
    <mergeCell ref="K22:P22"/>
    <mergeCell ref="I23:J23"/>
    <mergeCell ref="K23:P23"/>
    <mergeCell ref="K24:P24"/>
    <mergeCell ref="I21:J21"/>
    <mergeCell ref="K21:P21"/>
    <mergeCell ref="I24:J24"/>
    <mergeCell ref="I20:J20"/>
  </mergeCells>
  <phoneticPr fontId="6" type="noConversion"/>
  <pageMargins left="0.25" right="0.25" top="0.75" bottom="0.75" header="0.3" footer="0.3"/>
  <pageSetup paperSize="9" scale="48" orientation="landscape" horizontalDpi="4294967293" vertic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AM53"/>
  <sheetViews>
    <sheetView zoomScale="92" zoomScaleNormal="92" workbookViewId="0">
      <pane xSplit="39" ySplit="24" topLeftCell="AN25" activePane="bottomRight" state="frozen"/>
      <selection activeCell="N33" sqref="N33"/>
      <selection pane="topRight" activeCell="N33" sqref="N33"/>
      <selection pane="bottomLeft" activeCell="N33" sqref="N33"/>
      <selection pane="bottomRight" activeCell="X12" sqref="X12:AE12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  <col min="41" max="41" width="10" bestFit="1" customWidth="1"/>
    <col min="42" max="42" width="11.75" bestFit="1" customWidth="1"/>
    <col min="43" max="43" width="16.125" bestFit="1" customWidth="1"/>
    <col min="44" max="44" width="13.625" bestFit="1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8" t="s">
        <v>373</v>
      </c>
      <c r="C3" s="172" t="s">
        <v>419</v>
      </c>
      <c r="D3" s="45" t="str">
        <f>DEC2HEX(A3*4, 3)</f>
        <v>000</v>
      </c>
      <c r="E3" s="175" t="s">
        <v>0</v>
      </c>
      <c r="F3" s="45" t="s">
        <v>6</v>
      </c>
      <c r="G3" s="69"/>
      <c r="H3" s="222" t="s">
        <v>372</v>
      </c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</row>
    <row r="4" spans="1:39">
      <c r="A4" s="12">
        <v>1</v>
      </c>
      <c r="B4" s="159"/>
      <c r="C4" s="173"/>
      <c r="D4" s="2" t="str">
        <f>DEC2HEX(A4*4, 3)</f>
        <v>004</v>
      </c>
      <c r="E4" s="176"/>
      <c r="F4" s="2" t="s">
        <v>6</v>
      </c>
      <c r="G4" s="13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</row>
    <row r="5" spans="1:39">
      <c r="A5" s="12">
        <v>2</v>
      </c>
      <c r="B5" s="159"/>
      <c r="C5" s="173"/>
      <c r="D5" s="2" t="str">
        <f t="shared" ref="D5:D20" si="1">DEC2HEX(A5*4, 3)</f>
        <v>008</v>
      </c>
      <c r="E5" s="176"/>
      <c r="F5" s="2" t="s">
        <v>6</v>
      </c>
      <c r="G5" s="13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</row>
    <row r="6" spans="1:39">
      <c r="A6" s="12">
        <v>3</v>
      </c>
      <c r="B6" s="159"/>
      <c r="C6" s="173"/>
      <c r="D6" s="2" t="str">
        <f t="shared" si="1"/>
        <v>00C</v>
      </c>
      <c r="E6" s="176"/>
      <c r="F6" s="2" t="s">
        <v>6</v>
      </c>
      <c r="G6" s="13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</row>
    <row r="7" spans="1:39">
      <c r="A7" s="12">
        <v>4</v>
      </c>
      <c r="B7" s="159"/>
      <c r="C7" s="173"/>
      <c r="D7" s="2" t="str">
        <f t="shared" si="1"/>
        <v>010</v>
      </c>
      <c r="E7" s="14" t="s">
        <v>106</v>
      </c>
      <c r="F7" s="2" t="s">
        <v>6</v>
      </c>
      <c r="G7" s="13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1"/>
    </row>
    <row r="8" spans="1:39">
      <c r="A8" s="12">
        <v>5</v>
      </c>
      <c r="B8" s="159"/>
      <c r="C8" s="173"/>
      <c r="D8" s="2" t="str">
        <f t="shared" si="1"/>
        <v>014</v>
      </c>
      <c r="E8" s="14" t="s">
        <v>107</v>
      </c>
      <c r="F8" s="2" t="s">
        <v>6</v>
      </c>
      <c r="G8" s="13"/>
      <c r="H8" s="178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1"/>
    </row>
    <row r="9" spans="1:39">
      <c r="A9" s="12">
        <v>6</v>
      </c>
      <c r="B9" s="159"/>
      <c r="C9" s="173"/>
      <c r="D9" s="2" t="str">
        <f t="shared" si="1"/>
        <v>018</v>
      </c>
      <c r="E9" s="51" t="s">
        <v>105</v>
      </c>
      <c r="F9" s="2" t="s">
        <v>4</v>
      </c>
      <c r="G9" s="13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</row>
    <row r="10" spans="1:39">
      <c r="A10" s="12">
        <v>7</v>
      </c>
      <c r="B10" s="159"/>
      <c r="C10" s="173"/>
      <c r="D10" s="2" t="str">
        <f t="shared" si="1"/>
        <v>01C</v>
      </c>
      <c r="E10" s="51" t="s">
        <v>105</v>
      </c>
      <c r="F10" s="53" t="s">
        <v>4</v>
      </c>
      <c r="G10" s="13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</row>
    <row r="11" spans="1:39">
      <c r="A11" s="12">
        <v>8</v>
      </c>
      <c r="B11" s="159"/>
      <c r="C11" s="173"/>
      <c r="D11" s="2" t="str">
        <f t="shared" si="1"/>
        <v>020</v>
      </c>
      <c r="E11" s="51" t="s">
        <v>89</v>
      </c>
      <c r="F11" s="53" t="s">
        <v>4</v>
      </c>
      <c r="H11" s="66" t="s">
        <v>66</v>
      </c>
      <c r="I11" s="66" t="s">
        <v>67</v>
      </c>
      <c r="J11" s="137"/>
      <c r="K11" s="66" t="s">
        <v>339</v>
      </c>
      <c r="L11" s="178"/>
      <c r="M11" s="178"/>
      <c r="N11" s="178"/>
      <c r="O11" s="66" t="s">
        <v>313</v>
      </c>
      <c r="P11" s="428" t="s">
        <v>149</v>
      </c>
      <c r="Q11" s="161"/>
      <c r="R11" s="161"/>
      <c r="S11" s="161"/>
      <c r="T11" s="161"/>
      <c r="U11" s="161"/>
      <c r="V11" s="161"/>
      <c r="W11" s="161"/>
      <c r="X11" s="428" t="s">
        <v>266</v>
      </c>
      <c r="Y11" s="161"/>
      <c r="Z11" s="161"/>
      <c r="AA11" s="161"/>
      <c r="AB11" s="161"/>
      <c r="AC11" s="161"/>
      <c r="AD11" s="161"/>
      <c r="AE11" s="161"/>
      <c r="AF11" s="428" t="s">
        <v>166</v>
      </c>
      <c r="AG11" s="161"/>
      <c r="AH11" s="161"/>
      <c r="AI11" s="161"/>
      <c r="AJ11" s="161"/>
      <c r="AK11" s="161"/>
      <c r="AL11" s="161"/>
      <c r="AM11" s="161"/>
    </row>
    <row r="12" spans="1:39">
      <c r="A12" s="12">
        <v>9</v>
      </c>
      <c r="B12" s="159"/>
      <c r="C12" s="173"/>
      <c r="D12" s="2" t="str">
        <f t="shared" si="1"/>
        <v>024</v>
      </c>
      <c r="E12" s="51" t="s">
        <v>378</v>
      </c>
      <c r="F12" s="53" t="s">
        <v>4</v>
      </c>
      <c r="H12" s="178"/>
      <c r="I12" s="178"/>
      <c r="J12" s="178"/>
      <c r="K12" s="178"/>
      <c r="L12" s="178"/>
      <c r="M12" s="178"/>
      <c r="N12" s="178"/>
      <c r="O12" s="108" t="s">
        <v>382</v>
      </c>
      <c r="P12" s="178"/>
      <c r="Q12" s="178"/>
      <c r="R12" s="178"/>
      <c r="S12" s="178"/>
      <c r="T12" s="178"/>
      <c r="U12" s="178"/>
      <c r="V12" s="178"/>
      <c r="W12" s="108" t="s">
        <v>381</v>
      </c>
      <c r="X12" s="428" t="s">
        <v>380</v>
      </c>
      <c r="Y12" s="161"/>
      <c r="Z12" s="161"/>
      <c r="AA12" s="161"/>
      <c r="AB12" s="161"/>
      <c r="AC12" s="161"/>
      <c r="AD12" s="161"/>
      <c r="AE12" s="161"/>
      <c r="AF12" s="178"/>
      <c r="AG12" s="178"/>
      <c r="AH12" s="178"/>
      <c r="AI12" s="178"/>
      <c r="AJ12" s="178"/>
      <c r="AK12" s="178"/>
      <c r="AL12" s="428" t="s">
        <v>379</v>
      </c>
      <c r="AM12" s="428"/>
    </row>
    <row r="13" spans="1:39">
      <c r="A13" s="12">
        <v>10</v>
      </c>
      <c r="B13" s="159"/>
      <c r="C13" s="173"/>
      <c r="D13" s="2" t="str">
        <f t="shared" si="1"/>
        <v>028</v>
      </c>
      <c r="E13" s="51" t="s">
        <v>164</v>
      </c>
      <c r="F13" s="53" t="s">
        <v>4</v>
      </c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38" t="s">
        <v>463</v>
      </c>
      <c r="X13" s="138"/>
      <c r="Y13" s="138"/>
      <c r="Z13" s="138"/>
      <c r="AA13" s="138"/>
      <c r="AB13" s="138"/>
      <c r="AC13" s="138"/>
      <c r="AD13" s="428" t="s">
        <v>389</v>
      </c>
      <c r="AE13" s="428"/>
      <c r="AF13" s="428"/>
      <c r="AG13" s="428"/>
      <c r="AH13" s="428"/>
      <c r="AI13" s="428"/>
      <c r="AJ13" s="428"/>
      <c r="AK13" s="428"/>
      <c r="AL13" s="428"/>
      <c r="AM13" s="428"/>
    </row>
    <row r="14" spans="1:39">
      <c r="A14" s="12">
        <v>11</v>
      </c>
      <c r="B14" s="159"/>
      <c r="C14" s="173"/>
      <c r="D14" s="2" t="str">
        <f t="shared" si="1"/>
        <v>02C</v>
      </c>
      <c r="E14" s="51" t="s">
        <v>383</v>
      </c>
      <c r="F14" s="53" t="s">
        <v>4</v>
      </c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428" t="s">
        <v>385</v>
      </c>
      <c r="AB14" s="428"/>
      <c r="AC14" s="428"/>
      <c r="AD14" s="428"/>
      <c r="AE14" s="428"/>
      <c r="AF14" s="178"/>
      <c r="AG14" s="178"/>
      <c r="AH14" s="178"/>
      <c r="AI14" s="428" t="s">
        <v>384</v>
      </c>
      <c r="AJ14" s="428"/>
      <c r="AK14" s="428"/>
      <c r="AL14" s="428"/>
      <c r="AM14" s="428"/>
    </row>
    <row r="15" spans="1:39">
      <c r="A15" s="12">
        <v>12</v>
      </c>
      <c r="B15" s="159"/>
      <c r="C15" s="173"/>
      <c r="D15" s="2" t="str">
        <f t="shared" si="1"/>
        <v>030</v>
      </c>
      <c r="E15" s="51" t="s">
        <v>90</v>
      </c>
      <c r="F15" s="53" t="s">
        <v>6</v>
      </c>
      <c r="H15" s="30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225"/>
      <c r="AF15" s="55" t="s">
        <v>43</v>
      </c>
      <c r="AG15" s="178"/>
      <c r="AH15" s="178"/>
      <c r="AI15" s="178"/>
      <c r="AJ15" s="55" t="s">
        <v>83</v>
      </c>
      <c r="AK15" s="178"/>
      <c r="AL15" s="178"/>
      <c r="AM15" s="55" t="s">
        <v>60</v>
      </c>
    </row>
    <row r="16" spans="1:39">
      <c r="A16" s="12">
        <v>13</v>
      </c>
      <c r="B16" s="159"/>
      <c r="C16" s="173"/>
      <c r="D16" s="2" t="str">
        <f t="shared" si="1"/>
        <v>034</v>
      </c>
      <c r="E16" s="51" t="s">
        <v>374</v>
      </c>
      <c r="F16" s="53" t="s">
        <v>6</v>
      </c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08" t="s">
        <v>475</v>
      </c>
      <c r="X16" s="138"/>
      <c r="Y16" s="138"/>
      <c r="Z16" s="138"/>
      <c r="AA16" s="138"/>
      <c r="AB16" s="138"/>
      <c r="AC16" s="138"/>
      <c r="AD16" s="428" t="s">
        <v>391</v>
      </c>
      <c r="AE16" s="428"/>
      <c r="AF16" s="428"/>
      <c r="AG16" s="428"/>
      <c r="AH16" s="428"/>
      <c r="AI16" s="428"/>
      <c r="AJ16" s="428"/>
      <c r="AK16" s="428"/>
      <c r="AL16" s="428"/>
      <c r="AM16" s="428"/>
    </row>
    <row r="17" spans="1:39">
      <c r="A17" s="12">
        <v>14</v>
      </c>
      <c r="B17" s="159"/>
      <c r="C17" s="173"/>
      <c r="D17" s="2" t="str">
        <f t="shared" si="1"/>
        <v>038</v>
      </c>
      <c r="E17" s="51" t="s">
        <v>375</v>
      </c>
      <c r="F17" s="53" t="s">
        <v>6</v>
      </c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66" t="s">
        <v>163</v>
      </c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66" t="s">
        <v>376</v>
      </c>
      <c r="AM17" s="66" t="s">
        <v>377</v>
      </c>
    </row>
    <row r="18" spans="1:39">
      <c r="A18" s="12">
        <v>15</v>
      </c>
      <c r="B18" s="159"/>
      <c r="C18" s="173"/>
      <c r="D18" s="2" t="str">
        <f t="shared" si="1"/>
        <v>03C</v>
      </c>
      <c r="F18" s="53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</row>
    <row r="19" spans="1:39" ht="16.5" customHeight="1">
      <c r="A19" s="12">
        <v>16</v>
      </c>
      <c r="B19" s="159"/>
      <c r="C19" s="173"/>
      <c r="D19" s="2" t="str">
        <f t="shared" si="1"/>
        <v>040</v>
      </c>
      <c r="E19" s="189" t="s">
        <v>154</v>
      </c>
      <c r="F19" s="2" t="s">
        <v>17</v>
      </c>
      <c r="H19" s="161" t="s">
        <v>82</v>
      </c>
      <c r="I19" s="161"/>
      <c r="J19" s="161"/>
      <c r="K19" s="161"/>
      <c r="L19" s="161"/>
      <c r="M19" s="161"/>
      <c r="N19" s="161"/>
      <c r="O19" s="161"/>
      <c r="P19" s="161" t="s">
        <v>81</v>
      </c>
      <c r="Q19" s="161"/>
      <c r="R19" s="161"/>
      <c r="S19" s="161"/>
      <c r="T19" s="161"/>
      <c r="U19" s="161"/>
      <c r="V19" s="161"/>
      <c r="W19" s="161"/>
      <c r="X19" s="161" t="s">
        <v>80</v>
      </c>
      <c r="Y19" s="161"/>
      <c r="Z19" s="161"/>
      <c r="AA19" s="161"/>
      <c r="AB19" s="161"/>
      <c r="AC19" s="161"/>
      <c r="AD19" s="161"/>
      <c r="AE19" s="161"/>
      <c r="AF19" s="161" t="s">
        <v>79</v>
      </c>
      <c r="AG19" s="161"/>
      <c r="AH19" s="161"/>
      <c r="AI19" s="161"/>
      <c r="AJ19" s="161"/>
      <c r="AK19" s="161"/>
      <c r="AL19" s="161"/>
      <c r="AM19" s="161"/>
    </row>
    <row r="20" spans="1:39">
      <c r="A20" s="12">
        <v>17</v>
      </c>
      <c r="B20" s="159"/>
      <c r="C20" s="173"/>
      <c r="D20" s="2" t="str">
        <f t="shared" si="1"/>
        <v>044</v>
      </c>
      <c r="E20" s="189"/>
      <c r="F20" s="2" t="s">
        <v>17</v>
      </c>
      <c r="H20" s="161" t="s">
        <v>153</v>
      </c>
      <c r="I20" s="161"/>
      <c r="J20" s="161"/>
      <c r="K20" s="161"/>
      <c r="L20" s="161"/>
      <c r="M20" s="161"/>
      <c r="N20" s="161"/>
      <c r="O20" s="161"/>
      <c r="P20" s="161" t="s">
        <v>152</v>
      </c>
      <c r="Q20" s="161"/>
      <c r="R20" s="161"/>
      <c r="S20" s="161"/>
      <c r="T20" s="161"/>
      <c r="U20" s="161"/>
      <c r="V20" s="161"/>
      <c r="W20" s="161"/>
      <c r="X20" s="161" t="s">
        <v>151</v>
      </c>
      <c r="Y20" s="161"/>
      <c r="Z20" s="161"/>
      <c r="AA20" s="161"/>
      <c r="AB20" s="161"/>
      <c r="AC20" s="161"/>
      <c r="AD20" s="161"/>
      <c r="AE20" s="161"/>
      <c r="AF20" s="161" t="s">
        <v>150</v>
      </c>
      <c r="AG20" s="161"/>
      <c r="AH20" s="161"/>
      <c r="AI20" s="161"/>
      <c r="AJ20" s="161"/>
      <c r="AK20" s="161"/>
      <c r="AL20" s="161"/>
      <c r="AM20" s="161"/>
    </row>
    <row r="21" spans="1:39">
      <c r="A21" s="12"/>
      <c r="B21" s="159"/>
      <c r="C21" s="173"/>
      <c r="D21" s="21"/>
      <c r="E21" s="189"/>
      <c r="F21" s="21"/>
      <c r="H21" s="430"/>
      <c r="I21" s="430"/>
      <c r="J21" s="430"/>
      <c r="K21" s="430"/>
      <c r="L21" s="430"/>
      <c r="M21" s="430"/>
      <c r="N21" s="430"/>
      <c r="O21" s="430"/>
      <c r="P21" s="430"/>
      <c r="Q21" s="430"/>
      <c r="R21" s="430"/>
      <c r="S21" s="430"/>
      <c r="T21" s="430"/>
      <c r="U21" s="430"/>
      <c r="V21" s="430"/>
      <c r="W21" s="430"/>
      <c r="X21" s="430"/>
      <c r="Y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  <c r="AJ21" s="430"/>
      <c r="AK21" s="430"/>
      <c r="AL21" s="430"/>
      <c r="AM21" s="430"/>
    </row>
    <row r="22" spans="1:39">
      <c r="A22" s="12"/>
      <c r="B22" s="159"/>
      <c r="C22" s="173"/>
      <c r="D22" s="21"/>
      <c r="E22" s="189"/>
      <c r="F22" s="21"/>
      <c r="H22" s="430"/>
      <c r="I22" s="430"/>
      <c r="J22" s="430"/>
      <c r="K22" s="430"/>
      <c r="L22" s="430"/>
      <c r="M22" s="430"/>
      <c r="N22" s="430"/>
      <c r="O22" s="430"/>
      <c r="P22" s="430"/>
      <c r="Q22" s="430"/>
      <c r="R22" s="430"/>
      <c r="S22" s="430"/>
      <c r="T22" s="430"/>
      <c r="U22" s="430"/>
      <c r="V22" s="430"/>
      <c r="W22" s="430"/>
      <c r="X22" s="430"/>
      <c r="Y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  <c r="AJ22" s="430"/>
      <c r="AK22" s="430"/>
      <c r="AL22" s="430"/>
      <c r="AM22" s="430"/>
    </row>
    <row r="23" spans="1:39">
      <c r="A23" s="12">
        <v>270</v>
      </c>
      <c r="B23" s="159"/>
      <c r="C23" s="173"/>
      <c r="D23" s="2" t="str">
        <f>DEC2HEX(A23*4, 3)</f>
        <v>438</v>
      </c>
      <c r="E23" s="189"/>
      <c r="F23" s="2" t="s">
        <v>17</v>
      </c>
      <c r="H23" s="161" t="s">
        <v>159</v>
      </c>
      <c r="I23" s="161"/>
      <c r="J23" s="161"/>
      <c r="K23" s="161"/>
      <c r="L23" s="161"/>
      <c r="M23" s="161"/>
      <c r="N23" s="161"/>
      <c r="O23" s="161"/>
      <c r="P23" s="161" t="s">
        <v>160</v>
      </c>
      <c r="Q23" s="161"/>
      <c r="R23" s="161"/>
      <c r="S23" s="161"/>
      <c r="T23" s="161"/>
      <c r="U23" s="161"/>
      <c r="V23" s="161"/>
      <c r="W23" s="161"/>
      <c r="X23" s="161" t="s">
        <v>161</v>
      </c>
      <c r="Y23" s="161"/>
      <c r="Z23" s="161"/>
      <c r="AA23" s="161"/>
      <c r="AB23" s="161"/>
      <c r="AC23" s="161"/>
      <c r="AD23" s="161"/>
      <c r="AE23" s="161"/>
      <c r="AF23" s="161" t="s">
        <v>162</v>
      </c>
      <c r="AG23" s="161"/>
      <c r="AH23" s="161"/>
      <c r="AI23" s="161"/>
      <c r="AJ23" s="161"/>
      <c r="AK23" s="161"/>
      <c r="AL23" s="161"/>
      <c r="AM23" s="161"/>
    </row>
    <row r="24" spans="1:39" ht="17.25" thickBot="1">
      <c r="A24" s="12">
        <v>271</v>
      </c>
      <c r="B24" s="160"/>
      <c r="C24" s="174"/>
      <c r="D24" s="3" t="str">
        <f>DEC2HEX(A24*4, 3)</f>
        <v>43C</v>
      </c>
      <c r="E24" s="429"/>
      <c r="F24" s="3" t="s">
        <v>17</v>
      </c>
      <c r="H24" s="161" t="s">
        <v>155</v>
      </c>
      <c r="I24" s="161"/>
      <c r="J24" s="161"/>
      <c r="K24" s="161"/>
      <c r="L24" s="161"/>
      <c r="M24" s="161"/>
      <c r="N24" s="161"/>
      <c r="O24" s="161"/>
      <c r="P24" s="161" t="s">
        <v>156</v>
      </c>
      <c r="Q24" s="161"/>
      <c r="R24" s="161"/>
      <c r="S24" s="161"/>
      <c r="T24" s="161"/>
      <c r="U24" s="161"/>
      <c r="V24" s="161"/>
      <c r="W24" s="161"/>
      <c r="X24" s="161" t="s">
        <v>157</v>
      </c>
      <c r="Y24" s="161"/>
      <c r="Z24" s="161"/>
      <c r="AA24" s="161"/>
      <c r="AB24" s="161"/>
      <c r="AC24" s="161"/>
      <c r="AD24" s="161"/>
      <c r="AE24" s="161"/>
      <c r="AF24" s="161" t="s">
        <v>158</v>
      </c>
      <c r="AG24" s="161"/>
      <c r="AH24" s="161"/>
      <c r="AI24" s="161"/>
      <c r="AJ24" s="161"/>
      <c r="AK24" s="161"/>
      <c r="AL24" s="161"/>
      <c r="AM24" s="161"/>
    </row>
    <row r="25" spans="1:39" ht="17.25" thickBot="1"/>
    <row r="26" spans="1:39" ht="17.25" customHeight="1" thickBot="1">
      <c r="I26" s="226" t="s">
        <v>420</v>
      </c>
      <c r="J26" s="227"/>
      <c r="K26" s="227"/>
      <c r="L26" s="227"/>
      <c r="M26" s="227"/>
      <c r="N26" s="227"/>
      <c r="O26" s="227"/>
      <c r="P26" s="227"/>
      <c r="Q26" s="227"/>
      <c r="R26" s="235"/>
      <c r="S26" s="235"/>
      <c r="T26" s="235"/>
      <c r="U26" s="235"/>
      <c r="V26" s="235"/>
      <c r="W26" s="235"/>
      <c r="X26" s="235"/>
      <c r="Y26" s="235"/>
      <c r="Z26" s="236"/>
      <c r="AE26" s="182"/>
      <c r="AF26" s="383" t="s">
        <v>1028</v>
      </c>
      <c r="AG26" s="383"/>
      <c r="AH26" s="383"/>
      <c r="AI26" s="384" t="s">
        <v>1049</v>
      </c>
      <c r="AJ26" s="384"/>
      <c r="AK26" s="384"/>
      <c r="AL26" s="384" t="s">
        <v>1048</v>
      </c>
      <c r="AM26" s="384"/>
    </row>
    <row r="27" spans="1:39">
      <c r="I27" s="240" t="s">
        <v>263</v>
      </c>
      <c r="J27" s="241"/>
      <c r="K27" s="244" t="s">
        <v>288</v>
      </c>
      <c r="L27" s="245"/>
      <c r="M27" s="245"/>
      <c r="N27" s="245"/>
      <c r="O27" s="245"/>
      <c r="P27" s="246"/>
      <c r="R27" s="421" t="s">
        <v>267</v>
      </c>
      <c r="S27" s="422"/>
      <c r="T27" s="244" t="s">
        <v>268</v>
      </c>
      <c r="U27" s="245"/>
      <c r="V27" s="245"/>
      <c r="W27" s="245"/>
      <c r="X27" s="245"/>
      <c r="Y27" s="245"/>
      <c r="Z27" s="246"/>
      <c r="AE27" s="385"/>
      <c r="AF27" s="383"/>
      <c r="AG27" s="383"/>
      <c r="AH27" s="383"/>
      <c r="AI27" s="384"/>
      <c r="AJ27" s="384"/>
      <c r="AK27" s="384"/>
      <c r="AL27" s="384"/>
      <c r="AM27" s="384"/>
    </row>
    <row r="28" spans="1:39">
      <c r="I28" s="305" t="s">
        <v>264</v>
      </c>
      <c r="J28" s="249"/>
      <c r="K28" s="264" t="s">
        <v>289</v>
      </c>
      <c r="L28" s="250"/>
      <c r="M28" s="250"/>
      <c r="N28" s="250"/>
      <c r="O28" s="250"/>
      <c r="P28" s="251"/>
      <c r="R28" s="423"/>
      <c r="S28" s="424"/>
      <c r="T28" s="264" t="s">
        <v>269</v>
      </c>
      <c r="U28" s="250"/>
      <c r="V28" s="250"/>
      <c r="W28" s="250"/>
      <c r="X28" s="250"/>
      <c r="Y28" s="250"/>
      <c r="Z28" s="251"/>
      <c r="AE28" s="388" t="s">
        <v>1060</v>
      </c>
      <c r="AF28" s="383" t="s">
        <v>1023</v>
      </c>
      <c r="AG28" s="383"/>
      <c r="AH28" s="383"/>
      <c r="AI28" s="383" t="s">
        <v>1051</v>
      </c>
      <c r="AJ28" s="383"/>
      <c r="AK28" s="383"/>
      <c r="AL28" s="383" t="s">
        <v>1039</v>
      </c>
      <c r="AM28" s="383"/>
    </row>
    <row r="29" spans="1:39" ht="17.25" thickBot="1">
      <c r="I29" s="305" t="s">
        <v>340</v>
      </c>
      <c r="J29" s="249"/>
      <c r="K29" s="397" t="s">
        <v>341</v>
      </c>
      <c r="L29" s="398"/>
      <c r="M29" s="398"/>
      <c r="N29" s="398"/>
      <c r="O29" s="398"/>
      <c r="P29" s="399"/>
      <c r="R29" s="270" t="s">
        <v>270</v>
      </c>
      <c r="S29" s="271"/>
      <c r="T29" s="314" t="s">
        <v>271</v>
      </c>
      <c r="U29" s="238"/>
      <c r="V29" s="238"/>
      <c r="W29" s="238"/>
      <c r="X29" s="238"/>
      <c r="Y29" s="238"/>
      <c r="Z29" s="239"/>
      <c r="AE29" s="389"/>
      <c r="AF29" s="383" t="s">
        <v>1024</v>
      </c>
      <c r="AG29" s="383"/>
      <c r="AH29" s="383"/>
      <c r="AI29" s="383" t="s">
        <v>1050</v>
      </c>
      <c r="AJ29" s="383"/>
      <c r="AK29" s="383"/>
      <c r="AL29" s="383" t="s">
        <v>1039</v>
      </c>
      <c r="AM29" s="383"/>
    </row>
    <row r="30" spans="1:39" ht="17.25" thickBot="1">
      <c r="I30" s="270" t="s">
        <v>265</v>
      </c>
      <c r="J30" s="400"/>
      <c r="K30" s="418" t="s">
        <v>1061</v>
      </c>
      <c r="L30" s="419"/>
      <c r="M30" s="419"/>
      <c r="N30" s="419"/>
      <c r="O30" s="419"/>
      <c r="P30" s="419"/>
      <c r="Q30" s="420"/>
      <c r="R30" s="98"/>
      <c r="AE30" s="389"/>
      <c r="AF30" s="383" t="s">
        <v>1025</v>
      </c>
      <c r="AG30" s="383"/>
      <c r="AH30" s="383"/>
      <c r="AI30" s="383" t="s">
        <v>1052</v>
      </c>
      <c r="AJ30" s="383"/>
      <c r="AK30" s="383"/>
      <c r="AL30" s="383" t="s">
        <v>1039</v>
      </c>
      <c r="AM30" s="383"/>
    </row>
    <row r="31" spans="1:39" ht="17.25" thickBot="1">
      <c r="AE31" s="389"/>
      <c r="AF31" s="383" t="s">
        <v>1026</v>
      </c>
      <c r="AG31" s="383"/>
      <c r="AH31" s="383"/>
      <c r="AI31" s="383" t="s">
        <v>1053</v>
      </c>
      <c r="AJ31" s="383"/>
      <c r="AK31" s="383"/>
      <c r="AL31" s="383" t="s">
        <v>1039</v>
      </c>
      <c r="AM31" s="383"/>
    </row>
    <row r="32" spans="1:39" ht="17.25" thickBot="1">
      <c r="I32" s="292" t="s">
        <v>421</v>
      </c>
      <c r="J32" s="293"/>
      <c r="K32" s="293"/>
      <c r="L32" s="293"/>
      <c r="M32" s="293"/>
      <c r="N32" s="293"/>
      <c r="O32" s="293"/>
      <c r="P32" s="294"/>
      <c r="T32" s="265" t="s">
        <v>422</v>
      </c>
      <c r="U32" s="266"/>
      <c r="V32" s="266"/>
      <c r="W32" s="266"/>
      <c r="X32" s="266"/>
      <c r="Y32" s="266"/>
      <c r="Z32" s="266"/>
      <c r="AA32" s="267"/>
      <c r="AE32" s="389"/>
      <c r="AF32" s="383" t="s">
        <v>1027</v>
      </c>
      <c r="AG32" s="383"/>
      <c r="AH32" s="383"/>
      <c r="AI32" s="383" t="s">
        <v>1054</v>
      </c>
      <c r="AJ32" s="383"/>
      <c r="AK32" s="383"/>
      <c r="AL32" s="383" t="s">
        <v>1039</v>
      </c>
      <c r="AM32" s="383"/>
    </row>
    <row r="33" spans="1:39">
      <c r="I33" s="414" t="s">
        <v>386</v>
      </c>
      <c r="J33" s="415"/>
      <c r="K33" s="415"/>
      <c r="L33" s="415"/>
      <c r="M33" s="416" t="s">
        <v>272</v>
      </c>
      <c r="N33" s="416"/>
      <c r="O33" s="416"/>
      <c r="P33" s="416"/>
      <c r="Q33" s="416"/>
      <c r="R33" s="417"/>
      <c r="T33" s="414" t="s">
        <v>390</v>
      </c>
      <c r="U33" s="415"/>
      <c r="V33" s="415"/>
      <c r="W33" s="415"/>
      <c r="X33" s="416" t="s">
        <v>272</v>
      </c>
      <c r="Y33" s="416"/>
      <c r="Z33" s="416"/>
      <c r="AA33" s="416"/>
      <c r="AB33" s="416"/>
      <c r="AC33" s="417"/>
      <c r="AE33" s="389"/>
      <c r="AF33" s="383"/>
      <c r="AG33" s="383"/>
      <c r="AH33" s="383"/>
      <c r="AI33" s="161"/>
      <c r="AJ33" s="161"/>
      <c r="AK33" s="161"/>
      <c r="AL33" s="161"/>
      <c r="AM33" s="161"/>
    </row>
    <row r="34" spans="1:39" ht="17.25" thickBot="1">
      <c r="I34" s="409" t="s">
        <v>387</v>
      </c>
      <c r="J34" s="410"/>
      <c r="K34" s="410"/>
      <c r="L34" s="410"/>
      <c r="M34" s="411" t="s">
        <v>272</v>
      </c>
      <c r="N34" s="411"/>
      <c r="O34" s="411"/>
      <c r="P34" s="411"/>
      <c r="Q34" s="411"/>
      <c r="R34" s="412"/>
      <c r="T34" s="204" t="s">
        <v>389</v>
      </c>
      <c r="U34" s="413"/>
      <c r="V34" s="413"/>
      <c r="W34" s="413"/>
      <c r="X34" s="401" t="s">
        <v>272</v>
      </c>
      <c r="Y34" s="401"/>
      <c r="Z34" s="401"/>
      <c r="AA34" s="401"/>
      <c r="AB34" s="401"/>
      <c r="AC34" s="402"/>
      <c r="AE34" s="389"/>
      <c r="AF34" s="383" t="s">
        <v>1032</v>
      </c>
      <c r="AG34" s="383"/>
      <c r="AH34" s="383"/>
      <c r="AI34" s="383" t="s">
        <v>1055</v>
      </c>
      <c r="AJ34" s="383"/>
      <c r="AK34" s="383"/>
      <c r="AL34" s="383" t="s">
        <v>1039</v>
      </c>
      <c r="AM34" s="383"/>
    </row>
    <row r="35" spans="1:39">
      <c r="A35" s="65"/>
      <c r="I35" s="409" t="s">
        <v>380</v>
      </c>
      <c r="J35" s="410"/>
      <c r="K35" s="410"/>
      <c r="L35" s="410"/>
      <c r="M35" s="411" t="s">
        <v>272</v>
      </c>
      <c r="N35" s="411"/>
      <c r="O35" s="411"/>
      <c r="P35" s="411"/>
      <c r="Q35" s="411"/>
      <c r="R35" s="412"/>
      <c r="AE35" s="389"/>
      <c r="AF35" s="383" t="s">
        <v>1033</v>
      </c>
      <c r="AG35" s="383"/>
      <c r="AH35" s="383"/>
      <c r="AI35" s="383" t="s">
        <v>1056</v>
      </c>
      <c r="AJ35" s="383"/>
      <c r="AK35" s="383"/>
      <c r="AL35" s="383" t="s">
        <v>1039</v>
      </c>
      <c r="AM35" s="383"/>
    </row>
    <row r="36" spans="1:39" ht="17.25" thickBot="1">
      <c r="I36" s="204" t="s">
        <v>388</v>
      </c>
      <c r="J36" s="413"/>
      <c r="K36" s="413"/>
      <c r="L36" s="413"/>
      <c r="M36" s="401" t="s">
        <v>272</v>
      </c>
      <c r="N36" s="401"/>
      <c r="O36" s="401"/>
      <c r="P36" s="401"/>
      <c r="Q36" s="401"/>
      <c r="R36" s="402"/>
      <c r="AE36" s="389"/>
      <c r="AF36" s="383" t="s">
        <v>1034</v>
      </c>
      <c r="AG36" s="383"/>
      <c r="AH36" s="383"/>
      <c r="AI36" s="383" t="s">
        <v>1057</v>
      </c>
      <c r="AJ36" s="383"/>
      <c r="AK36" s="383"/>
      <c r="AL36" s="383" t="s">
        <v>1039</v>
      </c>
      <c r="AM36" s="383"/>
    </row>
    <row r="37" spans="1:39" ht="17.25" thickBot="1">
      <c r="A37" s="65"/>
      <c r="AE37" s="389"/>
      <c r="AF37" s="383" t="s">
        <v>1035</v>
      </c>
      <c r="AG37" s="383"/>
      <c r="AH37" s="383"/>
      <c r="AI37" s="383" t="s">
        <v>1058</v>
      </c>
      <c r="AJ37" s="383"/>
      <c r="AK37" s="383"/>
      <c r="AL37" s="383" t="s">
        <v>1039</v>
      </c>
      <c r="AM37" s="383"/>
    </row>
    <row r="38" spans="1:39" ht="17.25" thickBot="1">
      <c r="I38" s="292" t="s">
        <v>479</v>
      </c>
      <c r="J38" s="293"/>
      <c r="K38" s="293"/>
      <c r="L38" s="293"/>
      <c r="M38" s="293"/>
      <c r="N38" s="293"/>
      <c r="O38" s="293"/>
      <c r="P38" s="294"/>
      <c r="AE38" s="389"/>
      <c r="AF38" s="383" t="s">
        <v>1036</v>
      </c>
      <c r="AG38" s="383"/>
      <c r="AH38" s="383"/>
      <c r="AI38" s="383" t="s">
        <v>1059</v>
      </c>
      <c r="AJ38" s="383"/>
      <c r="AK38" s="383"/>
      <c r="AL38" s="383" t="s">
        <v>1039</v>
      </c>
      <c r="AM38" s="383"/>
    </row>
    <row r="39" spans="1:39">
      <c r="I39" s="403" t="s">
        <v>385</v>
      </c>
      <c r="J39" s="404"/>
      <c r="K39" s="404"/>
      <c r="L39" s="386"/>
      <c r="M39" s="386"/>
      <c r="N39" s="386"/>
      <c r="O39" s="386"/>
      <c r="P39" s="386"/>
      <c r="Q39" s="386"/>
      <c r="R39" s="386"/>
      <c r="S39" s="387"/>
      <c r="AE39" s="389"/>
      <c r="AF39" s="383"/>
      <c r="AG39" s="383"/>
      <c r="AH39" s="383"/>
      <c r="AI39" s="161"/>
      <c r="AJ39" s="161"/>
      <c r="AK39" s="161"/>
      <c r="AL39" s="161"/>
      <c r="AM39" s="161"/>
    </row>
    <row r="40" spans="1:39" ht="17.25" thickBot="1">
      <c r="I40" s="405" t="s">
        <v>384</v>
      </c>
      <c r="J40" s="406"/>
      <c r="K40" s="406"/>
      <c r="L40" s="407"/>
      <c r="M40" s="407"/>
      <c r="N40" s="407"/>
      <c r="O40" s="407"/>
      <c r="P40" s="407"/>
      <c r="Q40" s="407"/>
      <c r="R40" s="407"/>
      <c r="S40" s="408"/>
      <c r="AE40" s="389"/>
      <c r="AF40" s="383" t="s">
        <v>1029</v>
      </c>
      <c r="AG40" s="383"/>
      <c r="AH40" s="383"/>
      <c r="AI40" s="383" t="s">
        <v>1037</v>
      </c>
      <c r="AJ40" s="383"/>
      <c r="AK40" s="383"/>
      <c r="AL40" s="383" t="s">
        <v>1039</v>
      </c>
      <c r="AM40" s="383"/>
    </row>
    <row r="41" spans="1:39" ht="17.25" thickBot="1">
      <c r="AE41" s="389"/>
      <c r="AF41" s="383" t="s">
        <v>1030</v>
      </c>
      <c r="AG41" s="383"/>
      <c r="AH41" s="383"/>
      <c r="AI41" s="383" t="s">
        <v>1038</v>
      </c>
      <c r="AJ41" s="383"/>
      <c r="AK41" s="383"/>
      <c r="AL41" s="383" t="s">
        <v>1039</v>
      </c>
      <c r="AM41" s="383"/>
    </row>
    <row r="42" spans="1:39" ht="17.25" thickBot="1">
      <c r="I42" s="265" t="s">
        <v>423</v>
      </c>
      <c r="J42" s="266"/>
      <c r="K42" s="266"/>
      <c r="L42" s="266"/>
      <c r="M42" s="266"/>
      <c r="N42" s="266"/>
      <c r="O42" s="266"/>
      <c r="P42" s="267"/>
      <c r="AE42" s="389"/>
      <c r="AF42" s="383" t="s">
        <v>1031</v>
      </c>
      <c r="AG42" s="383"/>
      <c r="AH42" s="383"/>
      <c r="AI42" s="383" t="s">
        <v>1041</v>
      </c>
      <c r="AJ42" s="383"/>
      <c r="AK42" s="383"/>
      <c r="AL42" s="383" t="s">
        <v>1039</v>
      </c>
      <c r="AM42" s="383"/>
    </row>
    <row r="43" spans="1:39">
      <c r="I43" s="240" t="s">
        <v>165</v>
      </c>
      <c r="J43" s="241"/>
      <c r="K43" s="244" t="s">
        <v>277</v>
      </c>
      <c r="L43" s="245"/>
      <c r="M43" s="245"/>
      <c r="N43" s="245"/>
      <c r="O43" s="245"/>
      <c r="P43" s="245"/>
      <c r="Q43" s="245"/>
      <c r="R43" s="245"/>
      <c r="S43" s="246"/>
      <c r="AE43" s="389"/>
      <c r="AF43" s="383" t="s">
        <v>1031</v>
      </c>
      <c r="AG43" s="383"/>
      <c r="AH43" s="383"/>
      <c r="AI43" s="383" t="s">
        <v>1042</v>
      </c>
      <c r="AJ43" s="383"/>
      <c r="AK43" s="383"/>
      <c r="AL43" s="383" t="s">
        <v>1046</v>
      </c>
      <c r="AM43" s="383"/>
    </row>
    <row r="44" spans="1:39">
      <c r="I44" s="248" t="s">
        <v>274</v>
      </c>
      <c r="J44" s="249"/>
      <c r="K44" s="250" t="s">
        <v>275</v>
      </c>
      <c r="L44" s="250"/>
      <c r="M44" s="250"/>
      <c r="N44" s="250"/>
      <c r="O44" s="250"/>
      <c r="P44" s="250"/>
      <c r="Q44" s="250"/>
      <c r="R44" s="250"/>
      <c r="S44" s="251"/>
      <c r="AE44" s="389"/>
      <c r="AF44" s="383" t="s">
        <v>1040</v>
      </c>
      <c r="AG44" s="383"/>
      <c r="AH44" s="383"/>
      <c r="AI44" s="383" t="s">
        <v>1045</v>
      </c>
      <c r="AJ44" s="383"/>
      <c r="AK44" s="383"/>
      <c r="AL44" s="383" t="s">
        <v>1039</v>
      </c>
      <c r="AM44" s="383"/>
    </row>
    <row r="45" spans="1:39" ht="17.25" thickBot="1">
      <c r="I45" s="242" t="s">
        <v>65</v>
      </c>
      <c r="J45" s="243"/>
      <c r="K45" s="238" t="s">
        <v>238</v>
      </c>
      <c r="L45" s="238"/>
      <c r="M45" s="238"/>
      <c r="N45" s="238"/>
      <c r="O45" s="238"/>
      <c r="P45" s="238"/>
      <c r="Q45" s="238"/>
      <c r="R45" s="238"/>
      <c r="S45" s="239"/>
      <c r="AE45" s="389"/>
      <c r="AF45" s="383" t="s">
        <v>1040</v>
      </c>
      <c r="AG45" s="383"/>
      <c r="AH45" s="383"/>
      <c r="AI45" s="383" t="s">
        <v>1044</v>
      </c>
      <c r="AJ45" s="383"/>
      <c r="AK45" s="383"/>
      <c r="AL45" s="383" t="s">
        <v>1046</v>
      </c>
      <c r="AM45" s="383"/>
    </row>
    <row r="46" spans="1:39" ht="17.25" thickBot="1">
      <c r="AE46" s="390"/>
      <c r="AF46" s="383" t="s">
        <v>1040</v>
      </c>
      <c r="AG46" s="383"/>
      <c r="AH46" s="383"/>
      <c r="AI46" s="383" t="s">
        <v>1043</v>
      </c>
      <c r="AJ46" s="383"/>
      <c r="AK46" s="383"/>
      <c r="AL46" s="383" t="s">
        <v>1047</v>
      </c>
      <c r="AM46" s="383"/>
    </row>
    <row r="47" spans="1:39" ht="17.25" thickBot="1">
      <c r="I47" s="265" t="s">
        <v>424</v>
      </c>
      <c r="J47" s="266"/>
      <c r="K47" s="266"/>
      <c r="L47" s="266"/>
      <c r="M47" s="266"/>
      <c r="N47" s="266"/>
      <c r="O47" s="266"/>
      <c r="P47" s="267"/>
      <c r="U47" s="265" t="s">
        <v>425</v>
      </c>
      <c r="V47" s="266"/>
      <c r="W47" s="266"/>
      <c r="X47" s="266"/>
      <c r="Y47" s="266"/>
      <c r="Z47" s="266"/>
      <c r="AA47" s="266"/>
      <c r="AB47" s="267"/>
    </row>
    <row r="48" spans="1:39">
      <c r="I48" s="403" t="s">
        <v>476</v>
      </c>
      <c r="J48" s="404"/>
      <c r="K48" s="404"/>
      <c r="L48" s="386" t="s">
        <v>477</v>
      </c>
      <c r="M48" s="386"/>
      <c r="N48" s="386"/>
      <c r="O48" s="386"/>
      <c r="P48" s="386"/>
      <c r="Q48" s="386"/>
      <c r="R48" s="386"/>
      <c r="S48" s="387"/>
      <c r="U48" s="403" t="s">
        <v>392</v>
      </c>
      <c r="V48" s="404"/>
      <c r="W48" s="404"/>
      <c r="X48" s="386" t="s">
        <v>272</v>
      </c>
      <c r="Y48" s="386"/>
      <c r="Z48" s="386"/>
      <c r="AA48" s="386"/>
      <c r="AB48" s="386"/>
      <c r="AC48" s="386"/>
      <c r="AD48" s="386"/>
      <c r="AE48" s="387"/>
    </row>
    <row r="49" spans="9:31" ht="17.25" thickBot="1">
      <c r="I49" s="405" t="s">
        <v>391</v>
      </c>
      <c r="J49" s="406"/>
      <c r="K49" s="406"/>
      <c r="L49" s="407" t="s">
        <v>478</v>
      </c>
      <c r="M49" s="407"/>
      <c r="N49" s="407"/>
      <c r="O49" s="407"/>
      <c r="P49" s="407"/>
      <c r="Q49" s="407"/>
      <c r="R49" s="407"/>
      <c r="S49" s="408"/>
      <c r="U49" s="391" t="s">
        <v>393</v>
      </c>
      <c r="V49" s="392"/>
      <c r="W49" s="393"/>
      <c r="X49" s="394" t="s">
        <v>272</v>
      </c>
      <c r="Y49" s="395"/>
      <c r="Z49" s="395"/>
      <c r="AA49" s="395"/>
      <c r="AB49" s="395"/>
      <c r="AC49" s="395"/>
      <c r="AD49" s="395"/>
      <c r="AE49" s="396"/>
    </row>
    <row r="50" spans="9:31" ht="17.25" thickBot="1">
      <c r="U50" s="391" t="s">
        <v>394</v>
      </c>
      <c r="V50" s="392"/>
      <c r="W50" s="393"/>
      <c r="X50" s="394" t="s">
        <v>272</v>
      </c>
      <c r="Y50" s="395"/>
      <c r="Z50" s="395"/>
      <c r="AA50" s="395"/>
      <c r="AB50" s="395"/>
      <c r="AC50" s="395"/>
      <c r="AD50" s="395"/>
      <c r="AE50" s="396"/>
    </row>
    <row r="51" spans="9:31" ht="17.25" thickBot="1"/>
    <row r="52" spans="9:31" ht="17.25" thickBot="1">
      <c r="I52" s="265" t="s">
        <v>426</v>
      </c>
      <c r="J52" s="266"/>
      <c r="K52" s="266"/>
      <c r="L52" s="266"/>
      <c r="M52" s="266"/>
      <c r="N52" s="266"/>
      <c r="O52" s="266"/>
      <c r="P52" s="266"/>
      <c r="Q52" s="266"/>
      <c r="R52" s="266"/>
      <c r="S52" s="267"/>
    </row>
    <row r="53" spans="9:31" ht="17.25" thickBot="1">
      <c r="I53" s="425" t="s">
        <v>273</v>
      </c>
      <c r="J53" s="426"/>
      <c r="K53" s="426"/>
      <c r="L53" s="426"/>
      <c r="M53" s="426"/>
      <c r="N53" s="426"/>
      <c r="O53" s="426"/>
      <c r="P53" s="426"/>
      <c r="Q53" s="426"/>
      <c r="R53" s="426"/>
      <c r="S53" s="427"/>
    </row>
  </sheetData>
  <mergeCells count="170">
    <mergeCell ref="H3:AM6"/>
    <mergeCell ref="H7:W7"/>
    <mergeCell ref="X7:AE7"/>
    <mergeCell ref="X23:AE23"/>
    <mergeCell ref="H24:O24"/>
    <mergeCell ref="P24:W24"/>
    <mergeCell ref="X24:AE24"/>
    <mergeCell ref="H21:AM22"/>
    <mergeCell ref="AF23:AM23"/>
    <mergeCell ref="AF24:AM24"/>
    <mergeCell ref="AF19:AM19"/>
    <mergeCell ref="AF20:AM20"/>
    <mergeCell ref="X19:AE19"/>
    <mergeCell ref="AL12:AM12"/>
    <mergeCell ref="AF12:AK12"/>
    <mergeCell ref="X12:AE12"/>
    <mergeCell ref="H12:N12"/>
    <mergeCell ref="P12:V12"/>
    <mergeCell ref="H13:V13"/>
    <mergeCell ref="AD16:AM16"/>
    <mergeCell ref="AD13:AM13"/>
    <mergeCell ref="AI14:AM14"/>
    <mergeCell ref="AA14:AE14"/>
    <mergeCell ref="E3:E6"/>
    <mergeCell ref="B3:B24"/>
    <mergeCell ref="C3:C24"/>
    <mergeCell ref="H9:AM9"/>
    <mergeCell ref="H10:AM10"/>
    <mergeCell ref="P11:W11"/>
    <mergeCell ref="X11:AE11"/>
    <mergeCell ref="AF11:AM11"/>
    <mergeCell ref="AF7:AM7"/>
    <mergeCell ref="H8:O8"/>
    <mergeCell ref="P8:W8"/>
    <mergeCell ref="X8:AE8"/>
    <mergeCell ref="AF8:AM8"/>
    <mergeCell ref="E19:E24"/>
    <mergeCell ref="H23:O23"/>
    <mergeCell ref="P23:W23"/>
    <mergeCell ref="L11:N11"/>
    <mergeCell ref="H20:O20"/>
    <mergeCell ref="P20:W20"/>
    <mergeCell ref="X20:AE20"/>
    <mergeCell ref="H19:O19"/>
    <mergeCell ref="P19:W19"/>
    <mergeCell ref="AK15:AL15"/>
    <mergeCell ref="H14:Z14"/>
    <mergeCell ref="I52:S52"/>
    <mergeCell ref="I53:S53"/>
    <mergeCell ref="T32:AA32"/>
    <mergeCell ref="I38:P38"/>
    <mergeCell ref="L39:S39"/>
    <mergeCell ref="T33:W33"/>
    <mergeCell ref="X33:AC33"/>
    <mergeCell ref="T34:W34"/>
    <mergeCell ref="K44:S44"/>
    <mergeCell ref="I45:J45"/>
    <mergeCell ref="K45:S45"/>
    <mergeCell ref="I43:J43"/>
    <mergeCell ref="I44:J44"/>
    <mergeCell ref="K43:S43"/>
    <mergeCell ref="I48:K48"/>
    <mergeCell ref="L48:S48"/>
    <mergeCell ref="I49:K49"/>
    <mergeCell ref="L49:S49"/>
    <mergeCell ref="I42:P42"/>
    <mergeCell ref="I47:P47"/>
    <mergeCell ref="U50:W50"/>
    <mergeCell ref="X50:AE50"/>
    <mergeCell ref="U47:AB47"/>
    <mergeCell ref="U48:W48"/>
    <mergeCell ref="H15:AE15"/>
    <mergeCell ref="AG15:AI15"/>
    <mergeCell ref="AF14:AH14"/>
    <mergeCell ref="U49:W49"/>
    <mergeCell ref="X49:AE49"/>
    <mergeCell ref="K29:P29"/>
    <mergeCell ref="R29:S29"/>
    <mergeCell ref="T29:Z29"/>
    <mergeCell ref="I30:J30"/>
    <mergeCell ref="X34:AC34"/>
    <mergeCell ref="I39:K39"/>
    <mergeCell ref="I40:K40"/>
    <mergeCell ref="L40:S40"/>
    <mergeCell ref="I34:L34"/>
    <mergeCell ref="M34:R34"/>
    <mergeCell ref="I35:L35"/>
    <mergeCell ref="M35:R35"/>
    <mergeCell ref="I36:L36"/>
    <mergeCell ref="M36:R36"/>
    <mergeCell ref="I32:P32"/>
    <mergeCell ref="I33:L33"/>
    <mergeCell ref="M33:R33"/>
    <mergeCell ref="H17:V17"/>
    <mergeCell ref="X17:AK17"/>
    <mergeCell ref="AL39:AM39"/>
    <mergeCell ref="AL40:AM40"/>
    <mergeCell ref="AL41:AM41"/>
    <mergeCell ref="AL42:AM42"/>
    <mergeCell ref="AL43:AM43"/>
    <mergeCell ref="X48:AE48"/>
    <mergeCell ref="AE28:AE46"/>
    <mergeCell ref="H16:V16"/>
    <mergeCell ref="H18:AM18"/>
    <mergeCell ref="K30:Q30"/>
    <mergeCell ref="I27:J27"/>
    <mergeCell ref="K27:P27"/>
    <mergeCell ref="T27:Z27"/>
    <mergeCell ref="I28:J28"/>
    <mergeCell ref="K28:P28"/>
    <mergeCell ref="T28:Z28"/>
    <mergeCell ref="I29:J29"/>
    <mergeCell ref="R27:S28"/>
    <mergeCell ref="I26:Z26"/>
    <mergeCell ref="AL30:AM30"/>
    <mergeCell ref="AL31:AM31"/>
    <mergeCell ref="AL32:AM32"/>
    <mergeCell ref="AL33:AM33"/>
    <mergeCell ref="AL34:AM34"/>
    <mergeCell ref="AL35:AM35"/>
    <mergeCell ref="AL36:AM36"/>
    <mergeCell ref="AL37:AM37"/>
    <mergeCell ref="AL38:AM38"/>
    <mergeCell ref="AL44:AM44"/>
    <mergeCell ref="AL45:AM45"/>
    <mergeCell ref="AL46:AM46"/>
    <mergeCell ref="AL26:AM27"/>
    <mergeCell ref="AE26:AE27"/>
    <mergeCell ref="AF26:AH27"/>
    <mergeCell ref="AF28:AH28"/>
    <mergeCell ref="AF29:AH29"/>
    <mergeCell ref="AF30:AH30"/>
    <mergeCell ref="AF31:AH31"/>
    <mergeCell ref="AF32:AH32"/>
    <mergeCell ref="AF33:AH33"/>
    <mergeCell ref="AF34:AH34"/>
    <mergeCell ref="AF35:AH35"/>
    <mergeCell ref="AF36:AH36"/>
    <mergeCell ref="AF37:AH37"/>
    <mergeCell ref="AF38:AH38"/>
    <mergeCell ref="AF40:AH40"/>
    <mergeCell ref="AF39:AH39"/>
    <mergeCell ref="AF41:AH41"/>
    <mergeCell ref="AF42:AH42"/>
    <mergeCell ref="AF43:AH43"/>
    <mergeCell ref="AL28:AM28"/>
    <mergeCell ref="AL29:AM29"/>
    <mergeCell ref="AF44:AH44"/>
    <mergeCell ref="AF45:AH45"/>
    <mergeCell ref="AF46:AH46"/>
    <mergeCell ref="AI26:AK27"/>
    <mergeCell ref="AI28:AK28"/>
    <mergeCell ref="AI29:AK29"/>
    <mergeCell ref="AI30:AK30"/>
    <mergeCell ref="AI31:AK31"/>
    <mergeCell ref="AI32:AK32"/>
    <mergeCell ref="AI34:AK34"/>
    <mergeCell ref="AI33:AK33"/>
    <mergeCell ref="AI35:AK35"/>
    <mergeCell ref="AI36:AK36"/>
    <mergeCell ref="AI37:AK37"/>
    <mergeCell ref="AI38:AK38"/>
    <mergeCell ref="AI39:AK39"/>
    <mergeCell ref="AI40:AK40"/>
    <mergeCell ref="AI41:AK41"/>
    <mergeCell ref="AI42:AK42"/>
    <mergeCell ref="AI43:AK43"/>
    <mergeCell ref="AI44:AK44"/>
    <mergeCell ref="AI45:AK45"/>
    <mergeCell ref="AI46:AK46"/>
  </mergeCells>
  <phoneticPr fontId="6" type="noConversion"/>
  <pageMargins left="0.25" right="0.25" top="0.75" bottom="0.75" header="0.3" footer="0.3"/>
  <pageSetup paperSize="9" scale="5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296B-B615-4F34-A34B-48D990475E4E}">
  <sheetPr>
    <pageSetUpPr fitToPage="1"/>
  </sheetPr>
  <dimension ref="A1:AM45"/>
  <sheetViews>
    <sheetView zoomScale="92" zoomScaleNormal="92" workbookViewId="0">
      <selection activeCell="Y45" sqref="Y45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8" t="s">
        <v>436</v>
      </c>
      <c r="C3" s="172" t="s">
        <v>437</v>
      </c>
      <c r="D3" s="45" t="str">
        <f>DEC2HEX(A3*4, 3)</f>
        <v>000</v>
      </c>
      <c r="E3" s="175" t="s">
        <v>0</v>
      </c>
      <c r="F3" s="45" t="s">
        <v>6</v>
      </c>
      <c r="G3" s="69"/>
      <c r="H3" s="222" t="s">
        <v>438</v>
      </c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</row>
    <row r="4" spans="1:39">
      <c r="A4" s="12">
        <v>1</v>
      </c>
      <c r="B4" s="159"/>
      <c r="C4" s="173"/>
      <c r="D4" s="2" t="str">
        <f>DEC2HEX(A4*4, 3)</f>
        <v>004</v>
      </c>
      <c r="E4" s="176"/>
      <c r="F4" s="2" t="s">
        <v>6</v>
      </c>
      <c r="G4" s="13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</row>
    <row r="5" spans="1:39">
      <c r="A5" s="12">
        <v>2</v>
      </c>
      <c r="B5" s="159"/>
      <c r="C5" s="173"/>
      <c r="D5" s="2" t="str">
        <f t="shared" ref="D5:D20" si="1">DEC2HEX(A5*4, 3)</f>
        <v>008</v>
      </c>
      <c r="E5" s="176"/>
      <c r="F5" s="2" t="s">
        <v>6</v>
      </c>
      <c r="G5" s="13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</row>
    <row r="6" spans="1:39">
      <c r="A6" s="12">
        <v>3</v>
      </c>
      <c r="B6" s="159"/>
      <c r="C6" s="173"/>
      <c r="D6" s="2" t="str">
        <f t="shared" si="1"/>
        <v>00C</v>
      </c>
      <c r="E6" s="176"/>
      <c r="F6" s="2" t="s">
        <v>6</v>
      </c>
      <c r="G6" s="13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</row>
    <row r="7" spans="1:39">
      <c r="A7" s="12">
        <v>4</v>
      </c>
      <c r="B7" s="159"/>
      <c r="C7" s="173"/>
      <c r="D7" s="2" t="str">
        <f t="shared" si="1"/>
        <v>010</v>
      </c>
      <c r="E7" s="14" t="s">
        <v>106</v>
      </c>
      <c r="F7" s="2" t="s">
        <v>6</v>
      </c>
      <c r="G7" s="13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1"/>
    </row>
    <row r="8" spans="1:39">
      <c r="A8" s="12">
        <v>5</v>
      </c>
      <c r="B8" s="159"/>
      <c r="C8" s="173"/>
      <c r="D8" s="2" t="str">
        <f t="shared" si="1"/>
        <v>014</v>
      </c>
      <c r="E8" s="14" t="s">
        <v>107</v>
      </c>
      <c r="F8" s="2" t="s">
        <v>6</v>
      </c>
      <c r="G8" s="13"/>
      <c r="H8" s="178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1"/>
    </row>
    <row r="9" spans="1:39">
      <c r="A9" s="12">
        <v>6</v>
      </c>
      <c r="B9" s="159"/>
      <c r="C9" s="173"/>
      <c r="D9" s="2" t="str">
        <f t="shared" si="1"/>
        <v>018</v>
      </c>
      <c r="E9" s="51" t="s">
        <v>105</v>
      </c>
      <c r="F9" s="2" t="s">
        <v>4</v>
      </c>
      <c r="G9" s="13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</row>
    <row r="10" spans="1:39">
      <c r="A10" s="12">
        <v>7</v>
      </c>
      <c r="B10" s="159"/>
      <c r="C10" s="173"/>
      <c r="D10" s="2" t="str">
        <f t="shared" si="1"/>
        <v>01C</v>
      </c>
      <c r="E10" s="51" t="s">
        <v>105</v>
      </c>
      <c r="F10" s="53" t="s">
        <v>4</v>
      </c>
      <c r="G10" s="13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</row>
    <row r="11" spans="1:39">
      <c r="A11" s="12">
        <v>8</v>
      </c>
      <c r="B11" s="159"/>
      <c r="C11" s="173"/>
      <c r="D11" s="2" t="str">
        <f t="shared" si="1"/>
        <v>020</v>
      </c>
      <c r="E11" s="130" t="s">
        <v>226</v>
      </c>
      <c r="F11" s="53" t="s">
        <v>4</v>
      </c>
      <c r="H11" s="436" t="s">
        <v>439</v>
      </c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316"/>
    </row>
    <row r="12" spans="1:39">
      <c r="A12" s="12">
        <v>9</v>
      </c>
      <c r="B12" s="159"/>
      <c r="C12" s="173"/>
      <c r="D12" s="2" t="str">
        <f t="shared" si="1"/>
        <v>024</v>
      </c>
      <c r="E12" s="130" t="s">
        <v>440</v>
      </c>
      <c r="F12" s="131" t="s">
        <v>351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66" t="s">
        <v>66</v>
      </c>
      <c r="Y12" s="66" t="s">
        <v>67</v>
      </c>
      <c r="Z12" s="307"/>
      <c r="AA12" s="197"/>
      <c r="AB12" s="197"/>
      <c r="AC12" s="197"/>
      <c r="AD12" s="225"/>
      <c r="AE12" s="66" t="s">
        <v>441</v>
      </c>
      <c r="AF12" s="428" t="s">
        <v>442</v>
      </c>
      <c r="AG12" s="161"/>
      <c r="AH12" s="161"/>
      <c r="AI12" s="161"/>
      <c r="AJ12" s="161"/>
      <c r="AK12" s="161"/>
      <c r="AL12" s="161"/>
      <c r="AM12" s="161"/>
    </row>
    <row r="13" spans="1:39">
      <c r="A13" s="12">
        <v>10</v>
      </c>
      <c r="B13" s="159"/>
      <c r="C13" s="173"/>
      <c r="D13" s="2" t="str">
        <f t="shared" si="1"/>
        <v>028</v>
      </c>
      <c r="E13" s="51" t="s">
        <v>1018</v>
      </c>
      <c r="F13" s="53" t="s">
        <v>4</v>
      </c>
      <c r="H13" s="30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225"/>
      <c r="AM13" s="55" t="s">
        <v>1019</v>
      </c>
    </row>
    <row r="14" spans="1:39">
      <c r="A14" s="12">
        <v>11</v>
      </c>
      <c r="B14" s="159"/>
      <c r="C14" s="173"/>
      <c r="D14" s="2" t="str">
        <f t="shared" si="1"/>
        <v>02C</v>
      </c>
      <c r="E14" s="51"/>
      <c r="F14" s="53" t="s">
        <v>4</v>
      </c>
      <c r="H14" s="30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225"/>
    </row>
    <row r="15" spans="1:39">
      <c r="A15" s="12">
        <v>12</v>
      </c>
      <c r="B15" s="159"/>
      <c r="C15" s="173"/>
      <c r="D15" s="2" t="str">
        <f t="shared" si="1"/>
        <v>030</v>
      </c>
      <c r="E15" s="51" t="s">
        <v>90</v>
      </c>
      <c r="F15" s="53" t="s">
        <v>6</v>
      </c>
      <c r="H15" s="30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225"/>
      <c r="AF15" s="55" t="s">
        <v>43</v>
      </c>
      <c r="AG15" s="307"/>
      <c r="AH15" s="197"/>
      <c r="AI15" s="225"/>
      <c r="AJ15" s="55" t="s">
        <v>83</v>
      </c>
      <c r="AK15" s="307"/>
      <c r="AL15" s="225"/>
      <c r="AM15" s="55" t="s">
        <v>60</v>
      </c>
    </row>
    <row r="16" spans="1:39">
      <c r="A16" s="12">
        <v>13</v>
      </c>
      <c r="B16" s="159"/>
      <c r="C16" s="173"/>
      <c r="D16" s="2" t="str">
        <f t="shared" si="1"/>
        <v>034</v>
      </c>
      <c r="E16" s="51"/>
      <c r="F16" s="53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</row>
    <row r="17" spans="1:39">
      <c r="A17" s="12">
        <v>14</v>
      </c>
      <c r="B17" s="159"/>
      <c r="C17" s="173"/>
      <c r="D17" s="2" t="str">
        <f t="shared" si="1"/>
        <v>038</v>
      </c>
      <c r="E17" s="51"/>
      <c r="F17" s="53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</row>
    <row r="18" spans="1:39">
      <c r="A18" s="12">
        <v>15</v>
      </c>
      <c r="B18" s="159"/>
      <c r="C18" s="173"/>
      <c r="D18" s="2" t="str">
        <f t="shared" si="1"/>
        <v>03C</v>
      </c>
      <c r="E18" s="51"/>
      <c r="F18" s="53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</row>
    <row r="19" spans="1:39" ht="16.5" customHeight="1">
      <c r="A19" s="12">
        <v>16</v>
      </c>
      <c r="B19" s="159"/>
      <c r="C19" s="173"/>
      <c r="D19" s="2" t="str">
        <f t="shared" si="1"/>
        <v>040</v>
      </c>
      <c r="E19" s="189" t="s">
        <v>154</v>
      </c>
      <c r="F19" s="2" t="s">
        <v>4</v>
      </c>
      <c r="H19" s="161" t="s">
        <v>82</v>
      </c>
      <c r="I19" s="161"/>
      <c r="J19" s="161"/>
      <c r="K19" s="161"/>
      <c r="L19" s="161"/>
      <c r="M19" s="161"/>
      <c r="N19" s="161"/>
      <c r="O19" s="161"/>
      <c r="P19" s="161" t="s">
        <v>81</v>
      </c>
      <c r="Q19" s="161"/>
      <c r="R19" s="161"/>
      <c r="S19" s="161"/>
      <c r="T19" s="161"/>
      <c r="U19" s="161"/>
      <c r="V19" s="161"/>
      <c r="W19" s="161"/>
      <c r="X19" s="161" t="s">
        <v>80</v>
      </c>
      <c r="Y19" s="161"/>
      <c r="Z19" s="161"/>
      <c r="AA19" s="161"/>
      <c r="AB19" s="161"/>
      <c r="AC19" s="161"/>
      <c r="AD19" s="161"/>
      <c r="AE19" s="161"/>
      <c r="AF19" s="161" t="s">
        <v>79</v>
      </c>
      <c r="AG19" s="161"/>
      <c r="AH19" s="161"/>
      <c r="AI19" s="161"/>
      <c r="AJ19" s="161"/>
      <c r="AK19" s="161"/>
      <c r="AL19" s="161"/>
      <c r="AM19" s="161"/>
    </row>
    <row r="20" spans="1:39">
      <c r="A20" s="12">
        <v>17</v>
      </c>
      <c r="B20" s="159"/>
      <c r="C20" s="173"/>
      <c r="D20" s="2" t="str">
        <f t="shared" si="1"/>
        <v>044</v>
      </c>
      <c r="E20" s="189"/>
      <c r="F20" s="2" t="s">
        <v>4</v>
      </c>
      <c r="H20" s="161" t="s">
        <v>153</v>
      </c>
      <c r="I20" s="161"/>
      <c r="J20" s="161"/>
      <c r="K20" s="161"/>
      <c r="L20" s="161"/>
      <c r="M20" s="161"/>
      <c r="N20" s="161"/>
      <c r="O20" s="161"/>
      <c r="P20" s="161" t="s">
        <v>152</v>
      </c>
      <c r="Q20" s="161"/>
      <c r="R20" s="161"/>
      <c r="S20" s="161"/>
      <c r="T20" s="161"/>
      <c r="U20" s="161"/>
      <c r="V20" s="161"/>
      <c r="W20" s="161"/>
      <c r="X20" s="161" t="s">
        <v>151</v>
      </c>
      <c r="Y20" s="161"/>
      <c r="Z20" s="161"/>
      <c r="AA20" s="161"/>
      <c r="AB20" s="161"/>
      <c r="AC20" s="161"/>
      <c r="AD20" s="161"/>
      <c r="AE20" s="161"/>
      <c r="AF20" s="161" t="s">
        <v>150</v>
      </c>
      <c r="AG20" s="161"/>
      <c r="AH20" s="161"/>
      <c r="AI20" s="161"/>
      <c r="AJ20" s="161"/>
      <c r="AK20" s="161"/>
      <c r="AL20" s="161"/>
      <c r="AM20" s="161"/>
    </row>
    <row r="21" spans="1:39">
      <c r="A21" s="12"/>
      <c r="B21" s="159"/>
      <c r="C21" s="173"/>
      <c r="D21" s="21"/>
      <c r="E21" s="189"/>
      <c r="F21" s="21"/>
      <c r="H21" s="430"/>
      <c r="I21" s="430"/>
      <c r="J21" s="430"/>
      <c r="K21" s="430"/>
      <c r="L21" s="430"/>
      <c r="M21" s="430"/>
      <c r="N21" s="430"/>
      <c r="O21" s="430"/>
      <c r="P21" s="430"/>
      <c r="Q21" s="430"/>
      <c r="R21" s="430"/>
      <c r="S21" s="430"/>
      <c r="T21" s="430"/>
      <c r="U21" s="430"/>
      <c r="V21" s="430"/>
      <c r="W21" s="430"/>
      <c r="X21" s="430"/>
      <c r="Y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  <c r="AJ21" s="430"/>
      <c r="AK21" s="430"/>
      <c r="AL21" s="430"/>
      <c r="AM21" s="430"/>
    </row>
    <row r="22" spans="1:39">
      <c r="A22" s="12"/>
      <c r="B22" s="159"/>
      <c r="C22" s="173"/>
      <c r="D22" s="21"/>
      <c r="E22" s="189"/>
      <c r="F22" s="21"/>
      <c r="H22" s="430"/>
      <c r="I22" s="430"/>
      <c r="J22" s="430"/>
      <c r="K22" s="430"/>
      <c r="L22" s="430"/>
      <c r="M22" s="430"/>
      <c r="N22" s="430"/>
      <c r="O22" s="430"/>
      <c r="P22" s="430"/>
      <c r="Q22" s="430"/>
      <c r="R22" s="430"/>
      <c r="S22" s="430"/>
      <c r="T22" s="430"/>
      <c r="U22" s="430"/>
      <c r="V22" s="430"/>
      <c r="W22" s="430"/>
      <c r="X22" s="430"/>
      <c r="Y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  <c r="AJ22" s="430"/>
      <c r="AK22" s="430"/>
      <c r="AL22" s="430"/>
      <c r="AM22" s="430"/>
    </row>
    <row r="23" spans="1:39">
      <c r="A23" s="12">
        <v>270</v>
      </c>
      <c r="B23" s="159"/>
      <c r="C23" s="173"/>
      <c r="D23" s="2" t="str">
        <f>DEC2HEX(A23*4, 3)</f>
        <v>438</v>
      </c>
      <c r="E23" s="189"/>
      <c r="F23" s="2" t="s">
        <v>4</v>
      </c>
      <c r="H23" s="161" t="s">
        <v>159</v>
      </c>
      <c r="I23" s="161"/>
      <c r="J23" s="161"/>
      <c r="K23" s="161"/>
      <c r="L23" s="161"/>
      <c r="M23" s="161"/>
      <c r="N23" s="161"/>
      <c r="O23" s="161"/>
      <c r="P23" s="161" t="s">
        <v>160</v>
      </c>
      <c r="Q23" s="161"/>
      <c r="R23" s="161"/>
      <c r="S23" s="161"/>
      <c r="T23" s="161"/>
      <c r="U23" s="161"/>
      <c r="V23" s="161"/>
      <c r="W23" s="161"/>
      <c r="X23" s="161" t="s">
        <v>161</v>
      </c>
      <c r="Y23" s="161"/>
      <c r="Z23" s="161"/>
      <c r="AA23" s="161"/>
      <c r="AB23" s="161"/>
      <c r="AC23" s="161"/>
      <c r="AD23" s="161"/>
      <c r="AE23" s="161"/>
      <c r="AF23" s="161" t="s">
        <v>162</v>
      </c>
      <c r="AG23" s="161"/>
      <c r="AH23" s="161"/>
      <c r="AI23" s="161"/>
      <c r="AJ23" s="161"/>
      <c r="AK23" s="161"/>
      <c r="AL23" s="161"/>
      <c r="AM23" s="161"/>
    </row>
    <row r="24" spans="1:39" ht="17.25" thickBot="1">
      <c r="A24" s="12">
        <v>271</v>
      </c>
      <c r="B24" s="160"/>
      <c r="C24" s="174"/>
      <c r="D24" s="3" t="str">
        <f>DEC2HEX(A24*4, 3)</f>
        <v>43C</v>
      </c>
      <c r="E24" s="429"/>
      <c r="F24" s="3" t="s">
        <v>4</v>
      </c>
      <c r="H24" s="161" t="s">
        <v>155</v>
      </c>
      <c r="I24" s="161"/>
      <c r="J24" s="161"/>
      <c r="K24" s="161"/>
      <c r="L24" s="161"/>
      <c r="M24" s="161"/>
      <c r="N24" s="161"/>
      <c r="O24" s="161"/>
      <c r="P24" s="161" t="s">
        <v>156</v>
      </c>
      <c r="Q24" s="161"/>
      <c r="R24" s="161"/>
      <c r="S24" s="161"/>
      <c r="T24" s="161"/>
      <c r="U24" s="161"/>
      <c r="V24" s="161"/>
      <c r="W24" s="161"/>
      <c r="X24" s="161" t="s">
        <v>157</v>
      </c>
      <c r="Y24" s="161"/>
      <c r="Z24" s="161"/>
      <c r="AA24" s="161"/>
      <c r="AB24" s="161"/>
      <c r="AC24" s="161"/>
      <c r="AD24" s="161"/>
      <c r="AE24" s="161"/>
      <c r="AF24" s="161" t="s">
        <v>158</v>
      </c>
      <c r="AG24" s="161"/>
      <c r="AH24" s="161"/>
      <c r="AI24" s="161"/>
      <c r="AJ24" s="161"/>
      <c r="AK24" s="161"/>
      <c r="AL24" s="161"/>
      <c r="AM24" s="161"/>
    </row>
    <row r="25" spans="1:39" ht="17.25" thickBot="1"/>
    <row r="26" spans="1:39" ht="17.25" thickBot="1">
      <c r="I26" s="226" t="s">
        <v>443</v>
      </c>
      <c r="J26" s="227"/>
      <c r="K26" s="227"/>
      <c r="L26" s="227"/>
      <c r="M26" s="227"/>
      <c r="N26" s="227"/>
      <c r="O26" s="227"/>
      <c r="P26" s="228"/>
    </row>
    <row r="27" spans="1:39" ht="17.25" thickBot="1">
      <c r="I27" s="366" t="s">
        <v>473</v>
      </c>
      <c r="J27" s="317"/>
      <c r="K27" s="367" t="s">
        <v>444</v>
      </c>
      <c r="L27" s="318"/>
      <c r="M27" s="318"/>
      <c r="N27" s="318"/>
      <c r="O27" s="318"/>
      <c r="P27" s="319"/>
    </row>
    <row r="28" spans="1:39" ht="17.25" thickBot="1"/>
    <row r="29" spans="1:39" ht="17.25" thickBot="1">
      <c r="I29" s="292" t="s">
        <v>445</v>
      </c>
      <c r="J29" s="235"/>
      <c r="K29" s="235"/>
      <c r="L29" s="235"/>
      <c r="M29" s="235"/>
      <c r="N29" s="235"/>
      <c r="O29" s="235"/>
      <c r="P29" s="236"/>
    </row>
    <row r="30" spans="1:39">
      <c r="I30" s="240" t="s">
        <v>446</v>
      </c>
      <c r="J30" s="241"/>
      <c r="K30" s="244" t="s">
        <v>447</v>
      </c>
      <c r="L30" s="245"/>
      <c r="M30" s="245"/>
      <c r="N30" s="245"/>
      <c r="O30" s="245"/>
      <c r="P30" s="246"/>
    </row>
    <row r="31" spans="1:39">
      <c r="I31" s="305" t="s">
        <v>448</v>
      </c>
      <c r="J31" s="249"/>
      <c r="K31" s="264" t="s">
        <v>449</v>
      </c>
      <c r="L31" s="250"/>
      <c r="M31" s="250"/>
      <c r="N31" s="250"/>
      <c r="O31" s="250"/>
      <c r="P31" s="251"/>
    </row>
    <row r="32" spans="1:39">
      <c r="I32" s="305" t="s">
        <v>450</v>
      </c>
      <c r="J32" s="249"/>
      <c r="K32" s="264" t="s">
        <v>451</v>
      </c>
      <c r="L32" s="250"/>
      <c r="M32" s="250"/>
      <c r="N32" s="250"/>
      <c r="O32" s="250"/>
      <c r="P32" s="251"/>
    </row>
    <row r="33" spans="1:19">
      <c r="I33" s="305" t="s">
        <v>452</v>
      </c>
      <c r="J33" s="357"/>
      <c r="K33" s="264" t="s">
        <v>453</v>
      </c>
      <c r="L33" s="264"/>
      <c r="M33" s="264"/>
      <c r="N33" s="264"/>
      <c r="O33" s="264"/>
      <c r="P33" s="431"/>
    </row>
    <row r="34" spans="1:19" ht="17.25" thickBot="1">
      <c r="I34" s="270"/>
      <c r="J34" s="271"/>
      <c r="K34" s="314" t="s">
        <v>269</v>
      </c>
      <c r="L34" s="314"/>
      <c r="M34" s="314"/>
      <c r="N34" s="314"/>
      <c r="O34" s="314"/>
      <c r="P34" s="360"/>
      <c r="R34" s="98"/>
    </row>
    <row r="35" spans="1:19" ht="17.25" thickBot="1">
      <c r="K35" s="77"/>
      <c r="L35" s="77"/>
      <c r="M35" s="77"/>
      <c r="N35" s="77"/>
      <c r="O35" s="77"/>
      <c r="P35" s="77"/>
      <c r="R35" s="98"/>
    </row>
    <row r="36" spans="1:19" ht="17.25" thickBot="1">
      <c r="I36" s="265" t="s">
        <v>1020</v>
      </c>
      <c r="J36" s="227"/>
      <c r="K36" s="227"/>
      <c r="L36" s="227"/>
      <c r="M36" s="227"/>
      <c r="N36" s="227"/>
      <c r="O36" s="227"/>
      <c r="P36" s="228"/>
      <c r="R36" s="98"/>
    </row>
    <row r="37" spans="1:19" ht="17.25" thickBot="1">
      <c r="I37" s="366" t="s">
        <v>1021</v>
      </c>
      <c r="J37" s="317"/>
      <c r="K37" s="367" t="s">
        <v>1022</v>
      </c>
      <c r="L37" s="318"/>
      <c r="M37" s="318"/>
      <c r="N37" s="318"/>
      <c r="O37" s="318"/>
      <c r="P37" s="319"/>
      <c r="R37" s="98"/>
    </row>
    <row r="38" spans="1:19" ht="17.25" thickBot="1"/>
    <row r="39" spans="1:19" ht="17.25" thickBot="1">
      <c r="A39" s="65"/>
      <c r="I39" s="265" t="s">
        <v>454</v>
      </c>
      <c r="J39" s="266"/>
      <c r="K39" s="266"/>
      <c r="L39" s="266"/>
      <c r="M39" s="266"/>
      <c r="N39" s="266"/>
      <c r="O39" s="266"/>
      <c r="P39" s="266"/>
      <c r="Q39" s="266"/>
      <c r="R39" s="266"/>
      <c r="S39" s="267"/>
    </row>
    <row r="40" spans="1:19">
      <c r="I40" s="432" t="s">
        <v>165</v>
      </c>
      <c r="J40" s="433"/>
      <c r="K40" s="354" t="s">
        <v>277</v>
      </c>
      <c r="L40" s="355"/>
      <c r="M40" s="355"/>
      <c r="N40" s="355"/>
      <c r="O40" s="355"/>
      <c r="P40" s="355"/>
      <c r="Q40" s="355"/>
      <c r="R40" s="355"/>
      <c r="S40" s="356"/>
    </row>
    <row r="41" spans="1:19">
      <c r="A41" s="65"/>
      <c r="I41" s="434" t="s">
        <v>274</v>
      </c>
      <c r="J41" s="435"/>
      <c r="K41" s="250" t="s">
        <v>455</v>
      </c>
      <c r="L41" s="250"/>
      <c r="M41" s="250"/>
      <c r="N41" s="250"/>
      <c r="O41" s="250"/>
      <c r="P41" s="250"/>
      <c r="Q41" s="250"/>
      <c r="R41" s="250"/>
      <c r="S41" s="251"/>
    </row>
    <row r="42" spans="1:19" ht="17.25" thickBot="1">
      <c r="I42" s="258" t="s">
        <v>65</v>
      </c>
      <c r="J42" s="259"/>
      <c r="K42" s="238" t="s">
        <v>238</v>
      </c>
      <c r="L42" s="238"/>
      <c r="M42" s="238"/>
      <c r="N42" s="238"/>
      <c r="O42" s="238"/>
      <c r="P42" s="238"/>
      <c r="Q42" s="238"/>
      <c r="R42" s="238"/>
      <c r="S42" s="239"/>
    </row>
    <row r="43" spans="1:19" ht="17.25" thickBot="1"/>
    <row r="44" spans="1:19" ht="17.25" thickBot="1">
      <c r="I44" s="265" t="s">
        <v>456</v>
      </c>
      <c r="J44" s="266"/>
      <c r="K44" s="266"/>
      <c r="L44" s="266"/>
      <c r="M44" s="266"/>
      <c r="N44" s="266"/>
      <c r="O44" s="266"/>
      <c r="P44" s="266"/>
      <c r="Q44" s="266"/>
      <c r="R44" s="266"/>
      <c r="S44" s="267"/>
    </row>
    <row r="45" spans="1:19" ht="17.25" thickBot="1">
      <c r="I45" s="425" t="s">
        <v>273</v>
      </c>
      <c r="J45" s="426"/>
      <c r="K45" s="426"/>
      <c r="L45" s="426"/>
      <c r="M45" s="426"/>
      <c r="N45" s="426"/>
      <c r="O45" s="426"/>
      <c r="P45" s="426"/>
      <c r="Q45" s="426"/>
      <c r="R45" s="426"/>
      <c r="S45" s="427"/>
    </row>
  </sheetData>
  <mergeCells count="68"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  <mergeCell ref="H16:AM16"/>
    <mergeCell ref="AF8:AM8"/>
    <mergeCell ref="H9:AM9"/>
    <mergeCell ref="H10:AM10"/>
    <mergeCell ref="H11:AM11"/>
    <mergeCell ref="H12:W12"/>
    <mergeCell ref="Z12:AD12"/>
    <mergeCell ref="AF12:AM12"/>
    <mergeCell ref="H14:AM14"/>
    <mergeCell ref="H15:AE15"/>
    <mergeCell ref="AG15:AI15"/>
    <mergeCell ref="AK15:AL15"/>
    <mergeCell ref="H13:AL13"/>
    <mergeCell ref="H17:AM17"/>
    <mergeCell ref="H18:AM18"/>
    <mergeCell ref="E19:E24"/>
    <mergeCell ref="H19:O19"/>
    <mergeCell ref="P19:W19"/>
    <mergeCell ref="X19:AE19"/>
    <mergeCell ref="AF19:AM19"/>
    <mergeCell ref="H20:O20"/>
    <mergeCell ref="P20:W20"/>
    <mergeCell ref="X20:AE20"/>
    <mergeCell ref="AF24:AM24"/>
    <mergeCell ref="AF20:AM20"/>
    <mergeCell ref="H21:AM22"/>
    <mergeCell ref="H23:O23"/>
    <mergeCell ref="P23:W23"/>
    <mergeCell ref="X23:AE23"/>
    <mergeCell ref="AF23:AM23"/>
    <mergeCell ref="I32:J32"/>
    <mergeCell ref="K32:P32"/>
    <mergeCell ref="H24:O24"/>
    <mergeCell ref="P24:W24"/>
    <mergeCell ref="X24:AE24"/>
    <mergeCell ref="I29:P29"/>
    <mergeCell ref="I30:J30"/>
    <mergeCell ref="K30:P30"/>
    <mergeCell ref="I31:J31"/>
    <mergeCell ref="K31:P31"/>
    <mergeCell ref="I26:P26"/>
    <mergeCell ref="I27:J27"/>
    <mergeCell ref="K27:P27"/>
    <mergeCell ref="I45:S45"/>
    <mergeCell ref="I33:J34"/>
    <mergeCell ref="K33:P33"/>
    <mergeCell ref="K34:P34"/>
    <mergeCell ref="I39:S39"/>
    <mergeCell ref="I40:J40"/>
    <mergeCell ref="K40:S40"/>
    <mergeCell ref="I41:J41"/>
    <mergeCell ref="K41:S41"/>
    <mergeCell ref="I42:J42"/>
    <mergeCell ref="K42:S42"/>
    <mergeCell ref="I44:S44"/>
    <mergeCell ref="I36:P36"/>
    <mergeCell ref="I37:J37"/>
    <mergeCell ref="K37:P37"/>
  </mergeCells>
  <phoneticPr fontId="24" type="noConversion"/>
  <pageMargins left="0.25" right="0.25" top="0.75" bottom="0.75" header="0.3" footer="0.3"/>
  <pageSetup paperSize="9" scale="5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7EA6-14C1-4D01-904F-D9C2CC17A6E5}">
  <sheetPr>
    <pageSetUpPr fitToPage="1"/>
  </sheetPr>
  <dimension ref="A1:G265"/>
  <sheetViews>
    <sheetView workbookViewId="0">
      <selection activeCell="L36" sqref="L36"/>
    </sheetView>
  </sheetViews>
  <sheetFormatPr defaultRowHeight="16.5"/>
  <cols>
    <col min="1" max="1" width="20.5" bestFit="1" customWidth="1"/>
    <col min="4" max="4" width="20.5" bestFit="1" customWidth="1"/>
    <col min="6" max="6" width="11.5" bestFit="1" customWidth="1"/>
    <col min="7" max="7" width="13.75" customWidth="1"/>
  </cols>
  <sheetData>
    <row r="1" spans="1:7">
      <c r="A1" s="327">
        <v>230620</v>
      </c>
      <c r="B1" s="327"/>
      <c r="D1" s="327">
        <v>230808</v>
      </c>
      <c r="E1" s="327"/>
      <c r="F1" s="89" t="s">
        <v>1016</v>
      </c>
      <c r="G1" s="89" t="s">
        <v>1017</v>
      </c>
    </row>
    <row r="2" spans="1:7">
      <c r="A2" t="s">
        <v>717</v>
      </c>
      <c r="B2" t="s">
        <v>718</v>
      </c>
      <c r="D2" t="s">
        <v>717</v>
      </c>
      <c r="E2" t="s">
        <v>718</v>
      </c>
      <c r="F2">
        <f>IF(A2=D2, 0, 1)</f>
        <v>0</v>
      </c>
      <c r="G2">
        <f>IF(B2=E2, 0, 1)</f>
        <v>0</v>
      </c>
    </row>
    <row r="3" spans="1:7">
      <c r="A3" t="s">
        <v>811</v>
      </c>
      <c r="B3" t="s">
        <v>812</v>
      </c>
      <c r="D3" t="s">
        <v>811</v>
      </c>
      <c r="E3" t="s">
        <v>812</v>
      </c>
      <c r="F3">
        <f t="shared" ref="F3:F66" si="0">IF(A3=D3, 0, 1)</f>
        <v>0</v>
      </c>
      <c r="G3">
        <f t="shared" ref="G3:G66" si="1">IF(B3=E3, 0, 1)</f>
        <v>0</v>
      </c>
    </row>
    <row r="4" spans="1:7">
      <c r="A4" t="s">
        <v>649</v>
      </c>
      <c r="B4" t="s">
        <v>650</v>
      </c>
      <c r="D4" t="s">
        <v>649</v>
      </c>
      <c r="E4" t="s">
        <v>650</v>
      </c>
      <c r="F4">
        <f t="shared" si="0"/>
        <v>0</v>
      </c>
      <c r="G4">
        <f t="shared" si="1"/>
        <v>0</v>
      </c>
    </row>
    <row r="5" spans="1:7">
      <c r="A5" t="s">
        <v>651</v>
      </c>
      <c r="B5" t="s">
        <v>652</v>
      </c>
      <c r="D5" t="s">
        <v>651</v>
      </c>
      <c r="E5" t="s">
        <v>652</v>
      </c>
      <c r="F5">
        <f t="shared" si="0"/>
        <v>0</v>
      </c>
      <c r="G5">
        <f t="shared" si="1"/>
        <v>0</v>
      </c>
    </row>
    <row r="6" spans="1:7">
      <c r="A6" t="s">
        <v>653</v>
      </c>
      <c r="B6" t="s">
        <v>654</v>
      </c>
      <c r="D6" t="s">
        <v>653</v>
      </c>
      <c r="E6" t="s">
        <v>654</v>
      </c>
      <c r="F6">
        <f t="shared" si="0"/>
        <v>0</v>
      </c>
      <c r="G6">
        <f t="shared" si="1"/>
        <v>0</v>
      </c>
    </row>
    <row r="7" spans="1:7">
      <c r="A7" t="s">
        <v>655</v>
      </c>
      <c r="B7" t="s">
        <v>656</v>
      </c>
      <c r="D7" t="s">
        <v>655</v>
      </c>
      <c r="E7" t="s">
        <v>656</v>
      </c>
      <c r="F7">
        <f t="shared" si="0"/>
        <v>0</v>
      </c>
      <c r="G7">
        <f t="shared" si="1"/>
        <v>0</v>
      </c>
    </row>
    <row r="8" spans="1:7">
      <c r="A8" t="s">
        <v>825</v>
      </c>
      <c r="B8" t="s">
        <v>826</v>
      </c>
      <c r="D8" t="s">
        <v>825</v>
      </c>
      <c r="E8" t="s">
        <v>826</v>
      </c>
      <c r="F8">
        <f t="shared" si="0"/>
        <v>0</v>
      </c>
      <c r="G8">
        <f t="shared" si="1"/>
        <v>0</v>
      </c>
    </row>
    <row r="9" spans="1:7">
      <c r="A9" t="s">
        <v>821</v>
      </c>
      <c r="B9" t="s">
        <v>822</v>
      </c>
      <c r="D9" t="s">
        <v>821</v>
      </c>
      <c r="E9" t="s">
        <v>822</v>
      </c>
      <c r="F9">
        <f t="shared" si="0"/>
        <v>0</v>
      </c>
      <c r="G9">
        <f t="shared" si="1"/>
        <v>0</v>
      </c>
    </row>
    <row r="10" spans="1:7">
      <c r="A10" t="s">
        <v>823</v>
      </c>
      <c r="B10" t="s">
        <v>824</v>
      </c>
      <c r="D10" t="s">
        <v>823</v>
      </c>
      <c r="E10" t="s">
        <v>824</v>
      </c>
      <c r="F10">
        <f t="shared" si="0"/>
        <v>0</v>
      </c>
      <c r="G10">
        <f t="shared" si="1"/>
        <v>0</v>
      </c>
    </row>
    <row r="11" spans="1:7">
      <c r="A11" t="s">
        <v>657</v>
      </c>
      <c r="B11" t="s">
        <v>658</v>
      </c>
      <c r="D11" t="s">
        <v>657</v>
      </c>
      <c r="E11" t="s">
        <v>658</v>
      </c>
      <c r="F11">
        <f t="shared" si="0"/>
        <v>0</v>
      </c>
      <c r="G11">
        <f t="shared" si="1"/>
        <v>0</v>
      </c>
    </row>
    <row r="12" spans="1:7">
      <c r="A12" t="s">
        <v>813</v>
      </c>
      <c r="B12" t="s">
        <v>814</v>
      </c>
      <c r="D12" t="s">
        <v>813</v>
      </c>
      <c r="E12" t="s">
        <v>814</v>
      </c>
      <c r="F12">
        <f t="shared" si="0"/>
        <v>0</v>
      </c>
      <c r="G12">
        <f t="shared" si="1"/>
        <v>0</v>
      </c>
    </row>
    <row r="13" spans="1:7">
      <c r="A13" t="s">
        <v>819</v>
      </c>
      <c r="B13" t="s">
        <v>820</v>
      </c>
      <c r="D13" t="s">
        <v>819</v>
      </c>
      <c r="E13" t="s">
        <v>820</v>
      </c>
      <c r="F13">
        <f t="shared" si="0"/>
        <v>0</v>
      </c>
      <c r="G13">
        <f t="shared" si="1"/>
        <v>0</v>
      </c>
    </row>
    <row r="14" spans="1:7">
      <c r="A14" t="s">
        <v>817</v>
      </c>
      <c r="B14" t="s">
        <v>818</v>
      </c>
      <c r="D14" t="s">
        <v>817</v>
      </c>
      <c r="E14" t="s">
        <v>818</v>
      </c>
      <c r="F14">
        <f t="shared" si="0"/>
        <v>0</v>
      </c>
      <c r="G14">
        <f t="shared" si="1"/>
        <v>0</v>
      </c>
    </row>
    <row r="15" spans="1:7">
      <c r="A15" t="s">
        <v>815</v>
      </c>
      <c r="B15" t="s">
        <v>816</v>
      </c>
      <c r="D15" t="s">
        <v>815</v>
      </c>
      <c r="E15" t="s">
        <v>816</v>
      </c>
      <c r="F15">
        <f t="shared" si="0"/>
        <v>0</v>
      </c>
      <c r="G15">
        <f t="shared" si="1"/>
        <v>0</v>
      </c>
    </row>
    <row r="16" spans="1:7">
      <c r="A16" t="s">
        <v>659</v>
      </c>
      <c r="B16" t="s">
        <v>660</v>
      </c>
      <c r="D16" t="s">
        <v>659</v>
      </c>
      <c r="E16" t="s">
        <v>660</v>
      </c>
      <c r="F16">
        <f t="shared" si="0"/>
        <v>0</v>
      </c>
      <c r="G16">
        <f t="shared" si="1"/>
        <v>0</v>
      </c>
    </row>
    <row r="17" spans="1:7">
      <c r="A17" t="s">
        <v>661</v>
      </c>
      <c r="B17" t="s">
        <v>662</v>
      </c>
      <c r="D17" t="s">
        <v>661</v>
      </c>
      <c r="E17" t="s">
        <v>662</v>
      </c>
      <c r="F17">
        <f t="shared" si="0"/>
        <v>0</v>
      </c>
      <c r="G17">
        <f t="shared" si="1"/>
        <v>0</v>
      </c>
    </row>
    <row r="18" spans="1:7">
      <c r="A18" t="s">
        <v>663</v>
      </c>
      <c r="B18" t="s">
        <v>664</v>
      </c>
      <c r="D18" t="s">
        <v>663</v>
      </c>
      <c r="E18" t="s">
        <v>664</v>
      </c>
      <c r="F18">
        <f t="shared" si="0"/>
        <v>0</v>
      </c>
      <c r="G18">
        <f t="shared" si="1"/>
        <v>0</v>
      </c>
    </row>
    <row r="19" spans="1:7">
      <c r="A19" t="s">
        <v>665</v>
      </c>
      <c r="B19" t="s">
        <v>666</v>
      </c>
      <c r="D19" t="s">
        <v>665</v>
      </c>
      <c r="E19" t="s">
        <v>666</v>
      </c>
      <c r="F19">
        <f t="shared" si="0"/>
        <v>0</v>
      </c>
      <c r="G19">
        <f t="shared" si="1"/>
        <v>0</v>
      </c>
    </row>
    <row r="20" spans="1:7">
      <c r="A20" t="s">
        <v>829</v>
      </c>
      <c r="B20" t="s">
        <v>830</v>
      </c>
      <c r="D20" t="s">
        <v>829</v>
      </c>
      <c r="E20" t="s">
        <v>830</v>
      </c>
      <c r="F20">
        <f t="shared" si="0"/>
        <v>0</v>
      </c>
      <c r="G20">
        <f t="shared" si="1"/>
        <v>0</v>
      </c>
    </row>
    <row r="21" spans="1:7">
      <c r="A21" t="s">
        <v>831</v>
      </c>
      <c r="B21" t="s">
        <v>832</v>
      </c>
      <c r="D21" t="s">
        <v>831</v>
      </c>
      <c r="E21" t="s">
        <v>832</v>
      </c>
      <c r="F21">
        <f t="shared" si="0"/>
        <v>0</v>
      </c>
      <c r="G21">
        <f t="shared" si="1"/>
        <v>0</v>
      </c>
    </row>
    <row r="22" spans="1:7">
      <c r="A22" t="s">
        <v>827</v>
      </c>
      <c r="B22" t="s">
        <v>828</v>
      </c>
      <c r="D22" t="s">
        <v>827</v>
      </c>
      <c r="E22" t="s">
        <v>828</v>
      </c>
      <c r="F22">
        <f t="shared" si="0"/>
        <v>0</v>
      </c>
      <c r="G22">
        <f t="shared" si="1"/>
        <v>0</v>
      </c>
    </row>
    <row r="23" spans="1:7">
      <c r="A23" t="s">
        <v>647</v>
      </c>
      <c r="B23" t="s">
        <v>648</v>
      </c>
      <c r="D23" t="s">
        <v>647</v>
      </c>
      <c r="E23" t="s">
        <v>648</v>
      </c>
      <c r="F23">
        <f t="shared" si="0"/>
        <v>0</v>
      </c>
      <c r="G23">
        <f t="shared" si="1"/>
        <v>0</v>
      </c>
    </row>
    <row r="24" spans="1:7">
      <c r="A24" t="s">
        <v>641</v>
      </c>
      <c r="B24" t="s">
        <v>642</v>
      </c>
      <c r="D24" t="s">
        <v>641</v>
      </c>
      <c r="E24" t="s">
        <v>642</v>
      </c>
      <c r="F24">
        <f t="shared" si="0"/>
        <v>0</v>
      </c>
      <c r="G24">
        <f t="shared" si="1"/>
        <v>0</v>
      </c>
    </row>
    <row r="25" spans="1:7">
      <c r="A25" t="s">
        <v>639</v>
      </c>
      <c r="B25" t="s">
        <v>640</v>
      </c>
      <c r="D25" t="s">
        <v>639</v>
      </c>
      <c r="E25" t="s">
        <v>640</v>
      </c>
      <c r="F25">
        <f t="shared" si="0"/>
        <v>0</v>
      </c>
      <c r="G25">
        <f t="shared" si="1"/>
        <v>0</v>
      </c>
    </row>
    <row r="26" spans="1:7">
      <c r="A26" t="s">
        <v>643</v>
      </c>
      <c r="B26" t="s">
        <v>644</v>
      </c>
      <c r="D26" t="s">
        <v>643</v>
      </c>
      <c r="E26" t="s">
        <v>644</v>
      </c>
      <c r="F26">
        <f t="shared" si="0"/>
        <v>0</v>
      </c>
      <c r="G26">
        <f t="shared" si="1"/>
        <v>0</v>
      </c>
    </row>
    <row r="27" spans="1:7">
      <c r="A27" t="s">
        <v>645</v>
      </c>
      <c r="B27" t="s">
        <v>646</v>
      </c>
      <c r="D27" t="s">
        <v>645</v>
      </c>
      <c r="E27" t="s">
        <v>646</v>
      </c>
      <c r="F27">
        <f t="shared" si="0"/>
        <v>0</v>
      </c>
      <c r="G27">
        <f t="shared" si="1"/>
        <v>0</v>
      </c>
    </row>
    <row r="28" spans="1:7">
      <c r="A28" t="s">
        <v>675</v>
      </c>
      <c r="B28" t="s">
        <v>676</v>
      </c>
      <c r="D28" t="s">
        <v>675</v>
      </c>
      <c r="E28" t="s">
        <v>676</v>
      </c>
      <c r="F28">
        <f t="shared" si="0"/>
        <v>0</v>
      </c>
      <c r="G28">
        <f t="shared" si="1"/>
        <v>0</v>
      </c>
    </row>
    <row r="29" spans="1:7">
      <c r="A29" t="s">
        <v>673</v>
      </c>
      <c r="B29" t="s">
        <v>674</v>
      </c>
      <c r="D29" t="s">
        <v>673</v>
      </c>
      <c r="E29" t="s">
        <v>674</v>
      </c>
      <c r="F29">
        <f t="shared" si="0"/>
        <v>0</v>
      </c>
      <c r="G29">
        <f t="shared" si="1"/>
        <v>0</v>
      </c>
    </row>
    <row r="30" spans="1:7">
      <c r="A30" t="s">
        <v>571</v>
      </c>
      <c r="B30" t="s">
        <v>572</v>
      </c>
      <c r="D30" t="s">
        <v>571</v>
      </c>
      <c r="E30" t="s">
        <v>572</v>
      </c>
      <c r="F30">
        <f t="shared" si="0"/>
        <v>0</v>
      </c>
      <c r="G30">
        <f t="shared" si="1"/>
        <v>0</v>
      </c>
    </row>
    <row r="31" spans="1:7">
      <c r="A31" t="s">
        <v>1015</v>
      </c>
      <c r="B31" t="s">
        <v>550</v>
      </c>
      <c r="D31" t="s">
        <v>549</v>
      </c>
      <c r="E31" t="s">
        <v>560</v>
      </c>
      <c r="F31">
        <f t="shared" si="0"/>
        <v>0</v>
      </c>
      <c r="G31">
        <f t="shared" si="1"/>
        <v>1</v>
      </c>
    </row>
    <row r="32" spans="1:7">
      <c r="A32" t="s">
        <v>551</v>
      </c>
      <c r="B32" t="s">
        <v>552</v>
      </c>
      <c r="D32" t="s">
        <v>551</v>
      </c>
      <c r="E32" t="s">
        <v>552</v>
      </c>
      <c r="F32">
        <f t="shared" si="0"/>
        <v>0</v>
      </c>
      <c r="G32">
        <f t="shared" si="1"/>
        <v>0</v>
      </c>
    </row>
    <row r="33" spans="1:7">
      <c r="A33" t="s">
        <v>553</v>
      </c>
      <c r="B33" t="s">
        <v>554</v>
      </c>
      <c r="D33" t="s">
        <v>553</v>
      </c>
      <c r="E33" t="s">
        <v>562</v>
      </c>
      <c r="F33">
        <f t="shared" si="0"/>
        <v>0</v>
      </c>
      <c r="G33">
        <f t="shared" si="1"/>
        <v>1</v>
      </c>
    </row>
    <row r="34" spans="1:7">
      <c r="A34" t="s">
        <v>555</v>
      </c>
      <c r="B34" t="s">
        <v>556</v>
      </c>
      <c r="D34" t="s">
        <v>555</v>
      </c>
      <c r="E34" t="s">
        <v>568</v>
      </c>
      <c r="F34">
        <f t="shared" si="0"/>
        <v>0</v>
      </c>
      <c r="G34">
        <f t="shared" si="1"/>
        <v>1</v>
      </c>
    </row>
    <row r="35" spans="1:7">
      <c r="A35" t="s">
        <v>557</v>
      </c>
      <c r="B35" t="s">
        <v>558</v>
      </c>
      <c r="D35" t="s">
        <v>557</v>
      </c>
      <c r="E35" t="s">
        <v>564</v>
      </c>
      <c r="F35">
        <f t="shared" si="0"/>
        <v>0</v>
      </c>
      <c r="G35">
        <f t="shared" si="1"/>
        <v>1</v>
      </c>
    </row>
    <row r="36" spans="1:7">
      <c r="A36" t="s">
        <v>559</v>
      </c>
      <c r="B36" t="s">
        <v>560</v>
      </c>
      <c r="D36" t="s">
        <v>559</v>
      </c>
      <c r="E36" t="s">
        <v>570</v>
      </c>
      <c r="F36">
        <f t="shared" si="0"/>
        <v>0</v>
      </c>
      <c r="G36">
        <f t="shared" si="1"/>
        <v>1</v>
      </c>
    </row>
    <row r="37" spans="1:7">
      <c r="A37" t="s">
        <v>561</v>
      </c>
      <c r="B37" t="s">
        <v>562</v>
      </c>
      <c r="D37" t="s">
        <v>561</v>
      </c>
      <c r="E37" t="s">
        <v>566</v>
      </c>
      <c r="F37">
        <f t="shared" si="0"/>
        <v>0</v>
      </c>
      <c r="G37">
        <f t="shared" si="1"/>
        <v>1</v>
      </c>
    </row>
    <row r="38" spans="1:7">
      <c r="A38" t="s">
        <v>563</v>
      </c>
      <c r="B38" t="s">
        <v>564</v>
      </c>
      <c r="D38" t="s">
        <v>563</v>
      </c>
      <c r="E38" t="s">
        <v>556</v>
      </c>
      <c r="F38">
        <f t="shared" si="0"/>
        <v>0</v>
      </c>
      <c r="G38">
        <f t="shared" si="1"/>
        <v>1</v>
      </c>
    </row>
    <row r="39" spans="1:7">
      <c r="A39" t="s">
        <v>699</v>
      </c>
      <c r="B39" t="s">
        <v>700</v>
      </c>
      <c r="D39" t="s">
        <v>699</v>
      </c>
      <c r="E39" t="s">
        <v>688</v>
      </c>
      <c r="F39">
        <f t="shared" si="0"/>
        <v>0</v>
      </c>
      <c r="G39">
        <f t="shared" si="1"/>
        <v>1</v>
      </c>
    </row>
    <row r="40" spans="1:7">
      <c r="A40" t="s">
        <v>695</v>
      </c>
      <c r="B40" t="s">
        <v>696</v>
      </c>
      <c r="D40" t="s">
        <v>695</v>
      </c>
      <c r="E40" t="s">
        <v>702</v>
      </c>
      <c r="F40">
        <f t="shared" si="0"/>
        <v>0</v>
      </c>
      <c r="G40">
        <f t="shared" si="1"/>
        <v>1</v>
      </c>
    </row>
    <row r="41" spans="1:7">
      <c r="A41" t="s">
        <v>691</v>
      </c>
      <c r="B41" t="s">
        <v>692</v>
      </c>
      <c r="D41" t="s">
        <v>691</v>
      </c>
      <c r="E41" t="s">
        <v>696</v>
      </c>
      <c r="F41">
        <f t="shared" si="0"/>
        <v>0</v>
      </c>
      <c r="G41">
        <f t="shared" si="1"/>
        <v>1</v>
      </c>
    </row>
    <row r="42" spans="1:7">
      <c r="A42" t="s">
        <v>687</v>
      </c>
      <c r="B42" t="s">
        <v>688</v>
      </c>
      <c r="D42" t="s">
        <v>687</v>
      </c>
      <c r="E42" t="s">
        <v>700</v>
      </c>
      <c r="F42">
        <f t="shared" si="0"/>
        <v>0</v>
      </c>
      <c r="G42">
        <f t="shared" si="1"/>
        <v>1</v>
      </c>
    </row>
    <row r="43" spans="1:7">
      <c r="A43" t="s">
        <v>703</v>
      </c>
      <c r="B43" t="s">
        <v>704</v>
      </c>
      <c r="D43" t="s">
        <v>703</v>
      </c>
      <c r="E43" t="s">
        <v>694</v>
      </c>
      <c r="F43">
        <f t="shared" si="0"/>
        <v>0</v>
      </c>
      <c r="G43">
        <f t="shared" si="1"/>
        <v>1</v>
      </c>
    </row>
    <row r="44" spans="1:7">
      <c r="A44" t="s">
        <v>701</v>
      </c>
      <c r="B44" t="s">
        <v>702</v>
      </c>
      <c r="D44" t="s">
        <v>701</v>
      </c>
      <c r="E44" t="s">
        <v>690</v>
      </c>
      <c r="F44">
        <f t="shared" si="0"/>
        <v>0</v>
      </c>
      <c r="G44">
        <f t="shared" si="1"/>
        <v>1</v>
      </c>
    </row>
    <row r="45" spans="1:7">
      <c r="A45" t="s">
        <v>697</v>
      </c>
      <c r="B45" t="s">
        <v>698</v>
      </c>
      <c r="D45" t="s">
        <v>697</v>
      </c>
      <c r="E45" t="s">
        <v>704</v>
      </c>
      <c r="F45">
        <f t="shared" si="0"/>
        <v>0</v>
      </c>
      <c r="G45">
        <f t="shared" si="1"/>
        <v>1</v>
      </c>
    </row>
    <row r="46" spans="1:7">
      <c r="A46" t="s">
        <v>693</v>
      </c>
      <c r="B46" t="s">
        <v>694</v>
      </c>
      <c r="D46" t="s">
        <v>693</v>
      </c>
      <c r="E46" t="s">
        <v>706</v>
      </c>
      <c r="F46">
        <f t="shared" si="0"/>
        <v>0</v>
      </c>
      <c r="G46">
        <f t="shared" si="1"/>
        <v>1</v>
      </c>
    </row>
    <row r="47" spans="1:7">
      <c r="A47" t="s">
        <v>689</v>
      </c>
      <c r="B47" t="s">
        <v>690</v>
      </c>
      <c r="D47" t="s">
        <v>689</v>
      </c>
      <c r="E47" t="s">
        <v>698</v>
      </c>
      <c r="F47">
        <f t="shared" si="0"/>
        <v>0</v>
      </c>
      <c r="G47">
        <f t="shared" si="1"/>
        <v>1</v>
      </c>
    </row>
    <row r="48" spans="1:7">
      <c r="A48" t="s">
        <v>705</v>
      </c>
      <c r="B48" t="s">
        <v>706</v>
      </c>
      <c r="D48" t="s">
        <v>705</v>
      </c>
      <c r="E48" t="s">
        <v>692</v>
      </c>
      <c r="F48">
        <f t="shared" si="0"/>
        <v>0</v>
      </c>
      <c r="G48">
        <f t="shared" si="1"/>
        <v>1</v>
      </c>
    </row>
    <row r="49" spans="1:7">
      <c r="A49" t="s">
        <v>845</v>
      </c>
      <c r="B49" t="s">
        <v>846</v>
      </c>
      <c r="D49" t="s">
        <v>845</v>
      </c>
      <c r="E49" t="s">
        <v>846</v>
      </c>
      <c r="F49">
        <f t="shared" si="0"/>
        <v>0</v>
      </c>
      <c r="G49">
        <f t="shared" si="1"/>
        <v>0</v>
      </c>
    </row>
    <row r="50" spans="1:7">
      <c r="A50" t="s">
        <v>847</v>
      </c>
      <c r="B50" t="s">
        <v>848</v>
      </c>
      <c r="D50" t="s">
        <v>847</v>
      </c>
      <c r="E50" t="s">
        <v>848</v>
      </c>
      <c r="F50">
        <f t="shared" si="0"/>
        <v>0</v>
      </c>
      <c r="G50">
        <f t="shared" si="1"/>
        <v>0</v>
      </c>
    </row>
    <row r="51" spans="1:7">
      <c r="A51" t="s">
        <v>849</v>
      </c>
      <c r="B51" t="s">
        <v>850</v>
      </c>
      <c r="D51" t="s">
        <v>849</v>
      </c>
      <c r="E51" t="s">
        <v>850</v>
      </c>
      <c r="F51">
        <f t="shared" si="0"/>
        <v>0</v>
      </c>
      <c r="G51">
        <f t="shared" si="1"/>
        <v>0</v>
      </c>
    </row>
    <row r="52" spans="1:7">
      <c r="A52" t="s">
        <v>843</v>
      </c>
      <c r="B52" t="s">
        <v>844</v>
      </c>
      <c r="D52" t="s">
        <v>843</v>
      </c>
      <c r="E52" t="s">
        <v>844</v>
      </c>
      <c r="F52">
        <f t="shared" si="0"/>
        <v>0</v>
      </c>
      <c r="G52">
        <f t="shared" si="1"/>
        <v>0</v>
      </c>
    </row>
    <row r="53" spans="1:7">
      <c r="A53" t="s">
        <v>835</v>
      </c>
      <c r="B53" t="s">
        <v>836</v>
      </c>
      <c r="D53" t="s">
        <v>835</v>
      </c>
      <c r="E53" t="s">
        <v>836</v>
      </c>
      <c r="F53">
        <f t="shared" si="0"/>
        <v>0</v>
      </c>
      <c r="G53">
        <f t="shared" si="1"/>
        <v>0</v>
      </c>
    </row>
    <row r="54" spans="1:7">
      <c r="A54" t="s">
        <v>837</v>
      </c>
      <c r="B54" t="s">
        <v>838</v>
      </c>
      <c r="D54" t="s">
        <v>837</v>
      </c>
      <c r="E54" t="s">
        <v>838</v>
      </c>
      <c r="F54">
        <f t="shared" si="0"/>
        <v>0</v>
      </c>
      <c r="G54">
        <f t="shared" si="1"/>
        <v>0</v>
      </c>
    </row>
    <row r="55" spans="1:7">
      <c r="A55" t="s">
        <v>839</v>
      </c>
      <c r="B55" t="s">
        <v>840</v>
      </c>
      <c r="D55" t="s">
        <v>839</v>
      </c>
      <c r="E55" t="s">
        <v>840</v>
      </c>
      <c r="F55">
        <f t="shared" si="0"/>
        <v>0</v>
      </c>
      <c r="G55">
        <f t="shared" si="1"/>
        <v>0</v>
      </c>
    </row>
    <row r="56" spans="1:7">
      <c r="A56" t="s">
        <v>841</v>
      </c>
      <c r="B56" t="s">
        <v>842</v>
      </c>
      <c r="D56" t="s">
        <v>841</v>
      </c>
      <c r="E56" t="s">
        <v>842</v>
      </c>
      <c r="F56">
        <f t="shared" si="0"/>
        <v>0</v>
      </c>
      <c r="G56">
        <f t="shared" si="1"/>
        <v>0</v>
      </c>
    </row>
    <row r="57" spans="1:7">
      <c r="A57" t="s">
        <v>685</v>
      </c>
      <c r="B57" t="s">
        <v>686</v>
      </c>
      <c r="D57" t="s">
        <v>685</v>
      </c>
      <c r="E57" t="s">
        <v>686</v>
      </c>
      <c r="F57">
        <f t="shared" si="0"/>
        <v>0</v>
      </c>
      <c r="G57">
        <f t="shared" si="1"/>
        <v>0</v>
      </c>
    </row>
    <row r="58" spans="1:7">
      <c r="A58" t="s">
        <v>565</v>
      </c>
      <c r="B58" t="s">
        <v>566</v>
      </c>
      <c r="D58" t="s">
        <v>565</v>
      </c>
      <c r="E58" t="s">
        <v>554</v>
      </c>
      <c r="F58">
        <f t="shared" si="0"/>
        <v>0</v>
      </c>
      <c r="G58">
        <f t="shared" si="1"/>
        <v>1</v>
      </c>
    </row>
    <row r="59" spans="1:7">
      <c r="A59" t="s">
        <v>567</v>
      </c>
      <c r="B59" t="s">
        <v>568</v>
      </c>
      <c r="D59" t="s">
        <v>567</v>
      </c>
      <c r="E59" t="s">
        <v>550</v>
      </c>
      <c r="F59">
        <f t="shared" si="0"/>
        <v>0</v>
      </c>
      <c r="G59">
        <f t="shared" si="1"/>
        <v>1</v>
      </c>
    </row>
    <row r="60" spans="1:7">
      <c r="A60" t="s">
        <v>569</v>
      </c>
      <c r="B60" t="s">
        <v>570</v>
      </c>
      <c r="D60" t="s">
        <v>569</v>
      </c>
      <c r="E60" t="s">
        <v>488</v>
      </c>
      <c r="F60">
        <f t="shared" si="0"/>
        <v>0</v>
      </c>
      <c r="G60">
        <f t="shared" si="1"/>
        <v>1</v>
      </c>
    </row>
    <row r="61" spans="1:7">
      <c r="A61" t="s">
        <v>487</v>
      </c>
      <c r="B61" t="s">
        <v>488</v>
      </c>
      <c r="D61" t="s">
        <v>487</v>
      </c>
      <c r="E61" t="s">
        <v>558</v>
      </c>
      <c r="F61">
        <f t="shared" si="0"/>
        <v>0</v>
      </c>
      <c r="G61">
        <f t="shared" si="1"/>
        <v>1</v>
      </c>
    </row>
    <row r="62" spans="1:7">
      <c r="A62" t="s">
        <v>683</v>
      </c>
      <c r="B62" t="s">
        <v>684</v>
      </c>
      <c r="D62" t="s">
        <v>683</v>
      </c>
      <c r="E62" t="s">
        <v>684</v>
      </c>
      <c r="F62">
        <f t="shared" si="0"/>
        <v>0</v>
      </c>
      <c r="G62">
        <f t="shared" si="1"/>
        <v>0</v>
      </c>
    </row>
    <row r="63" spans="1:7">
      <c r="A63" t="s">
        <v>671</v>
      </c>
      <c r="B63" t="s">
        <v>672</v>
      </c>
      <c r="D63" t="s">
        <v>671</v>
      </c>
      <c r="E63" t="s">
        <v>672</v>
      </c>
      <c r="F63">
        <f t="shared" si="0"/>
        <v>0</v>
      </c>
      <c r="G63">
        <f t="shared" si="1"/>
        <v>0</v>
      </c>
    </row>
    <row r="64" spans="1:7">
      <c r="A64" t="s">
        <v>903</v>
      </c>
      <c r="B64" t="s">
        <v>904</v>
      </c>
      <c r="D64" t="s">
        <v>903</v>
      </c>
      <c r="E64" t="s">
        <v>904</v>
      </c>
      <c r="F64">
        <f t="shared" si="0"/>
        <v>0</v>
      </c>
      <c r="G64">
        <f t="shared" si="1"/>
        <v>0</v>
      </c>
    </row>
    <row r="65" spans="1:7">
      <c r="A65" t="s">
        <v>631</v>
      </c>
      <c r="B65" t="s">
        <v>632</v>
      </c>
      <c r="D65" t="s">
        <v>631</v>
      </c>
      <c r="E65" t="s">
        <v>632</v>
      </c>
      <c r="F65">
        <f t="shared" si="0"/>
        <v>0</v>
      </c>
      <c r="G65">
        <f t="shared" si="1"/>
        <v>0</v>
      </c>
    </row>
    <row r="66" spans="1:7">
      <c r="A66" t="s">
        <v>635</v>
      </c>
      <c r="B66" t="s">
        <v>636</v>
      </c>
      <c r="D66" t="s">
        <v>635</v>
      </c>
      <c r="E66" t="s">
        <v>636</v>
      </c>
      <c r="F66">
        <f t="shared" si="0"/>
        <v>0</v>
      </c>
      <c r="G66">
        <f t="shared" si="1"/>
        <v>0</v>
      </c>
    </row>
    <row r="67" spans="1:7">
      <c r="A67" t="s">
        <v>959</v>
      </c>
      <c r="B67" t="s">
        <v>960</v>
      </c>
      <c r="D67" t="s">
        <v>959</v>
      </c>
      <c r="E67" t="s">
        <v>960</v>
      </c>
      <c r="F67">
        <f t="shared" ref="F67:F130" si="2">IF(A67=D67, 0, 1)</f>
        <v>0</v>
      </c>
      <c r="G67">
        <f t="shared" ref="G67:G130" si="3">IF(B67=E67, 0, 1)</f>
        <v>0</v>
      </c>
    </row>
    <row r="68" spans="1:7">
      <c r="A68" t="s">
        <v>963</v>
      </c>
      <c r="B68" t="s">
        <v>964</v>
      </c>
      <c r="D68" t="s">
        <v>963</v>
      </c>
      <c r="E68" t="s">
        <v>964</v>
      </c>
      <c r="F68">
        <f t="shared" si="2"/>
        <v>0</v>
      </c>
      <c r="G68">
        <f t="shared" si="3"/>
        <v>0</v>
      </c>
    </row>
    <row r="69" spans="1:7">
      <c r="A69" t="s">
        <v>633</v>
      </c>
      <c r="B69" t="s">
        <v>634</v>
      </c>
      <c r="D69" t="s">
        <v>633</v>
      </c>
      <c r="E69" t="s">
        <v>634</v>
      </c>
      <c r="F69">
        <f t="shared" si="2"/>
        <v>0</v>
      </c>
      <c r="G69">
        <f t="shared" si="3"/>
        <v>0</v>
      </c>
    </row>
    <row r="70" spans="1:7">
      <c r="A70" t="s">
        <v>637</v>
      </c>
      <c r="B70" t="s">
        <v>638</v>
      </c>
      <c r="D70" t="s">
        <v>637</v>
      </c>
      <c r="E70" t="s">
        <v>638</v>
      </c>
      <c r="F70">
        <f t="shared" si="2"/>
        <v>0</v>
      </c>
      <c r="G70">
        <f t="shared" si="3"/>
        <v>0</v>
      </c>
    </row>
    <row r="71" spans="1:7">
      <c r="A71" t="s">
        <v>961</v>
      </c>
      <c r="B71" t="s">
        <v>962</v>
      </c>
      <c r="D71" t="s">
        <v>961</v>
      </c>
      <c r="E71" t="s">
        <v>962</v>
      </c>
      <c r="F71">
        <f t="shared" si="2"/>
        <v>0</v>
      </c>
      <c r="G71">
        <f t="shared" si="3"/>
        <v>0</v>
      </c>
    </row>
    <row r="72" spans="1:7">
      <c r="A72" t="s">
        <v>965</v>
      </c>
      <c r="B72" t="s">
        <v>966</v>
      </c>
      <c r="D72" t="s">
        <v>965</v>
      </c>
      <c r="E72" t="s">
        <v>966</v>
      </c>
      <c r="F72">
        <f t="shared" si="2"/>
        <v>0</v>
      </c>
      <c r="G72">
        <f t="shared" si="3"/>
        <v>0</v>
      </c>
    </row>
    <row r="73" spans="1:7">
      <c r="A73" t="s">
        <v>901</v>
      </c>
      <c r="B73" t="s">
        <v>902</v>
      </c>
      <c r="D73" t="s">
        <v>901</v>
      </c>
      <c r="E73" t="s">
        <v>902</v>
      </c>
      <c r="F73">
        <f t="shared" si="2"/>
        <v>0</v>
      </c>
      <c r="G73">
        <f t="shared" si="3"/>
        <v>0</v>
      </c>
    </row>
    <row r="74" spans="1:7">
      <c r="A74" t="s">
        <v>677</v>
      </c>
      <c r="B74" t="s">
        <v>678</v>
      </c>
      <c r="D74" t="s">
        <v>677</v>
      </c>
      <c r="E74" t="s">
        <v>678</v>
      </c>
      <c r="F74">
        <f t="shared" si="2"/>
        <v>0</v>
      </c>
      <c r="G74">
        <f t="shared" si="3"/>
        <v>0</v>
      </c>
    </row>
    <row r="75" spans="1:7">
      <c r="A75" t="s">
        <v>669</v>
      </c>
      <c r="B75" t="s">
        <v>670</v>
      </c>
      <c r="D75" t="s">
        <v>669</v>
      </c>
      <c r="E75" t="s">
        <v>670</v>
      </c>
      <c r="F75">
        <f t="shared" si="2"/>
        <v>0</v>
      </c>
      <c r="G75">
        <f t="shared" si="3"/>
        <v>0</v>
      </c>
    </row>
    <row r="76" spans="1:7">
      <c r="A76" t="s">
        <v>679</v>
      </c>
      <c r="B76" t="s">
        <v>680</v>
      </c>
      <c r="D76" t="s">
        <v>679</v>
      </c>
      <c r="E76" t="s">
        <v>680</v>
      </c>
      <c r="F76">
        <f t="shared" si="2"/>
        <v>0</v>
      </c>
      <c r="G76">
        <f t="shared" si="3"/>
        <v>0</v>
      </c>
    </row>
    <row r="77" spans="1:7">
      <c r="A77" t="s">
        <v>681</v>
      </c>
      <c r="B77" t="s">
        <v>682</v>
      </c>
      <c r="D77" t="s">
        <v>681</v>
      </c>
      <c r="E77" t="s">
        <v>682</v>
      </c>
      <c r="F77">
        <f t="shared" si="2"/>
        <v>0</v>
      </c>
      <c r="G77">
        <f t="shared" si="3"/>
        <v>0</v>
      </c>
    </row>
    <row r="78" spans="1:7">
      <c r="A78" t="s">
        <v>875</v>
      </c>
      <c r="B78" t="s">
        <v>876</v>
      </c>
      <c r="D78" t="s">
        <v>875</v>
      </c>
      <c r="E78" t="s">
        <v>876</v>
      </c>
      <c r="F78">
        <f t="shared" si="2"/>
        <v>0</v>
      </c>
      <c r="G78">
        <f t="shared" si="3"/>
        <v>0</v>
      </c>
    </row>
    <row r="79" spans="1:7">
      <c r="A79" t="s">
        <v>869</v>
      </c>
      <c r="B79" t="s">
        <v>870</v>
      </c>
      <c r="D79" t="s">
        <v>869</v>
      </c>
      <c r="E79" t="s">
        <v>870</v>
      </c>
      <c r="F79">
        <f t="shared" si="2"/>
        <v>0</v>
      </c>
      <c r="G79">
        <f t="shared" si="3"/>
        <v>0</v>
      </c>
    </row>
    <row r="80" spans="1:7">
      <c r="A80" t="s">
        <v>877</v>
      </c>
      <c r="B80" t="s">
        <v>878</v>
      </c>
      <c r="D80" t="s">
        <v>877</v>
      </c>
      <c r="E80" t="s">
        <v>878</v>
      </c>
      <c r="F80">
        <f t="shared" si="2"/>
        <v>0</v>
      </c>
      <c r="G80">
        <f t="shared" si="3"/>
        <v>0</v>
      </c>
    </row>
    <row r="81" spans="1:7">
      <c r="A81" t="s">
        <v>879</v>
      </c>
      <c r="B81" t="s">
        <v>880</v>
      </c>
      <c r="D81" t="s">
        <v>879</v>
      </c>
      <c r="E81" t="s">
        <v>880</v>
      </c>
      <c r="F81">
        <f t="shared" si="2"/>
        <v>0</v>
      </c>
      <c r="G81">
        <f t="shared" si="3"/>
        <v>0</v>
      </c>
    </row>
    <row r="82" spans="1:7">
      <c r="A82" t="s">
        <v>851</v>
      </c>
      <c r="B82" t="s">
        <v>852</v>
      </c>
      <c r="D82" t="s">
        <v>851</v>
      </c>
      <c r="E82" t="s">
        <v>852</v>
      </c>
      <c r="F82">
        <f t="shared" si="2"/>
        <v>0</v>
      </c>
      <c r="G82">
        <f t="shared" si="3"/>
        <v>0</v>
      </c>
    </row>
    <row r="83" spans="1:7">
      <c r="A83" t="s">
        <v>853</v>
      </c>
      <c r="B83" t="s">
        <v>854</v>
      </c>
      <c r="D83" t="s">
        <v>853</v>
      </c>
      <c r="E83" t="s">
        <v>854</v>
      </c>
      <c r="F83">
        <f t="shared" si="2"/>
        <v>0</v>
      </c>
      <c r="G83">
        <f t="shared" si="3"/>
        <v>0</v>
      </c>
    </row>
    <row r="84" spans="1:7">
      <c r="A84" t="s">
        <v>855</v>
      </c>
      <c r="B84" t="s">
        <v>856</v>
      </c>
      <c r="D84" t="s">
        <v>855</v>
      </c>
      <c r="E84" t="s">
        <v>856</v>
      </c>
      <c r="F84">
        <f t="shared" si="2"/>
        <v>0</v>
      </c>
      <c r="G84">
        <f t="shared" si="3"/>
        <v>0</v>
      </c>
    </row>
    <row r="85" spans="1:7">
      <c r="A85" t="s">
        <v>857</v>
      </c>
      <c r="B85" t="s">
        <v>858</v>
      </c>
      <c r="D85" t="s">
        <v>857</v>
      </c>
      <c r="E85" t="s">
        <v>858</v>
      </c>
      <c r="F85">
        <f t="shared" si="2"/>
        <v>0</v>
      </c>
      <c r="G85">
        <f t="shared" si="3"/>
        <v>0</v>
      </c>
    </row>
    <row r="86" spans="1:7">
      <c r="A86" t="s">
        <v>873</v>
      </c>
      <c r="B86" t="s">
        <v>874</v>
      </c>
      <c r="D86" t="s">
        <v>873</v>
      </c>
      <c r="E86" t="s">
        <v>874</v>
      </c>
      <c r="F86">
        <f t="shared" si="2"/>
        <v>0</v>
      </c>
      <c r="G86">
        <f t="shared" si="3"/>
        <v>0</v>
      </c>
    </row>
    <row r="87" spans="1:7">
      <c r="A87" t="s">
        <v>871</v>
      </c>
      <c r="B87" t="s">
        <v>872</v>
      </c>
      <c r="D87" t="s">
        <v>871</v>
      </c>
      <c r="E87" t="s">
        <v>872</v>
      </c>
      <c r="F87">
        <f t="shared" si="2"/>
        <v>0</v>
      </c>
      <c r="G87">
        <f t="shared" si="3"/>
        <v>0</v>
      </c>
    </row>
    <row r="88" spans="1:7">
      <c r="A88" t="s">
        <v>863</v>
      </c>
      <c r="B88" t="s">
        <v>864</v>
      </c>
      <c r="D88" t="s">
        <v>863</v>
      </c>
      <c r="E88" t="s">
        <v>864</v>
      </c>
      <c r="F88">
        <f t="shared" si="2"/>
        <v>0</v>
      </c>
      <c r="G88">
        <f t="shared" si="3"/>
        <v>0</v>
      </c>
    </row>
    <row r="89" spans="1:7">
      <c r="A89" t="s">
        <v>865</v>
      </c>
      <c r="B89" t="s">
        <v>866</v>
      </c>
      <c r="D89" t="s">
        <v>865</v>
      </c>
      <c r="E89" t="s">
        <v>866</v>
      </c>
      <c r="F89">
        <f t="shared" si="2"/>
        <v>0</v>
      </c>
      <c r="G89">
        <f t="shared" si="3"/>
        <v>0</v>
      </c>
    </row>
    <row r="90" spans="1:7">
      <c r="A90" t="s">
        <v>867</v>
      </c>
      <c r="B90" t="s">
        <v>868</v>
      </c>
      <c r="D90" t="s">
        <v>867</v>
      </c>
      <c r="E90" t="s">
        <v>868</v>
      </c>
      <c r="F90">
        <f t="shared" si="2"/>
        <v>0</v>
      </c>
      <c r="G90">
        <f t="shared" si="3"/>
        <v>0</v>
      </c>
    </row>
    <row r="91" spans="1:7">
      <c r="A91" t="s">
        <v>861</v>
      </c>
      <c r="B91" t="s">
        <v>862</v>
      </c>
      <c r="D91" t="s">
        <v>861</v>
      </c>
      <c r="E91" t="s">
        <v>862</v>
      </c>
      <c r="F91">
        <f t="shared" si="2"/>
        <v>0</v>
      </c>
      <c r="G91">
        <f t="shared" si="3"/>
        <v>0</v>
      </c>
    </row>
    <row r="92" spans="1:7">
      <c r="A92" t="s">
        <v>859</v>
      </c>
      <c r="B92" t="s">
        <v>860</v>
      </c>
      <c r="D92" t="s">
        <v>859</v>
      </c>
      <c r="E92" t="s">
        <v>860</v>
      </c>
      <c r="F92">
        <f t="shared" si="2"/>
        <v>0</v>
      </c>
      <c r="G92">
        <f t="shared" si="3"/>
        <v>0</v>
      </c>
    </row>
    <row r="93" spans="1:7">
      <c r="A93" t="s">
        <v>721</v>
      </c>
      <c r="B93" t="s">
        <v>722</v>
      </c>
      <c r="D93" t="s">
        <v>721</v>
      </c>
      <c r="E93" t="s">
        <v>774</v>
      </c>
      <c r="F93">
        <f t="shared" si="2"/>
        <v>0</v>
      </c>
      <c r="G93">
        <f t="shared" si="3"/>
        <v>1</v>
      </c>
    </row>
    <row r="94" spans="1:7">
      <c r="A94" t="s">
        <v>723</v>
      </c>
      <c r="B94" t="s">
        <v>724</v>
      </c>
      <c r="D94" t="s">
        <v>723</v>
      </c>
      <c r="E94" t="s">
        <v>792</v>
      </c>
      <c r="F94">
        <f t="shared" si="2"/>
        <v>0</v>
      </c>
      <c r="G94">
        <f t="shared" si="3"/>
        <v>1</v>
      </c>
    </row>
    <row r="95" spans="1:7">
      <c r="A95" t="s">
        <v>741</v>
      </c>
      <c r="B95" t="s">
        <v>742</v>
      </c>
      <c r="D95" t="s">
        <v>741</v>
      </c>
      <c r="E95" t="s">
        <v>778</v>
      </c>
      <c r="F95">
        <f t="shared" si="2"/>
        <v>0</v>
      </c>
      <c r="G95">
        <f t="shared" si="3"/>
        <v>1</v>
      </c>
    </row>
    <row r="96" spans="1:7">
      <c r="A96" t="s">
        <v>743</v>
      </c>
      <c r="B96" t="s">
        <v>744</v>
      </c>
      <c r="D96" t="s">
        <v>743</v>
      </c>
      <c r="E96" t="s">
        <v>784</v>
      </c>
      <c r="F96">
        <f t="shared" si="2"/>
        <v>0</v>
      </c>
      <c r="G96">
        <f t="shared" si="3"/>
        <v>1</v>
      </c>
    </row>
    <row r="97" spans="1:7">
      <c r="A97" t="s">
        <v>745</v>
      </c>
      <c r="B97" t="s">
        <v>746</v>
      </c>
      <c r="D97" t="s">
        <v>745</v>
      </c>
      <c r="E97" t="s">
        <v>786</v>
      </c>
      <c r="F97">
        <f t="shared" si="2"/>
        <v>0</v>
      </c>
      <c r="G97">
        <f t="shared" si="3"/>
        <v>1</v>
      </c>
    </row>
    <row r="98" spans="1:7">
      <c r="A98" t="s">
        <v>747</v>
      </c>
      <c r="B98" t="s">
        <v>748</v>
      </c>
      <c r="D98" t="s">
        <v>747</v>
      </c>
      <c r="E98" t="s">
        <v>794</v>
      </c>
      <c r="F98">
        <f t="shared" si="2"/>
        <v>0</v>
      </c>
      <c r="G98">
        <f t="shared" si="3"/>
        <v>1</v>
      </c>
    </row>
    <row r="99" spans="1:7">
      <c r="A99" t="s">
        <v>749</v>
      </c>
      <c r="B99" t="s">
        <v>750</v>
      </c>
      <c r="D99" t="s">
        <v>749</v>
      </c>
      <c r="E99" t="s">
        <v>782</v>
      </c>
      <c r="F99">
        <f t="shared" si="2"/>
        <v>0</v>
      </c>
      <c r="G99">
        <f t="shared" si="3"/>
        <v>1</v>
      </c>
    </row>
    <row r="100" spans="1:7">
      <c r="A100" t="s">
        <v>725</v>
      </c>
      <c r="B100" t="s">
        <v>726</v>
      </c>
      <c r="D100" t="s">
        <v>725</v>
      </c>
      <c r="E100" t="s">
        <v>776</v>
      </c>
      <c r="F100">
        <f t="shared" si="2"/>
        <v>0</v>
      </c>
      <c r="G100">
        <f t="shared" si="3"/>
        <v>1</v>
      </c>
    </row>
    <row r="101" spans="1:7">
      <c r="A101" t="s">
        <v>727</v>
      </c>
      <c r="B101" t="s">
        <v>728</v>
      </c>
      <c r="D101" t="s">
        <v>727</v>
      </c>
      <c r="E101" t="s">
        <v>770</v>
      </c>
      <c r="F101">
        <f t="shared" si="2"/>
        <v>0</v>
      </c>
      <c r="G101">
        <f t="shared" si="3"/>
        <v>1</v>
      </c>
    </row>
    <row r="102" spans="1:7">
      <c r="A102" t="s">
        <v>729</v>
      </c>
      <c r="B102" t="s">
        <v>730</v>
      </c>
      <c r="D102" t="s">
        <v>729</v>
      </c>
      <c r="E102" t="s">
        <v>790</v>
      </c>
      <c r="F102">
        <f t="shared" si="2"/>
        <v>0</v>
      </c>
      <c r="G102">
        <f t="shared" si="3"/>
        <v>1</v>
      </c>
    </row>
    <row r="103" spans="1:7">
      <c r="A103" t="s">
        <v>731</v>
      </c>
      <c r="B103" t="s">
        <v>732</v>
      </c>
      <c r="D103" t="s">
        <v>731</v>
      </c>
      <c r="E103" t="s">
        <v>798</v>
      </c>
      <c r="F103">
        <f t="shared" si="2"/>
        <v>0</v>
      </c>
      <c r="G103">
        <f t="shared" si="3"/>
        <v>1</v>
      </c>
    </row>
    <row r="104" spans="1:7">
      <c r="A104" t="s">
        <v>733</v>
      </c>
      <c r="B104" t="s">
        <v>734</v>
      </c>
      <c r="D104" t="s">
        <v>733</v>
      </c>
      <c r="E104" t="s">
        <v>768</v>
      </c>
      <c r="F104">
        <f t="shared" si="2"/>
        <v>0</v>
      </c>
      <c r="G104">
        <f t="shared" si="3"/>
        <v>1</v>
      </c>
    </row>
    <row r="105" spans="1:7">
      <c r="A105" t="s">
        <v>735</v>
      </c>
      <c r="B105" t="s">
        <v>736</v>
      </c>
      <c r="D105" t="s">
        <v>735</v>
      </c>
      <c r="E105" t="s">
        <v>788</v>
      </c>
      <c r="F105">
        <f t="shared" si="2"/>
        <v>0</v>
      </c>
      <c r="G105">
        <f t="shared" si="3"/>
        <v>1</v>
      </c>
    </row>
    <row r="106" spans="1:7">
      <c r="A106" t="s">
        <v>737</v>
      </c>
      <c r="B106" t="s">
        <v>738</v>
      </c>
      <c r="D106" t="s">
        <v>737</v>
      </c>
      <c r="E106" t="s">
        <v>780</v>
      </c>
      <c r="F106">
        <f t="shared" si="2"/>
        <v>0</v>
      </c>
      <c r="G106">
        <f t="shared" si="3"/>
        <v>1</v>
      </c>
    </row>
    <row r="107" spans="1:7">
      <c r="A107" t="s">
        <v>739</v>
      </c>
      <c r="B107" t="s">
        <v>740</v>
      </c>
      <c r="D107" t="s">
        <v>739</v>
      </c>
      <c r="E107" t="s">
        <v>796</v>
      </c>
      <c r="F107">
        <f t="shared" si="2"/>
        <v>0</v>
      </c>
      <c r="G107">
        <f t="shared" si="3"/>
        <v>1</v>
      </c>
    </row>
    <row r="108" spans="1:7">
      <c r="A108" t="s">
        <v>751</v>
      </c>
      <c r="B108" t="s">
        <v>752</v>
      </c>
      <c r="D108" t="s">
        <v>751</v>
      </c>
      <c r="E108" t="s">
        <v>766</v>
      </c>
      <c r="F108">
        <f t="shared" si="2"/>
        <v>0</v>
      </c>
      <c r="G108">
        <f t="shared" si="3"/>
        <v>1</v>
      </c>
    </row>
    <row r="109" spans="1:7">
      <c r="A109" t="s">
        <v>753</v>
      </c>
      <c r="B109" t="s">
        <v>754</v>
      </c>
      <c r="D109" t="s">
        <v>753</v>
      </c>
      <c r="E109" t="s">
        <v>772</v>
      </c>
      <c r="F109">
        <f t="shared" si="2"/>
        <v>0</v>
      </c>
      <c r="G109">
        <f t="shared" si="3"/>
        <v>1</v>
      </c>
    </row>
    <row r="110" spans="1:7">
      <c r="A110" t="s">
        <v>573</v>
      </c>
      <c r="B110" t="s">
        <v>574</v>
      </c>
      <c r="D110" t="s">
        <v>573</v>
      </c>
      <c r="E110" t="s">
        <v>574</v>
      </c>
      <c r="F110">
        <f t="shared" si="2"/>
        <v>0</v>
      </c>
      <c r="G110">
        <f t="shared" si="3"/>
        <v>0</v>
      </c>
    </row>
    <row r="111" spans="1:7">
      <c r="A111" t="s">
        <v>577</v>
      </c>
      <c r="B111" t="s">
        <v>578</v>
      </c>
      <c r="D111" t="s">
        <v>577</v>
      </c>
      <c r="E111" t="s">
        <v>578</v>
      </c>
      <c r="F111">
        <f t="shared" si="2"/>
        <v>0</v>
      </c>
      <c r="G111">
        <f t="shared" si="3"/>
        <v>0</v>
      </c>
    </row>
    <row r="112" spans="1:7">
      <c r="A112" t="s">
        <v>585</v>
      </c>
      <c r="B112" t="s">
        <v>586</v>
      </c>
      <c r="D112" t="s">
        <v>585</v>
      </c>
      <c r="E112" t="s">
        <v>586</v>
      </c>
      <c r="F112">
        <f t="shared" si="2"/>
        <v>0</v>
      </c>
      <c r="G112">
        <f t="shared" si="3"/>
        <v>0</v>
      </c>
    </row>
    <row r="113" spans="1:7">
      <c r="A113" t="s">
        <v>591</v>
      </c>
      <c r="B113" t="s">
        <v>592</v>
      </c>
      <c r="D113" t="s">
        <v>591</v>
      </c>
      <c r="E113" t="s">
        <v>592</v>
      </c>
      <c r="F113">
        <f t="shared" si="2"/>
        <v>0</v>
      </c>
      <c r="G113">
        <f t="shared" si="3"/>
        <v>0</v>
      </c>
    </row>
    <row r="114" spans="1:7">
      <c r="A114" t="s">
        <v>595</v>
      </c>
      <c r="B114" t="s">
        <v>596</v>
      </c>
      <c r="D114" t="s">
        <v>595</v>
      </c>
      <c r="E114" t="s">
        <v>596</v>
      </c>
      <c r="F114">
        <f t="shared" si="2"/>
        <v>0</v>
      </c>
      <c r="G114">
        <f t="shared" si="3"/>
        <v>0</v>
      </c>
    </row>
    <row r="115" spans="1:7">
      <c r="A115" t="s">
        <v>599</v>
      </c>
      <c r="B115" t="s">
        <v>600</v>
      </c>
      <c r="D115" t="s">
        <v>599</v>
      </c>
      <c r="E115" t="s">
        <v>600</v>
      </c>
      <c r="F115">
        <f t="shared" si="2"/>
        <v>0</v>
      </c>
      <c r="G115">
        <f t="shared" si="3"/>
        <v>0</v>
      </c>
    </row>
    <row r="116" spans="1:7">
      <c r="A116" t="s">
        <v>593</v>
      </c>
      <c r="B116" t="s">
        <v>594</v>
      </c>
      <c r="D116" t="s">
        <v>593</v>
      </c>
      <c r="E116" t="s">
        <v>594</v>
      </c>
      <c r="F116">
        <f t="shared" si="2"/>
        <v>0</v>
      </c>
      <c r="G116">
        <f t="shared" si="3"/>
        <v>0</v>
      </c>
    </row>
    <row r="117" spans="1:7">
      <c r="A117" t="s">
        <v>589</v>
      </c>
      <c r="B117" t="s">
        <v>590</v>
      </c>
      <c r="D117" t="s">
        <v>589</v>
      </c>
      <c r="E117" t="s">
        <v>590</v>
      </c>
      <c r="F117">
        <f t="shared" si="2"/>
        <v>0</v>
      </c>
      <c r="G117">
        <f t="shared" si="3"/>
        <v>0</v>
      </c>
    </row>
    <row r="118" spans="1:7">
      <c r="A118" t="s">
        <v>597</v>
      </c>
      <c r="B118" t="s">
        <v>598</v>
      </c>
      <c r="D118" t="s">
        <v>597</v>
      </c>
      <c r="E118" t="s">
        <v>598</v>
      </c>
      <c r="F118">
        <f t="shared" si="2"/>
        <v>0</v>
      </c>
      <c r="G118">
        <f t="shared" si="3"/>
        <v>0</v>
      </c>
    </row>
    <row r="119" spans="1:7">
      <c r="A119" t="s">
        <v>587</v>
      </c>
      <c r="B119" t="s">
        <v>588</v>
      </c>
      <c r="D119" t="s">
        <v>587</v>
      </c>
      <c r="E119" t="s">
        <v>588</v>
      </c>
      <c r="F119">
        <f t="shared" si="2"/>
        <v>0</v>
      </c>
      <c r="G119">
        <f t="shared" si="3"/>
        <v>0</v>
      </c>
    </row>
    <row r="120" spans="1:7">
      <c r="A120" t="s">
        <v>575</v>
      </c>
      <c r="B120" t="s">
        <v>576</v>
      </c>
      <c r="D120" t="s">
        <v>575</v>
      </c>
      <c r="E120" t="s">
        <v>576</v>
      </c>
      <c r="F120">
        <f t="shared" si="2"/>
        <v>0</v>
      </c>
      <c r="G120">
        <f t="shared" si="3"/>
        <v>0</v>
      </c>
    </row>
    <row r="121" spans="1:7">
      <c r="A121" t="s">
        <v>583</v>
      </c>
      <c r="B121" t="s">
        <v>584</v>
      </c>
      <c r="D121" t="s">
        <v>583</v>
      </c>
      <c r="E121" t="s">
        <v>584</v>
      </c>
      <c r="F121">
        <f t="shared" si="2"/>
        <v>0</v>
      </c>
      <c r="G121">
        <f t="shared" si="3"/>
        <v>0</v>
      </c>
    </row>
    <row r="122" spans="1:7">
      <c r="A122" t="s">
        <v>581</v>
      </c>
      <c r="B122" t="s">
        <v>582</v>
      </c>
      <c r="D122" t="s">
        <v>581</v>
      </c>
      <c r="E122" t="s">
        <v>582</v>
      </c>
      <c r="F122">
        <f t="shared" si="2"/>
        <v>0</v>
      </c>
      <c r="G122">
        <f t="shared" si="3"/>
        <v>0</v>
      </c>
    </row>
    <row r="123" spans="1:7">
      <c r="A123" t="s">
        <v>579</v>
      </c>
      <c r="B123" t="s">
        <v>580</v>
      </c>
      <c r="D123" t="s">
        <v>579</v>
      </c>
      <c r="E123" t="s">
        <v>580</v>
      </c>
      <c r="F123">
        <f t="shared" si="2"/>
        <v>0</v>
      </c>
      <c r="G123">
        <f t="shared" si="3"/>
        <v>0</v>
      </c>
    </row>
    <row r="124" spans="1:7">
      <c r="A124" t="s">
        <v>545</v>
      </c>
      <c r="B124" t="s">
        <v>546</v>
      </c>
      <c r="D124" t="s">
        <v>545</v>
      </c>
      <c r="E124" t="s">
        <v>546</v>
      </c>
      <c r="F124">
        <f t="shared" si="2"/>
        <v>0</v>
      </c>
      <c r="G124">
        <f t="shared" si="3"/>
        <v>0</v>
      </c>
    </row>
    <row r="125" spans="1:7">
      <c r="A125" t="s">
        <v>523</v>
      </c>
      <c r="B125" t="s">
        <v>524</v>
      </c>
      <c r="D125" t="s">
        <v>523</v>
      </c>
      <c r="E125" t="s">
        <v>524</v>
      </c>
      <c r="F125">
        <f t="shared" si="2"/>
        <v>0</v>
      </c>
      <c r="G125">
        <f t="shared" si="3"/>
        <v>0</v>
      </c>
    </row>
    <row r="126" spans="1:7">
      <c r="A126" t="s">
        <v>529</v>
      </c>
      <c r="B126" t="s">
        <v>530</v>
      </c>
      <c r="D126" t="s">
        <v>529</v>
      </c>
      <c r="E126" t="s">
        <v>530</v>
      </c>
      <c r="F126">
        <f t="shared" si="2"/>
        <v>0</v>
      </c>
      <c r="G126">
        <f t="shared" si="3"/>
        <v>0</v>
      </c>
    </row>
    <row r="127" spans="1:7">
      <c r="A127" t="s">
        <v>531</v>
      </c>
      <c r="B127" t="s">
        <v>532</v>
      </c>
      <c r="D127" t="s">
        <v>531</v>
      </c>
      <c r="E127" t="s">
        <v>532</v>
      </c>
      <c r="F127">
        <f t="shared" si="2"/>
        <v>0</v>
      </c>
      <c r="G127">
        <f t="shared" si="3"/>
        <v>0</v>
      </c>
    </row>
    <row r="128" spans="1:7">
      <c r="A128" t="s">
        <v>533</v>
      </c>
      <c r="B128" t="s">
        <v>534</v>
      </c>
      <c r="D128" t="s">
        <v>533</v>
      </c>
      <c r="E128" t="s">
        <v>534</v>
      </c>
      <c r="F128">
        <f t="shared" si="2"/>
        <v>0</v>
      </c>
      <c r="G128">
        <f t="shared" si="3"/>
        <v>0</v>
      </c>
    </row>
    <row r="129" spans="1:7">
      <c r="A129" t="s">
        <v>535</v>
      </c>
      <c r="B129" t="s">
        <v>536</v>
      </c>
      <c r="D129" t="s">
        <v>535</v>
      </c>
      <c r="E129" t="s">
        <v>536</v>
      </c>
      <c r="F129">
        <f t="shared" si="2"/>
        <v>0</v>
      </c>
      <c r="G129">
        <f t="shared" si="3"/>
        <v>0</v>
      </c>
    </row>
    <row r="130" spans="1:7">
      <c r="A130" t="s">
        <v>537</v>
      </c>
      <c r="B130" t="s">
        <v>538</v>
      </c>
      <c r="D130" t="s">
        <v>537</v>
      </c>
      <c r="E130" t="s">
        <v>538</v>
      </c>
      <c r="F130">
        <f t="shared" si="2"/>
        <v>0</v>
      </c>
      <c r="G130">
        <f t="shared" si="3"/>
        <v>0</v>
      </c>
    </row>
    <row r="131" spans="1:7">
      <c r="A131" t="s">
        <v>539</v>
      </c>
      <c r="B131" t="s">
        <v>540</v>
      </c>
      <c r="D131" t="s">
        <v>539</v>
      </c>
      <c r="E131" t="s">
        <v>540</v>
      </c>
      <c r="F131">
        <f t="shared" ref="F131:F194" si="4">IF(A131=D131, 0, 1)</f>
        <v>0</v>
      </c>
      <c r="G131">
        <f t="shared" ref="G131:G194" si="5">IF(B131=E131, 0, 1)</f>
        <v>0</v>
      </c>
    </row>
    <row r="132" spans="1:7">
      <c r="A132" t="s">
        <v>541</v>
      </c>
      <c r="B132" t="s">
        <v>542</v>
      </c>
      <c r="D132" t="s">
        <v>541</v>
      </c>
      <c r="E132" t="s">
        <v>542</v>
      </c>
      <c r="F132">
        <f t="shared" si="4"/>
        <v>0</v>
      </c>
      <c r="G132">
        <f t="shared" si="5"/>
        <v>0</v>
      </c>
    </row>
    <row r="133" spans="1:7">
      <c r="A133" t="s">
        <v>543</v>
      </c>
      <c r="B133" t="s">
        <v>544</v>
      </c>
      <c r="D133" t="s">
        <v>543</v>
      </c>
      <c r="E133" t="s">
        <v>544</v>
      </c>
      <c r="F133">
        <f t="shared" si="4"/>
        <v>0</v>
      </c>
      <c r="G133">
        <f t="shared" si="5"/>
        <v>0</v>
      </c>
    </row>
    <row r="134" spans="1:7">
      <c r="A134" t="s">
        <v>547</v>
      </c>
      <c r="B134" t="s">
        <v>548</v>
      </c>
      <c r="D134" t="s">
        <v>547</v>
      </c>
      <c r="E134" t="s">
        <v>548</v>
      </c>
      <c r="F134">
        <f t="shared" si="4"/>
        <v>0</v>
      </c>
      <c r="G134">
        <f t="shared" si="5"/>
        <v>0</v>
      </c>
    </row>
    <row r="135" spans="1:7">
      <c r="A135" t="s">
        <v>519</v>
      </c>
      <c r="B135" t="s">
        <v>520</v>
      </c>
      <c r="D135" t="s">
        <v>519</v>
      </c>
      <c r="E135" t="s">
        <v>520</v>
      </c>
      <c r="F135">
        <f t="shared" si="4"/>
        <v>0</v>
      </c>
      <c r="G135">
        <f t="shared" si="5"/>
        <v>0</v>
      </c>
    </row>
    <row r="136" spans="1:7">
      <c r="A136" t="s">
        <v>527</v>
      </c>
      <c r="B136" t="s">
        <v>528</v>
      </c>
      <c r="D136" t="s">
        <v>527</v>
      </c>
      <c r="E136" t="s">
        <v>528</v>
      </c>
      <c r="F136">
        <f t="shared" si="4"/>
        <v>0</v>
      </c>
      <c r="G136">
        <f t="shared" si="5"/>
        <v>0</v>
      </c>
    </row>
    <row r="137" spans="1:7">
      <c r="A137" t="s">
        <v>521</v>
      </c>
      <c r="B137" t="s">
        <v>522</v>
      </c>
      <c r="D137" t="s">
        <v>521</v>
      </c>
      <c r="E137" t="s">
        <v>522</v>
      </c>
      <c r="F137">
        <f t="shared" si="4"/>
        <v>0</v>
      </c>
      <c r="G137">
        <f t="shared" si="5"/>
        <v>0</v>
      </c>
    </row>
    <row r="138" spans="1:7">
      <c r="A138" t="s">
        <v>525</v>
      </c>
      <c r="B138" t="s">
        <v>526</v>
      </c>
      <c r="D138" t="s">
        <v>525</v>
      </c>
      <c r="E138" t="s">
        <v>526</v>
      </c>
      <c r="F138">
        <f t="shared" si="4"/>
        <v>0</v>
      </c>
      <c r="G138">
        <f t="shared" si="5"/>
        <v>0</v>
      </c>
    </row>
    <row r="139" spans="1:7">
      <c r="A139" t="s">
        <v>765</v>
      </c>
      <c r="B139" t="s">
        <v>766</v>
      </c>
      <c r="D139" t="s">
        <v>765</v>
      </c>
      <c r="E139" t="s">
        <v>742</v>
      </c>
      <c r="F139">
        <f t="shared" si="4"/>
        <v>0</v>
      </c>
      <c r="G139">
        <f t="shared" si="5"/>
        <v>1</v>
      </c>
    </row>
    <row r="140" spans="1:7">
      <c r="A140" t="s">
        <v>767</v>
      </c>
      <c r="B140" t="s">
        <v>768</v>
      </c>
      <c r="D140" t="s">
        <v>767</v>
      </c>
      <c r="E140" t="s">
        <v>734</v>
      </c>
      <c r="F140">
        <f t="shared" si="4"/>
        <v>0</v>
      </c>
      <c r="G140">
        <f t="shared" si="5"/>
        <v>1</v>
      </c>
    </row>
    <row r="141" spans="1:7">
      <c r="A141" t="s">
        <v>785</v>
      </c>
      <c r="B141" t="s">
        <v>786</v>
      </c>
      <c r="D141" t="s">
        <v>785</v>
      </c>
      <c r="E141" t="s">
        <v>750</v>
      </c>
      <c r="F141">
        <f t="shared" si="4"/>
        <v>0</v>
      </c>
      <c r="G141">
        <f t="shared" si="5"/>
        <v>1</v>
      </c>
    </row>
    <row r="142" spans="1:7">
      <c r="A142" t="s">
        <v>787</v>
      </c>
      <c r="B142" t="s">
        <v>788</v>
      </c>
      <c r="D142" t="s">
        <v>787</v>
      </c>
      <c r="E142" t="s">
        <v>754</v>
      </c>
      <c r="F142">
        <f t="shared" si="4"/>
        <v>0</v>
      </c>
      <c r="G142">
        <f t="shared" si="5"/>
        <v>1</v>
      </c>
    </row>
    <row r="143" spans="1:7">
      <c r="A143" t="s">
        <v>789</v>
      </c>
      <c r="B143" t="s">
        <v>790</v>
      </c>
      <c r="D143" t="s">
        <v>789</v>
      </c>
      <c r="E143" t="s">
        <v>738</v>
      </c>
      <c r="F143">
        <f t="shared" si="4"/>
        <v>0</v>
      </c>
      <c r="G143">
        <f t="shared" si="5"/>
        <v>1</v>
      </c>
    </row>
    <row r="144" spans="1:7">
      <c r="A144" t="s">
        <v>791</v>
      </c>
      <c r="B144" t="s">
        <v>792</v>
      </c>
      <c r="D144" t="s">
        <v>791</v>
      </c>
      <c r="E144" t="s">
        <v>730</v>
      </c>
      <c r="F144">
        <f t="shared" si="4"/>
        <v>0</v>
      </c>
      <c r="G144">
        <f t="shared" si="5"/>
        <v>1</v>
      </c>
    </row>
    <row r="145" spans="1:7">
      <c r="A145" t="s">
        <v>793</v>
      </c>
      <c r="B145" t="s">
        <v>794</v>
      </c>
      <c r="D145" t="s">
        <v>793</v>
      </c>
      <c r="E145" t="s">
        <v>744</v>
      </c>
      <c r="F145">
        <f t="shared" si="4"/>
        <v>0</v>
      </c>
      <c r="G145">
        <f t="shared" si="5"/>
        <v>1</v>
      </c>
    </row>
    <row r="146" spans="1:7">
      <c r="A146" t="s">
        <v>769</v>
      </c>
      <c r="B146" t="s">
        <v>770</v>
      </c>
      <c r="D146" t="s">
        <v>769</v>
      </c>
      <c r="E146" t="s">
        <v>748</v>
      </c>
      <c r="F146">
        <f t="shared" si="4"/>
        <v>0</v>
      </c>
      <c r="G146">
        <f t="shared" si="5"/>
        <v>1</v>
      </c>
    </row>
    <row r="147" spans="1:7">
      <c r="A147" t="s">
        <v>771</v>
      </c>
      <c r="B147" t="s">
        <v>772</v>
      </c>
      <c r="D147" t="s">
        <v>771</v>
      </c>
      <c r="E147" t="s">
        <v>752</v>
      </c>
      <c r="F147">
        <f t="shared" si="4"/>
        <v>0</v>
      </c>
      <c r="G147">
        <f t="shared" si="5"/>
        <v>1</v>
      </c>
    </row>
    <row r="148" spans="1:7">
      <c r="A148" t="s">
        <v>773</v>
      </c>
      <c r="B148" t="s">
        <v>774</v>
      </c>
      <c r="D148" t="s">
        <v>773</v>
      </c>
      <c r="E148" t="s">
        <v>726</v>
      </c>
      <c r="F148">
        <f t="shared" si="4"/>
        <v>0</v>
      </c>
      <c r="G148">
        <f t="shared" si="5"/>
        <v>1</v>
      </c>
    </row>
    <row r="149" spans="1:7">
      <c r="A149" t="s">
        <v>775</v>
      </c>
      <c r="B149" t="s">
        <v>776</v>
      </c>
      <c r="D149" t="s">
        <v>775</v>
      </c>
      <c r="E149" t="s">
        <v>728</v>
      </c>
      <c r="F149">
        <f t="shared" si="4"/>
        <v>0</v>
      </c>
      <c r="G149">
        <f t="shared" si="5"/>
        <v>1</v>
      </c>
    </row>
    <row r="150" spans="1:7">
      <c r="A150" t="s">
        <v>777</v>
      </c>
      <c r="B150" t="s">
        <v>778</v>
      </c>
      <c r="D150" t="s">
        <v>777</v>
      </c>
      <c r="E150" t="s">
        <v>722</v>
      </c>
      <c r="F150">
        <f t="shared" si="4"/>
        <v>0</v>
      </c>
      <c r="G150">
        <f t="shared" si="5"/>
        <v>1</v>
      </c>
    </row>
    <row r="151" spans="1:7">
      <c r="A151" t="s">
        <v>779</v>
      </c>
      <c r="B151" t="s">
        <v>780</v>
      </c>
      <c r="D151" t="s">
        <v>779</v>
      </c>
      <c r="E151" t="s">
        <v>732</v>
      </c>
      <c r="F151">
        <f t="shared" si="4"/>
        <v>0</v>
      </c>
      <c r="G151">
        <f t="shared" si="5"/>
        <v>1</v>
      </c>
    </row>
    <row r="152" spans="1:7">
      <c r="A152" t="s">
        <v>781</v>
      </c>
      <c r="B152" t="s">
        <v>782</v>
      </c>
      <c r="D152" t="s">
        <v>781</v>
      </c>
      <c r="E152" t="s">
        <v>724</v>
      </c>
      <c r="F152">
        <f t="shared" si="4"/>
        <v>0</v>
      </c>
      <c r="G152">
        <f t="shared" si="5"/>
        <v>1</v>
      </c>
    </row>
    <row r="153" spans="1:7">
      <c r="A153" t="s">
        <v>783</v>
      </c>
      <c r="B153" t="s">
        <v>784</v>
      </c>
      <c r="D153" t="s">
        <v>783</v>
      </c>
      <c r="E153" t="s">
        <v>736</v>
      </c>
      <c r="F153">
        <f t="shared" si="4"/>
        <v>0</v>
      </c>
      <c r="G153">
        <f t="shared" si="5"/>
        <v>1</v>
      </c>
    </row>
    <row r="154" spans="1:7">
      <c r="A154" t="s">
        <v>795</v>
      </c>
      <c r="B154" t="s">
        <v>796</v>
      </c>
      <c r="D154" t="s">
        <v>795</v>
      </c>
      <c r="E154" t="s">
        <v>746</v>
      </c>
      <c r="F154">
        <f t="shared" si="4"/>
        <v>0</v>
      </c>
      <c r="G154">
        <f t="shared" si="5"/>
        <v>1</v>
      </c>
    </row>
    <row r="155" spans="1:7">
      <c r="A155" t="s">
        <v>797</v>
      </c>
      <c r="B155" t="s">
        <v>798</v>
      </c>
      <c r="D155" t="s">
        <v>797</v>
      </c>
      <c r="E155" t="s">
        <v>740</v>
      </c>
      <c r="F155">
        <f t="shared" si="4"/>
        <v>0</v>
      </c>
      <c r="G155">
        <f t="shared" si="5"/>
        <v>1</v>
      </c>
    </row>
    <row r="156" spans="1:7">
      <c r="A156" t="s">
        <v>619</v>
      </c>
      <c r="B156" t="s">
        <v>620</v>
      </c>
      <c r="D156" t="s">
        <v>619</v>
      </c>
      <c r="E156" t="s">
        <v>620</v>
      </c>
      <c r="F156">
        <f t="shared" si="4"/>
        <v>0</v>
      </c>
      <c r="G156">
        <f t="shared" si="5"/>
        <v>0</v>
      </c>
    </row>
    <row r="157" spans="1:7">
      <c r="A157" t="s">
        <v>621</v>
      </c>
      <c r="B157" t="s">
        <v>622</v>
      </c>
      <c r="D157" t="s">
        <v>621</v>
      </c>
      <c r="E157" t="s">
        <v>622</v>
      </c>
      <c r="F157">
        <f t="shared" si="4"/>
        <v>0</v>
      </c>
      <c r="G157">
        <f t="shared" si="5"/>
        <v>0</v>
      </c>
    </row>
    <row r="158" spans="1:7">
      <c r="A158" t="s">
        <v>607</v>
      </c>
      <c r="B158" t="s">
        <v>608</v>
      </c>
      <c r="D158" t="s">
        <v>607</v>
      </c>
      <c r="E158" t="s">
        <v>608</v>
      </c>
      <c r="F158">
        <f t="shared" si="4"/>
        <v>0</v>
      </c>
      <c r="G158">
        <f t="shared" si="5"/>
        <v>0</v>
      </c>
    </row>
    <row r="159" spans="1:7">
      <c r="A159" t="s">
        <v>615</v>
      </c>
      <c r="B159" t="s">
        <v>616</v>
      </c>
      <c r="D159" t="s">
        <v>615</v>
      </c>
      <c r="E159" t="s">
        <v>616</v>
      </c>
      <c r="F159">
        <f t="shared" si="4"/>
        <v>0</v>
      </c>
      <c r="G159">
        <f t="shared" si="5"/>
        <v>0</v>
      </c>
    </row>
    <row r="160" spans="1:7">
      <c r="A160" t="s">
        <v>613</v>
      </c>
      <c r="B160" t="s">
        <v>614</v>
      </c>
      <c r="D160" t="s">
        <v>613</v>
      </c>
      <c r="E160" t="s">
        <v>614</v>
      </c>
      <c r="F160">
        <f t="shared" si="4"/>
        <v>0</v>
      </c>
      <c r="G160">
        <f t="shared" si="5"/>
        <v>0</v>
      </c>
    </row>
    <row r="161" spans="1:7">
      <c r="A161" t="s">
        <v>605</v>
      </c>
      <c r="B161" t="s">
        <v>606</v>
      </c>
      <c r="D161" t="s">
        <v>605</v>
      </c>
      <c r="E161" t="s">
        <v>606</v>
      </c>
      <c r="F161">
        <f t="shared" si="4"/>
        <v>0</v>
      </c>
      <c r="G161">
        <f t="shared" si="5"/>
        <v>0</v>
      </c>
    </row>
    <row r="162" spans="1:7">
      <c r="A162" t="s">
        <v>609</v>
      </c>
      <c r="B162" t="s">
        <v>610</v>
      </c>
      <c r="D162" t="s">
        <v>609</v>
      </c>
      <c r="E162" t="s">
        <v>610</v>
      </c>
      <c r="F162">
        <f t="shared" si="4"/>
        <v>0</v>
      </c>
      <c r="G162">
        <f t="shared" si="5"/>
        <v>0</v>
      </c>
    </row>
    <row r="163" spans="1:7">
      <c r="A163" t="s">
        <v>611</v>
      </c>
      <c r="B163" t="s">
        <v>612</v>
      </c>
      <c r="D163" t="s">
        <v>611</v>
      </c>
      <c r="E163" t="s">
        <v>612</v>
      </c>
      <c r="F163">
        <f t="shared" si="4"/>
        <v>0</v>
      </c>
      <c r="G163">
        <f t="shared" si="5"/>
        <v>0</v>
      </c>
    </row>
    <row r="164" spans="1:7">
      <c r="A164" t="s">
        <v>603</v>
      </c>
      <c r="B164" t="s">
        <v>604</v>
      </c>
      <c r="D164" t="s">
        <v>603</v>
      </c>
      <c r="E164" t="s">
        <v>604</v>
      </c>
      <c r="F164">
        <f t="shared" si="4"/>
        <v>0</v>
      </c>
      <c r="G164">
        <f t="shared" si="5"/>
        <v>0</v>
      </c>
    </row>
    <row r="165" spans="1:7">
      <c r="A165" t="s">
        <v>617</v>
      </c>
      <c r="B165" t="s">
        <v>618</v>
      </c>
      <c r="D165" t="s">
        <v>617</v>
      </c>
      <c r="E165" t="s">
        <v>618</v>
      </c>
      <c r="F165">
        <f t="shared" si="4"/>
        <v>0</v>
      </c>
      <c r="G165">
        <f t="shared" si="5"/>
        <v>0</v>
      </c>
    </row>
    <row r="166" spans="1:7">
      <c r="A166" t="s">
        <v>625</v>
      </c>
      <c r="B166" t="s">
        <v>626</v>
      </c>
      <c r="D166" t="s">
        <v>625</v>
      </c>
      <c r="E166" t="s">
        <v>626</v>
      </c>
      <c r="F166">
        <f t="shared" si="4"/>
        <v>0</v>
      </c>
      <c r="G166">
        <f t="shared" si="5"/>
        <v>0</v>
      </c>
    </row>
    <row r="167" spans="1:7">
      <c r="A167" t="s">
        <v>623</v>
      </c>
      <c r="B167" t="s">
        <v>624</v>
      </c>
      <c r="D167" t="s">
        <v>623</v>
      </c>
      <c r="E167" t="s">
        <v>624</v>
      </c>
      <c r="F167">
        <f t="shared" si="4"/>
        <v>0</v>
      </c>
      <c r="G167">
        <f t="shared" si="5"/>
        <v>0</v>
      </c>
    </row>
    <row r="168" spans="1:7">
      <c r="A168" t="s">
        <v>629</v>
      </c>
      <c r="B168" t="s">
        <v>630</v>
      </c>
      <c r="D168" t="s">
        <v>629</v>
      </c>
      <c r="E168" t="s">
        <v>630</v>
      </c>
      <c r="F168">
        <f t="shared" si="4"/>
        <v>0</v>
      </c>
      <c r="G168">
        <f t="shared" si="5"/>
        <v>0</v>
      </c>
    </row>
    <row r="169" spans="1:7">
      <c r="A169" t="s">
        <v>627</v>
      </c>
      <c r="B169" t="s">
        <v>628</v>
      </c>
      <c r="D169" t="s">
        <v>627</v>
      </c>
      <c r="E169" t="s">
        <v>628</v>
      </c>
      <c r="F169">
        <f t="shared" si="4"/>
        <v>0</v>
      </c>
      <c r="G169">
        <f t="shared" si="5"/>
        <v>0</v>
      </c>
    </row>
    <row r="170" spans="1:7">
      <c r="A170" t="s">
        <v>505</v>
      </c>
      <c r="B170" t="s">
        <v>506</v>
      </c>
      <c r="D170" t="s">
        <v>505</v>
      </c>
      <c r="E170" t="s">
        <v>506</v>
      </c>
      <c r="F170">
        <f t="shared" si="4"/>
        <v>0</v>
      </c>
      <c r="G170">
        <f t="shared" si="5"/>
        <v>0</v>
      </c>
    </row>
    <row r="171" spans="1:7">
      <c r="A171" t="s">
        <v>513</v>
      </c>
      <c r="B171" t="s">
        <v>514</v>
      </c>
      <c r="D171" t="s">
        <v>513</v>
      </c>
      <c r="E171" t="s">
        <v>514</v>
      </c>
      <c r="F171">
        <f t="shared" si="4"/>
        <v>0</v>
      </c>
      <c r="G171">
        <f t="shared" si="5"/>
        <v>0</v>
      </c>
    </row>
    <row r="172" spans="1:7">
      <c r="A172" t="s">
        <v>489</v>
      </c>
      <c r="B172" t="s">
        <v>490</v>
      </c>
      <c r="D172" t="s">
        <v>489</v>
      </c>
      <c r="E172" t="s">
        <v>490</v>
      </c>
      <c r="F172">
        <f t="shared" si="4"/>
        <v>0</v>
      </c>
      <c r="G172">
        <f t="shared" si="5"/>
        <v>0</v>
      </c>
    </row>
    <row r="173" spans="1:7">
      <c r="A173" t="s">
        <v>491</v>
      </c>
      <c r="B173" t="s">
        <v>492</v>
      </c>
      <c r="D173" t="s">
        <v>491</v>
      </c>
      <c r="E173" t="s">
        <v>492</v>
      </c>
      <c r="F173">
        <f t="shared" si="4"/>
        <v>0</v>
      </c>
      <c r="G173">
        <f t="shared" si="5"/>
        <v>0</v>
      </c>
    </row>
    <row r="174" spans="1:7">
      <c r="A174" t="s">
        <v>493</v>
      </c>
      <c r="B174" t="s">
        <v>494</v>
      </c>
      <c r="D174" t="s">
        <v>493</v>
      </c>
      <c r="E174" t="s">
        <v>494</v>
      </c>
      <c r="F174">
        <f t="shared" si="4"/>
        <v>0</v>
      </c>
      <c r="G174">
        <f t="shared" si="5"/>
        <v>0</v>
      </c>
    </row>
    <row r="175" spans="1:7">
      <c r="A175" t="s">
        <v>495</v>
      </c>
      <c r="B175" t="s">
        <v>496</v>
      </c>
      <c r="D175" t="s">
        <v>495</v>
      </c>
      <c r="E175" t="s">
        <v>496</v>
      </c>
      <c r="F175">
        <f t="shared" si="4"/>
        <v>0</v>
      </c>
      <c r="G175">
        <f t="shared" si="5"/>
        <v>0</v>
      </c>
    </row>
    <row r="176" spans="1:7">
      <c r="A176" t="s">
        <v>497</v>
      </c>
      <c r="B176" t="s">
        <v>498</v>
      </c>
      <c r="D176" t="s">
        <v>497</v>
      </c>
      <c r="E176" t="s">
        <v>498</v>
      </c>
      <c r="F176">
        <f t="shared" si="4"/>
        <v>0</v>
      </c>
      <c r="G176">
        <f t="shared" si="5"/>
        <v>0</v>
      </c>
    </row>
    <row r="177" spans="1:7">
      <c r="A177" t="s">
        <v>499</v>
      </c>
      <c r="B177" t="s">
        <v>500</v>
      </c>
      <c r="D177" t="s">
        <v>499</v>
      </c>
      <c r="E177" t="s">
        <v>500</v>
      </c>
      <c r="F177">
        <f t="shared" si="4"/>
        <v>0</v>
      </c>
      <c r="G177">
        <f t="shared" si="5"/>
        <v>0</v>
      </c>
    </row>
    <row r="178" spans="1:7">
      <c r="A178" t="s">
        <v>501</v>
      </c>
      <c r="B178" t="s">
        <v>502</v>
      </c>
      <c r="D178" t="s">
        <v>501</v>
      </c>
      <c r="E178" t="s">
        <v>502</v>
      </c>
      <c r="F178">
        <f t="shared" si="4"/>
        <v>0</v>
      </c>
      <c r="G178">
        <f t="shared" si="5"/>
        <v>0</v>
      </c>
    </row>
    <row r="179" spans="1:7">
      <c r="A179" t="s">
        <v>503</v>
      </c>
      <c r="B179" t="s">
        <v>504</v>
      </c>
      <c r="D179" t="s">
        <v>503</v>
      </c>
      <c r="E179" t="s">
        <v>504</v>
      </c>
      <c r="F179">
        <f t="shared" si="4"/>
        <v>0</v>
      </c>
      <c r="G179">
        <f t="shared" si="5"/>
        <v>0</v>
      </c>
    </row>
    <row r="180" spans="1:7">
      <c r="A180" t="s">
        <v>507</v>
      </c>
      <c r="B180" t="s">
        <v>508</v>
      </c>
      <c r="D180" t="s">
        <v>507</v>
      </c>
      <c r="E180" t="s">
        <v>508</v>
      </c>
      <c r="F180">
        <f t="shared" si="4"/>
        <v>0</v>
      </c>
      <c r="G180">
        <f t="shared" si="5"/>
        <v>0</v>
      </c>
    </row>
    <row r="181" spans="1:7">
      <c r="A181" t="s">
        <v>517</v>
      </c>
      <c r="B181" t="s">
        <v>518</v>
      </c>
      <c r="D181" t="s">
        <v>517</v>
      </c>
      <c r="E181" t="s">
        <v>518</v>
      </c>
      <c r="F181">
        <f t="shared" si="4"/>
        <v>0</v>
      </c>
      <c r="G181">
        <f t="shared" si="5"/>
        <v>0</v>
      </c>
    </row>
    <row r="182" spans="1:7">
      <c r="A182" t="s">
        <v>509</v>
      </c>
      <c r="B182" t="s">
        <v>510</v>
      </c>
      <c r="D182" t="s">
        <v>509</v>
      </c>
      <c r="E182" t="s">
        <v>510</v>
      </c>
      <c r="F182">
        <f t="shared" si="4"/>
        <v>0</v>
      </c>
      <c r="G182">
        <f t="shared" si="5"/>
        <v>0</v>
      </c>
    </row>
    <row r="183" spans="1:7">
      <c r="A183" t="s">
        <v>515</v>
      </c>
      <c r="B183" t="s">
        <v>516</v>
      </c>
      <c r="D183" t="s">
        <v>515</v>
      </c>
      <c r="E183" t="s">
        <v>516</v>
      </c>
      <c r="F183">
        <f t="shared" si="4"/>
        <v>0</v>
      </c>
      <c r="G183">
        <f t="shared" si="5"/>
        <v>0</v>
      </c>
    </row>
    <row r="184" spans="1:7">
      <c r="A184" t="s">
        <v>511</v>
      </c>
      <c r="B184" t="s">
        <v>512</v>
      </c>
      <c r="D184" t="s">
        <v>511</v>
      </c>
      <c r="E184" t="s">
        <v>512</v>
      </c>
      <c r="F184">
        <f t="shared" si="4"/>
        <v>0</v>
      </c>
      <c r="G184">
        <f t="shared" si="5"/>
        <v>0</v>
      </c>
    </row>
    <row r="185" spans="1:7">
      <c r="A185" t="s">
        <v>921</v>
      </c>
      <c r="B185" t="s">
        <v>922</v>
      </c>
      <c r="D185" t="s">
        <v>921</v>
      </c>
      <c r="E185" t="s">
        <v>924</v>
      </c>
      <c r="F185">
        <f t="shared" si="4"/>
        <v>0</v>
      </c>
      <c r="G185">
        <f t="shared" si="5"/>
        <v>1</v>
      </c>
    </row>
    <row r="186" spans="1:7">
      <c r="A186" t="s">
        <v>923</v>
      </c>
      <c r="B186" t="s">
        <v>924</v>
      </c>
      <c r="D186" t="s">
        <v>923</v>
      </c>
      <c r="E186" t="s">
        <v>906</v>
      </c>
      <c r="F186">
        <f t="shared" si="4"/>
        <v>0</v>
      </c>
      <c r="G186">
        <f t="shared" si="5"/>
        <v>1</v>
      </c>
    </row>
    <row r="187" spans="1:7">
      <c r="A187" t="s">
        <v>715</v>
      </c>
      <c r="B187" t="s">
        <v>716</v>
      </c>
      <c r="D187" t="s">
        <v>715</v>
      </c>
      <c r="E187" t="s">
        <v>716</v>
      </c>
      <c r="F187">
        <f t="shared" si="4"/>
        <v>0</v>
      </c>
      <c r="G187">
        <f t="shared" si="5"/>
        <v>0</v>
      </c>
    </row>
    <row r="188" spans="1:7">
      <c r="A188" t="s">
        <v>763</v>
      </c>
      <c r="B188" t="s">
        <v>764</v>
      </c>
      <c r="D188" t="s">
        <v>763</v>
      </c>
      <c r="E188" t="s">
        <v>764</v>
      </c>
      <c r="F188">
        <f t="shared" si="4"/>
        <v>0</v>
      </c>
      <c r="G188">
        <f t="shared" si="5"/>
        <v>0</v>
      </c>
    </row>
    <row r="189" spans="1:7">
      <c r="A189" t="s">
        <v>917</v>
      </c>
      <c r="B189" t="s">
        <v>918</v>
      </c>
      <c r="D189" t="s">
        <v>917</v>
      </c>
      <c r="E189" t="s">
        <v>922</v>
      </c>
      <c r="F189">
        <f t="shared" si="4"/>
        <v>0</v>
      </c>
      <c r="G189">
        <f t="shared" si="5"/>
        <v>1</v>
      </c>
    </row>
    <row r="190" spans="1:7">
      <c r="A190" t="s">
        <v>919</v>
      </c>
      <c r="B190" t="s">
        <v>920</v>
      </c>
      <c r="D190" t="s">
        <v>919</v>
      </c>
      <c r="E190" t="s">
        <v>920</v>
      </c>
      <c r="F190">
        <f t="shared" si="4"/>
        <v>0</v>
      </c>
      <c r="G190">
        <f t="shared" si="5"/>
        <v>0</v>
      </c>
    </row>
    <row r="191" spans="1:7">
      <c r="A191" t="s">
        <v>713</v>
      </c>
      <c r="B191" t="s">
        <v>714</v>
      </c>
      <c r="D191" t="s">
        <v>713</v>
      </c>
      <c r="E191" t="s">
        <v>714</v>
      </c>
      <c r="F191">
        <f t="shared" si="4"/>
        <v>0</v>
      </c>
      <c r="G191">
        <f t="shared" si="5"/>
        <v>0</v>
      </c>
    </row>
    <row r="192" spans="1:7">
      <c r="A192" t="s">
        <v>761</v>
      </c>
      <c r="B192" t="s">
        <v>762</v>
      </c>
      <c r="D192" t="s">
        <v>761</v>
      </c>
      <c r="E192" t="s">
        <v>762</v>
      </c>
      <c r="F192">
        <f t="shared" si="4"/>
        <v>0</v>
      </c>
      <c r="G192">
        <f t="shared" si="5"/>
        <v>0</v>
      </c>
    </row>
    <row r="193" spans="1:7">
      <c r="A193" t="s">
        <v>913</v>
      </c>
      <c r="B193" t="s">
        <v>914</v>
      </c>
      <c r="D193" t="s">
        <v>913</v>
      </c>
      <c r="E193" t="s">
        <v>910</v>
      </c>
      <c r="F193">
        <f t="shared" si="4"/>
        <v>0</v>
      </c>
      <c r="G193">
        <f t="shared" si="5"/>
        <v>1</v>
      </c>
    </row>
    <row r="194" spans="1:7">
      <c r="A194" t="s">
        <v>915</v>
      </c>
      <c r="B194" t="s">
        <v>916</v>
      </c>
      <c r="D194" t="s">
        <v>915</v>
      </c>
      <c r="E194" t="s">
        <v>916</v>
      </c>
      <c r="F194">
        <f t="shared" si="4"/>
        <v>0</v>
      </c>
      <c r="G194">
        <f t="shared" si="5"/>
        <v>0</v>
      </c>
    </row>
    <row r="195" spans="1:7">
      <c r="A195" t="s">
        <v>711</v>
      </c>
      <c r="B195" t="s">
        <v>712</v>
      </c>
      <c r="D195" t="s">
        <v>711</v>
      </c>
      <c r="E195" t="s">
        <v>712</v>
      </c>
      <c r="F195">
        <f t="shared" ref="F195:F258" si="6">IF(A195=D195, 0, 1)</f>
        <v>0</v>
      </c>
      <c r="G195">
        <f t="shared" ref="G195:G258" si="7">IF(B195=E195, 0, 1)</f>
        <v>0</v>
      </c>
    </row>
    <row r="196" spans="1:7">
      <c r="A196" t="s">
        <v>759</v>
      </c>
      <c r="B196" t="s">
        <v>760</v>
      </c>
      <c r="D196" t="s">
        <v>759</v>
      </c>
      <c r="E196" t="s">
        <v>760</v>
      </c>
      <c r="F196">
        <f t="shared" si="6"/>
        <v>0</v>
      </c>
      <c r="G196">
        <f t="shared" si="7"/>
        <v>0</v>
      </c>
    </row>
    <row r="197" spans="1:7">
      <c r="A197" t="s">
        <v>909</v>
      </c>
      <c r="B197" t="s">
        <v>910</v>
      </c>
      <c r="D197" t="s">
        <v>909</v>
      </c>
      <c r="E197" t="s">
        <v>918</v>
      </c>
      <c r="F197">
        <f t="shared" si="6"/>
        <v>0</v>
      </c>
      <c r="G197">
        <f t="shared" si="7"/>
        <v>1</v>
      </c>
    </row>
    <row r="198" spans="1:7">
      <c r="A198" t="s">
        <v>911</v>
      </c>
      <c r="B198" t="s">
        <v>912</v>
      </c>
      <c r="D198" t="s">
        <v>911</v>
      </c>
      <c r="E198" t="s">
        <v>908</v>
      </c>
      <c r="F198">
        <f t="shared" si="6"/>
        <v>0</v>
      </c>
      <c r="G198">
        <f t="shared" si="7"/>
        <v>1</v>
      </c>
    </row>
    <row r="199" spans="1:7">
      <c r="A199" t="s">
        <v>709</v>
      </c>
      <c r="B199" t="s">
        <v>710</v>
      </c>
      <c r="D199" t="s">
        <v>709</v>
      </c>
      <c r="E199" t="s">
        <v>710</v>
      </c>
      <c r="F199">
        <f t="shared" si="6"/>
        <v>0</v>
      </c>
      <c r="G199">
        <f t="shared" si="7"/>
        <v>0</v>
      </c>
    </row>
    <row r="200" spans="1:7">
      <c r="A200" t="s">
        <v>757</v>
      </c>
      <c r="B200" t="s">
        <v>758</v>
      </c>
      <c r="D200" t="s">
        <v>757</v>
      </c>
      <c r="E200" t="s">
        <v>758</v>
      </c>
      <c r="F200">
        <f t="shared" si="6"/>
        <v>0</v>
      </c>
      <c r="G200">
        <f t="shared" si="7"/>
        <v>0</v>
      </c>
    </row>
    <row r="201" spans="1:7">
      <c r="A201" t="s">
        <v>905</v>
      </c>
      <c r="B201" t="s">
        <v>906</v>
      </c>
      <c r="D201" t="s">
        <v>905</v>
      </c>
      <c r="E201" t="s">
        <v>914</v>
      </c>
      <c r="F201">
        <f t="shared" si="6"/>
        <v>0</v>
      </c>
      <c r="G201">
        <f t="shared" si="7"/>
        <v>1</v>
      </c>
    </row>
    <row r="202" spans="1:7">
      <c r="A202" t="s">
        <v>907</v>
      </c>
      <c r="B202" t="s">
        <v>908</v>
      </c>
      <c r="D202" t="s">
        <v>907</v>
      </c>
      <c r="E202" t="s">
        <v>912</v>
      </c>
      <c r="F202">
        <f t="shared" si="6"/>
        <v>0</v>
      </c>
      <c r="G202">
        <f t="shared" si="7"/>
        <v>1</v>
      </c>
    </row>
    <row r="203" spans="1:7">
      <c r="A203" t="s">
        <v>707</v>
      </c>
      <c r="B203" t="s">
        <v>708</v>
      </c>
      <c r="D203" t="s">
        <v>707</v>
      </c>
      <c r="E203" t="s">
        <v>708</v>
      </c>
      <c r="F203">
        <f t="shared" si="6"/>
        <v>0</v>
      </c>
      <c r="G203">
        <f t="shared" si="7"/>
        <v>0</v>
      </c>
    </row>
    <row r="204" spans="1:7">
      <c r="A204" t="s">
        <v>755</v>
      </c>
      <c r="B204" t="s">
        <v>756</v>
      </c>
      <c r="D204" t="s">
        <v>755</v>
      </c>
      <c r="E204" t="s">
        <v>756</v>
      </c>
      <c r="F204">
        <f t="shared" si="6"/>
        <v>0</v>
      </c>
      <c r="G204">
        <f t="shared" si="7"/>
        <v>0</v>
      </c>
    </row>
    <row r="205" spans="1:7">
      <c r="A205" t="s">
        <v>1013</v>
      </c>
      <c r="B205" t="s">
        <v>1014</v>
      </c>
      <c r="D205" t="s">
        <v>1013</v>
      </c>
      <c r="E205" t="s">
        <v>998</v>
      </c>
      <c r="F205">
        <f t="shared" si="6"/>
        <v>0</v>
      </c>
      <c r="G205">
        <f t="shared" si="7"/>
        <v>1</v>
      </c>
    </row>
    <row r="206" spans="1:7">
      <c r="A206" t="s">
        <v>899</v>
      </c>
      <c r="B206" t="s">
        <v>900</v>
      </c>
      <c r="D206" t="s">
        <v>899</v>
      </c>
      <c r="E206" t="s">
        <v>900</v>
      </c>
      <c r="F206">
        <f t="shared" si="6"/>
        <v>0</v>
      </c>
      <c r="G206">
        <f t="shared" si="7"/>
        <v>0</v>
      </c>
    </row>
    <row r="207" spans="1:7">
      <c r="A207" t="s">
        <v>1011</v>
      </c>
      <c r="B207" t="s">
        <v>1012</v>
      </c>
      <c r="D207" t="s">
        <v>1011</v>
      </c>
      <c r="E207" t="s">
        <v>1000</v>
      </c>
      <c r="F207">
        <f t="shared" si="6"/>
        <v>0</v>
      </c>
      <c r="G207">
        <f t="shared" si="7"/>
        <v>1</v>
      </c>
    </row>
    <row r="208" spans="1:7">
      <c r="A208" t="s">
        <v>897</v>
      </c>
      <c r="B208" t="s">
        <v>898</v>
      </c>
      <c r="D208" t="s">
        <v>897</v>
      </c>
      <c r="E208" t="s">
        <v>898</v>
      </c>
      <c r="F208">
        <f t="shared" si="6"/>
        <v>0</v>
      </c>
      <c r="G208">
        <f t="shared" si="7"/>
        <v>0</v>
      </c>
    </row>
    <row r="209" spans="1:7">
      <c r="A209" t="s">
        <v>1009</v>
      </c>
      <c r="B209" t="s">
        <v>1010</v>
      </c>
      <c r="D209" t="s">
        <v>1009</v>
      </c>
      <c r="E209" t="s">
        <v>1004</v>
      </c>
      <c r="F209">
        <f t="shared" si="6"/>
        <v>0</v>
      </c>
      <c r="G209">
        <f t="shared" si="7"/>
        <v>1</v>
      </c>
    </row>
    <row r="210" spans="1:7">
      <c r="A210" t="s">
        <v>895</v>
      </c>
      <c r="B210" t="s">
        <v>896</v>
      </c>
      <c r="D210" t="s">
        <v>895</v>
      </c>
      <c r="E210" t="s">
        <v>896</v>
      </c>
      <c r="F210">
        <f t="shared" si="6"/>
        <v>0</v>
      </c>
      <c r="G210">
        <f t="shared" si="7"/>
        <v>0</v>
      </c>
    </row>
    <row r="211" spans="1:7">
      <c r="A211" t="s">
        <v>1007</v>
      </c>
      <c r="B211" t="s">
        <v>1008</v>
      </c>
      <c r="D211" t="s">
        <v>1007</v>
      </c>
      <c r="E211" t="s">
        <v>1002</v>
      </c>
      <c r="F211">
        <f t="shared" si="6"/>
        <v>0</v>
      </c>
      <c r="G211">
        <f t="shared" si="7"/>
        <v>1</v>
      </c>
    </row>
    <row r="212" spans="1:7">
      <c r="A212" t="s">
        <v>893</v>
      </c>
      <c r="B212" t="s">
        <v>894</v>
      </c>
      <c r="D212" t="s">
        <v>893</v>
      </c>
      <c r="E212" t="s">
        <v>894</v>
      </c>
      <c r="F212">
        <f t="shared" si="6"/>
        <v>0</v>
      </c>
      <c r="G212">
        <f t="shared" si="7"/>
        <v>0</v>
      </c>
    </row>
    <row r="213" spans="1:7">
      <c r="A213" t="s">
        <v>1005</v>
      </c>
      <c r="B213" t="s">
        <v>1006</v>
      </c>
      <c r="D213" t="s">
        <v>1005</v>
      </c>
      <c r="E213" t="s">
        <v>1012</v>
      </c>
      <c r="F213">
        <f t="shared" si="6"/>
        <v>0</v>
      </c>
      <c r="G213">
        <f t="shared" si="7"/>
        <v>1</v>
      </c>
    </row>
    <row r="214" spans="1:7">
      <c r="A214" t="s">
        <v>891</v>
      </c>
      <c r="B214" t="s">
        <v>892</v>
      </c>
      <c r="D214" t="s">
        <v>891</v>
      </c>
      <c r="E214" t="s">
        <v>892</v>
      </c>
      <c r="F214">
        <f t="shared" si="6"/>
        <v>0</v>
      </c>
      <c r="G214">
        <f t="shared" si="7"/>
        <v>0</v>
      </c>
    </row>
    <row r="215" spans="1:7">
      <c r="A215" t="s">
        <v>1003</v>
      </c>
      <c r="B215" t="s">
        <v>1004</v>
      </c>
      <c r="D215" t="s">
        <v>1003</v>
      </c>
      <c r="E215" t="s">
        <v>1010</v>
      </c>
      <c r="F215">
        <f t="shared" si="6"/>
        <v>0</v>
      </c>
      <c r="G215">
        <f t="shared" si="7"/>
        <v>1</v>
      </c>
    </row>
    <row r="216" spans="1:7">
      <c r="A216" t="s">
        <v>889</v>
      </c>
      <c r="B216" t="s">
        <v>890</v>
      </c>
      <c r="D216" t="s">
        <v>889</v>
      </c>
      <c r="E216" t="s">
        <v>890</v>
      </c>
      <c r="F216">
        <f t="shared" si="6"/>
        <v>0</v>
      </c>
      <c r="G216">
        <f t="shared" si="7"/>
        <v>0</v>
      </c>
    </row>
    <row r="217" spans="1:7">
      <c r="A217" t="s">
        <v>1001</v>
      </c>
      <c r="B217" t="s">
        <v>1002</v>
      </c>
      <c r="D217" t="s">
        <v>1001</v>
      </c>
      <c r="E217" t="s">
        <v>996</v>
      </c>
      <c r="F217">
        <f t="shared" si="6"/>
        <v>0</v>
      </c>
      <c r="G217">
        <f t="shared" si="7"/>
        <v>1</v>
      </c>
    </row>
    <row r="218" spans="1:7">
      <c r="A218" t="s">
        <v>887</v>
      </c>
      <c r="B218" t="s">
        <v>888</v>
      </c>
      <c r="D218" t="s">
        <v>887</v>
      </c>
      <c r="E218" t="s">
        <v>888</v>
      </c>
      <c r="F218">
        <f t="shared" si="6"/>
        <v>0</v>
      </c>
      <c r="G218">
        <f t="shared" si="7"/>
        <v>0</v>
      </c>
    </row>
    <row r="219" spans="1:7">
      <c r="A219" t="s">
        <v>999</v>
      </c>
      <c r="B219" t="s">
        <v>1000</v>
      </c>
      <c r="D219" t="s">
        <v>999</v>
      </c>
      <c r="E219" t="s">
        <v>1014</v>
      </c>
      <c r="F219">
        <f t="shared" si="6"/>
        <v>0</v>
      </c>
      <c r="G219">
        <f t="shared" si="7"/>
        <v>1</v>
      </c>
    </row>
    <row r="220" spans="1:7">
      <c r="A220" t="s">
        <v>885</v>
      </c>
      <c r="B220" t="s">
        <v>886</v>
      </c>
      <c r="D220" t="s">
        <v>885</v>
      </c>
      <c r="E220" t="s">
        <v>886</v>
      </c>
      <c r="F220">
        <f t="shared" si="6"/>
        <v>0</v>
      </c>
      <c r="G220">
        <f t="shared" si="7"/>
        <v>0</v>
      </c>
    </row>
    <row r="221" spans="1:7">
      <c r="A221" t="s">
        <v>997</v>
      </c>
      <c r="B221" t="s">
        <v>998</v>
      </c>
      <c r="D221" t="s">
        <v>997</v>
      </c>
      <c r="E221" t="s">
        <v>1006</v>
      </c>
      <c r="F221">
        <f t="shared" si="6"/>
        <v>0</v>
      </c>
      <c r="G221">
        <f t="shared" si="7"/>
        <v>1</v>
      </c>
    </row>
    <row r="222" spans="1:7">
      <c r="A222" t="s">
        <v>883</v>
      </c>
      <c r="B222" t="s">
        <v>884</v>
      </c>
      <c r="D222" t="s">
        <v>883</v>
      </c>
      <c r="E222" t="s">
        <v>884</v>
      </c>
      <c r="F222">
        <f t="shared" si="6"/>
        <v>0</v>
      </c>
      <c r="G222">
        <f t="shared" si="7"/>
        <v>0</v>
      </c>
    </row>
    <row r="223" spans="1:7">
      <c r="A223" t="s">
        <v>995</v>
      </c>
      <c r="B223" t="s">
        <v>996</v>
      </c>
      <c r="D223" t="s">
        <v>995</v>
      </c>
      <c r="E223" t="s">
        <v>1008</v>
      </c>
      <c r="F223">
        <f t="shared" si="6"/>
        <v>0</v>
      </c>
      <c r="G223">
        <f t="shared" si="7"/>
        <v>1</v>
      </c>
    </row>
    <row r="224" spans="1:7">
      <c r="A224" t="s">
        <v>881</v>
      </c>
      <c r="B224" t="s">
        <v>882</v>
      </c>
      <c r="D224" t="s">
        <v>881</v>
      </c>
      <c r="E224" t="s">
        <v>882</v>
      </c>
      <c r="F224">
        <f t="shared" si="6"/>
        <v>0</v>
      </c>
      <c r="G224">
        <f t="shared" si="7"/>
        <v>0</v>
      </c>
    </row>
    <row r="225" spans="1:7">
      <c r="A225" t="s">
        <v>601</v>
      </c>
      <c r="B225" t="s">
        <v>602</v>
      </c>
      <c r="D225" t="s">
        <v>601</v>
      </c>
      <c r="E225" t="s">
        <v>602</v>
      </c>
      <c r="F225">
        <f t="shared" si="6"/>
        <v>0</v>
      </c>
      <c r="G225">
        <f t="shared" si="7"/>
        <v>0</v>
      </c>
    </row>
    <row r="226" spans="1:7">
      <c r="A226" t="s">
        <v>667</v>
      </c>
      <c r="B226" t="s">
        <v>668</v>
      </c>
      <c r="D226" t="s">
        <v>667</v>
      </c>
      <c r="E226" t="s">
        <v>668</v>
      </c>
      <c r="F226">
        <f t="shared" si="6"/>
        <v>0</v>
      </c>
      <c r="G226">
        <f t="shared" si="7"/>
        <v>0</v>
      </c>
    </row>
    <row r="227" spans="1:7">
      <c r="A227" t="s">
        <v>971</v>
      </c>
      <c r="B227" t="s">
        <v>972</v>
      </c>
      <c r="D227" t="s">
        <v>971</v>
      </c>
      <c r="E227" t="s">
        <v>972</v>
      </c>
      <c r="F227">
        <f t="shared" si="6"/>
        <v>0</v>
      </c>
      <c r="G227">
        <f t="shared" si="7"/>
        <v>0</v>
      </c>
    </row>
    <row r="228" spans="1:7">
      <c r="A228" t="s">
        <v>969</v>
      </c>
      <c r="B228" t="s">
        <v>970</v>
      </c>
      <c r="D228" t="s">
        <v>969</v>
      </c>
      <c r="E228" t="s">
        <v>970</v>
      </c>
      <c r="F228">
        <f t="shared" si="6"/>
        <v>0</v>
      </c>
      <c r="G228">
        <f t="shared" si="7"/>
        <v>0</v>
      </c>
    </row>
    <row r="229" spans="1:7">
      <c r="A229" t="s">
        <v>979</v>
      </c>
      <c r="B229" t="s">
        <v>980</v>
      </c>
      <c r="D229" t="s">
        <v>979</v>
      </c>
      <c r="E229" t="s">
        <v>980</v>
      </c>
      <c r="F229">
        <f t="shared" si="6"/>
        <v>0</v>
      </c>
      <c r="G229">
        <f t="shared" si="7"/>
        <v>0</v>
      </c>
    </row>
    <row r="230" spans="1:7">
      <c r="A230" t="s">
        <v>981</v>
      </c>
      <c r="B230" t="s">
        <v>982</v>
      </c>
      <c r="D230" t="s">
        <v>981</v>
      </c>
      <c r="E230" t="s">
        <v>982</v>
      </c>
      <c r="F230">
        <f t="shared" si="6"/>
        <v>0</v>
      </c>
      <c r="G230">
        <f t="shared" si="7"/>
        <v>0</v>
      </c>
    </row>
    <row r="231" spans="1:7">
      <c r="A231" t="s">
        <v>983</v>
      </c>
      <c r="B231" t="s">
        <v>984</v>
      </c>
      <c r="D231" t="s">
        <v>983</v>
      </c>
      <c r="E231" t="s">
        <v>984</v>
      </c>
      <c r="F231">
        <f t="shared" si="6"/>
        <v>0</v>
      </c>
      <c r="G231">
        <f t="shared" si="7"/>
        <v>0</v>
      </c>
    </row>
    <row r="232" spans="1:7">
      <c r="A232" t="s">
        <v>985</v>
      </c>
      <c r="B232" t="s">
        <v>986</v>
      </c>
      <c r="D232" t="s">
        <v>985</v>
      </c>
      <c r="E232" t="s">
        <v>986</v>
      </c>
      <c r="F232">
        <f t="shared" si="6"/>
        <v>0</v>
      </c>
      <c r="G232">
        <f t="shared" si="7"/>
        <v>0</v>
      </c>
    </row>
    <row r="233" spans="1:7">
      <c r="A233" t="s">
        <v>987</v>
      </c>
      <c r="B233" t="s">
        <v>988</v>
      </c>
      <c r="D233" t="s">
        <v>987</v>
      </c>
      <c r="E233" t="s">
        <v>988</v>
      </c>
      <c r="F233">
        <f t="shared" si="6"/>
        <v>0</v>
      </c>
      <c r="G233">
        <f t="shared" si="7"/>
        <v>0</v>
      </c>
    </row>
    <row r="234" spans="1:7">
      <c r="A234" t="s">
        <v>989</v>
      </c>
      <c r="B234" t="s">
        <v>990</v>
      </c>
      <c r="D234" t="s">
        <v>989</v>
      </c>
      <c r="E234" t="s">
        <v>990</v>
      </c>
      <c r="F234">
        <f t="shared" si="6"/>
        <v>0</v>
      </c>
      <c r="G234">
        <f t="shared" si="7"/>
        <v>0</v>
      </c>
    </row>
    <row r="235" spans="1:7">
      <c r="A235" t="s">
        <v>991</v>
      </c>
      <c r="B235" t="s">
        <v>992</v>
      </c>
      <c r="D235" t="s">
        <v>991</v>
      </c>
      <c r="E235" t="s">
        <v>992</v>
      </c>
      <c r="F235">
        <f t="shared" si="6"/>
        <v>0</v>
      </c>
      <c r="G235">
        <f t="shared" si="7"/>
        <v>0</v>
      </c>
    </row>
    <row r="236" spans="1:7">
      <c r="A236" t="s">
        <v>993</v>
      </c>
      <c r="B236" t="s">
        <v>994</v>
      </c>
      <c r="D236" t="s">
        <v>993</v>
      </c>
      <c r="E236" t="s">
        <v>994</v>
      </c>
      <c r="F236">
        <f t="shared" si="6"/>
        <v>0</v>
      </c>
      <c r="G236">
        <f t="shared" si="7"/>
        <v>0</v>
      </c>
    </row>
    <row r="237" spans="1:7">
      <c r="A237" t="s">
        <v>977</v>
      </c>
      <c r="B237" t="s">
        <v>978</v>
      </c>
      <c r="D237" t="s">
        <v>977</v>
      </c>
      <c r="E237" t="s">
        <v>978</v>
      </c>
      <c r="F237">
        <f t="shared" si="6"/>
        <v>0</v>
      </c>
      <c r="G237">
        <f t="shared" si="7"/>
        <v>0</v>
      </c>
    </row>
    <row r="238" spans="1:7">
      <c r="A238" t="s">
        <v>975</v>
      </c>
      <c r="B238" t="s">
        <v>976</v>
      </c>
      <c r="D238" t="s">
        <v>975</v>
      </c>
      <c r="E238" t="s">
        <v>976</v>
      </c>
      <c r="F238">
        <f t="shared" si="6"/>
        <v>0</v>
      </c>
      <c r="G238">
        <f t="shared" si="7"/>
        <v>0</v>
      </c>
    </row>
    <row r="239" spans="1:7">
      <c r="A239" t="s">
        <v>967</v>
      </c>
      <c r="B239" t="s">
        <v>968</v>
      </c>
      <c r="D239" t="s">
        <v>967</v>
      </c>
      <c r="E239" t="s">
        <v>968</v>
      </c>
      <c r="F239">
        <f t="shared" si="6"/>
        <v>0</v>
      </c>
      <c r="G239">
        <f t="shared" si="7"/>
        <v>0</v>
      </c>
    </row>
    <row r="240" spans="1:7">
      <c r="A240" t="s">
        <v>973</v>
      </c>
      <c r="B240" t="s">
        <v>974</v>
      </c>
      <c r="D240" t="s">
        <v>973</v>
      </c>
      <c r="E240" t="s">
        <v>974</v>
      </c>
      <c r="F240">
        <f t="shared" si="6"/>
        <v>0</v>
      </c>
      <c r="G240">
        <f t="shared" si="7"/>
        <v>0</v>
      </c>
    </row>
    <row r="241" spans="1:7">
      <c r="A241" t="s">
        <v>943</v>
      </c>
      <c r="B241" t="s">
        <v>944</v>
      </c>
      <c r="D241" t="s">
        <v>943</v>
      </c>
      <c r="E241" t="s">
        <v>944</v>
      </c>
      <c r="F241">
        <f t="shared" si="6"/>
        <v>0</v>
      </c>
      <c r="G241">
        <f t="shared" si="7"/>
        <v>0</v>
      </c>
    </row>
    <row r="242" spans="1:7">
      <c r="A242" t="s">
        <v>945</v>
      </c>
      <c r="B242" t="s">
        <v>946</v>
      </c>
      <c r="D242" t="s">
        <v>945</v>
      </c>
      <c r="E242" t="s">
        <v>946</v>
      </c>
      <c r="F242">
        <f t="shared" si="6"/>
        <v>0</v>
      </c>
      <c r="G242">
        <f t="shared" si="7"/>
        <v>0</v>
      </c>
    </row>
    <row r="243" spans="1:7">
      <c r="A243" t="s">
        <v>947</v>
      </c>
      <c r="B243" t="s">
        <v>948</v>
      </c>
      <c r="D243" t="s">
        <v>947</v>
      </c>
      <c r="E243" t="s">
        <v>948</v>
      </c>
      <c r="F243">
        <f t="shared" si="6"/>
        <v>0</v>
      </c>
      <c r="G243">
        <f t="shared" si="7"/>
        <v>0</v>
      </c>
    </row>
    <row r="244" spans="1:7">
      <c r="A244" t="s">
        <v>949</v>
      </c>
      <c r="B244" t="s">
        <v>950</v>
      </c>
      <c r="D244" t="s">
        <v>949</v>
      </c>
      <c r="E244" t="s">
        <v>950</v>
      </c>
      <c r="F244">
        <f t="shared" si="6"/>
        <v>0</v>
      </c>
      <c r="G244">
        <f t="shared" si="7"/>
        <v>0</v>
      </c>
    </row>
    <row r="245" spans="1:7">
      <c r="A245" t="s">
        <v>951</v>
      </c>
      <c r="B245" t="s">
        <v>952</v>
      </c>
      <c r="D245" t="s">
        <v>951</v>
      </c>
      <c r="E245" t="s">
        <v>952</v>
      </c>
      <c r="F245">
        <f t="shared" si="6"/>
        <v>0</v>
      </c>
      <c r="G245">
        <f t="shared" si="7"/>
        <v>0</v>
      </c>
    </row>
    <row r="246" spans="1:7">
      <c r="A246" t="s">
        <v>953</v>
      </c>
      <c r="B246" t="s">
        <v>954</v>
      </c>
      <c r="D246" t="s">
        <v>953</v>
      </c>
      <c r="E246" t="s">
        <v>954</v>
      </c>
      <c r="F246">
        <f t="shared" si="6"/>
        <v>0</v>
      </c>
      <c r="G246">
        <f t="shared" si="7"/>
        <v>0</v>
      </c>
    </row>
    <row r="247" spans="1:7">
      <c r="A247" t="s">
        <v>955</v>
      </c>
      <c r="B247" t="s">
        <v>956</v>
      </c>
      <c r="D247" t="s">
        <v>955</v>
      </c>
      <c r="E247" t="s">
        <v>956</v>
      </c>
      <c r="F247">
        <f t="shared" si="6"/>
        <v>0</v>
      </c>
      <c r="G247">
        <f t="shared" si="7"/>
        <v>0</v>
      </c>
    </row>
    <row r="248" spans="1:7">
      <c r="A248" t="s">
        <v>957</v>
      </c>
      <c r="B248" t="s">
        <v>958</v>
      </c>
      <c r="D248" t="s">
        <v>957</v>
      </c>
      <c r="E248" t="s">
        <v>958</v>
      </c>
      <c r="F248">
        <f t="shared" si="6"/>
        <v>0</v>
      </c>
      <c r="G248">
        <f t="shared" si="7"/>
        <v>0</v>
      </c>
    </row>
    <row r="249" spans="1:7">
      <c r="A249" t="s">
        <v>931</v>
      </c>
      <c r="B249" t="s">
        <v>932</v>
      </c>
      <c r="D249" t="s">
        <v>931</v>
      </c>
      <c r="E249" t="s">
        <v>932</v>
      </c>
      <c r="F249">
        <f t="shared" si="6"/>
        <v>0</v>
      </c>
      <c r="G249">
        <f t="shared" si="7"/>
        <v>0</v>
      </c>
    </row>
    <row r="250" spans="1:7">
      <c r="A250" t="s">
        <v>939</v>
      </c>
      <c r="B250" t="s">
        <v>940</v>
      </c>
      <c r="D250" t="s">
        <v>939</v>
      </c>
      <c r="E250" t="s">
        <v>940</v>
      </c>
      <c r="F250">
        <f t="shared" si="6"/>
        <v>0</v>
      </c>
      <c r="G250">
        <f t="shared" si="7"/>
        <v>0</v>
      </c>
    </row>
    <row r="251" spans="1:7">
      <c r="A251" t="s">
        <v>937</v>
      </c>
      <c r="B251" t="s">
        <v>938</v>
      </c>
      <c r="D251" t="s">
        <v>937</v>
      </c>
      <c r="E251" t="s">
        <v>938</v>
      </c>
      <c r="F251">
        <f t="shared" si="6"/>
        <v>0</v>
      </c>
      <c r="G251">
        <f t="shared" si="7"/>
        <v>0</v>
      </c>
    </row>
    <row r="252" spans="1:7">
      <c r="A252" t="s">
        <v>929</v>
      </c>
      <c r="B252" t="s">
        <v>930</v>
      </c>
      <c r="D252" t="s">
        <v>929</v>
      </c>
      <c r="E252" t="s">
        <v>930</v>
      </c>
      <c r="F252">
        <f t="shared" si="6"/>
        <v>0</v>
      </c>
      <c r="G252">
        <f t="shared" si="7"/>
        <v>0</v>
      </c>
    </row>
    <row r="253" spans="1:7">
      <c r="A253" t="s">
        <v>935</v>
      </c>
      <c r="B253" t="s">
        <v>936</v>
      </c>
      <c r="D253" t="s">
        <v>935</v>
      </c>
      <c r="E253" t="s">
        <v>936</v>
      </c>
      <c r="F253">
        <f t="shared" si="6"/>
        <v>0</v>
      </c>
      <c r="G253">
        <f t="shared" si="7"/>
        <v>0</v>
      </c>
    </row>
    <row r="254" spans="1:7">
      <c r="A254" t="s">
        <v>941</v>
      </c>
      <c r="B254" t="s">
        <v>942</v>
      </c>
      <c r="D254" t="s">
        <v>941</v>
      </c>
      <c r="E254" t="s">
        <v>942</v>
      </c>
      <c r="F254">
        <f t="shared" si="6"/>
        <v>0</v>
      </c>
      <c r="G254">
        <f t="shared" si="7"/>
        <v>0</v>
      </c>
    </row>
    <row r="255" spans="1:7">
      <c r="A255" t="s">
        <v>933</v>
      </c>
      <c r="B255" t="s">
        <v>934</v>
      </c>
      <c r="D255" t="s">
        <v>933</v>
      </c>
      <c r="E255" t="s">
        <v>934</v>
      </c>
      <c r="F255">
        <f t="shared" si="6"/>
        <v>0</v>
      </c>
      <c r="G255">
        <f t="shared" si="7"/>
        <v>0</v>
      </c>
    </row>
    <row r="256" spans="1:7">
      <c r="A256" t="s">
        <v>833</v>
      </c>
      <c r="B256" t="s">
        <v>834</v>
      </c>
      <c r="D256" t="s">
        <v>833</v>
      </c>
      <c r="E256" t="s">
        <v>834</v>
      </c>
      <c r="F256">
        <f t="shared" si="6"/>
        <v>0</v>
      </c>
      <c r="G256">
        <f t="shared" si="7"/>
        <v>0</v>
      </c>
    </row>
    <row r="257" spans="1:7">
      <c r="A257" t="s">
        <v>927</v>
      </c>
      <c r="B257" t="s">
        <v>928</v>
      </c>
      <c r="D257" t="s">
        <v>927</v>
      </c>
      <c r="E257" t="s">
        <v>928</v>
      </c>
      <c r="F257">
        <f t="shared" si="6"/>
        <v>0</v>
      </c>
      <c r="G257">
        <f t="shared" si="7"/>
        <v>0</v>
      </c>
    </row>
    <row r="258" spans="1:7">
      <c r="A258" t="s">
        <v>799</v>
      </c>
      <c r="B258" t="s">
        <v>800</v>
      </c>
      <c r="D258" t="s">
        <v>799</v>
      </c>
      <c r="E258" t="s">
        <v>800</v>
      </c>
      <c r="F258">
        <f t="shared" si="6"/>
        <v>0</v>
      </c>
      <c r="G258">
        <f t="shared" si="7"/>
        <v>0</v>
      </c>
    </row>
    <row r="259" spans="1:7">
      <c r="A259" t="s">
        <v>801</v>
      </c>
      <c r="B259" t="s">
        <v>802</v>
      </c>
      <c r="D259" t="s">
        <v>801</v>
      </c>
      <c r="E259" t="s">
        <v>802</v>
      </c>
      <c r="F259">
        <f t="shared" ref="F259:F265" si="8">IF(A259=D259, 0, 1)</f>
        <v>0</v>
      </c>
      <c r="G259">
        <f t="shared" ref="G259:G265" si="9">IF(B259=E259, 0, 1)</f>
        <v>0</v>
      </c>
    </row>
    <row r="260" spans="1:7">
      <c r="A260" t="s">
        <v>803</v>
      </c>
      <c r="B260" t="s">
        <v>804</v>
      </c>
      <c r="D260" t="s">
        <v>803</v>
      </c>
      <c r="E260" t="s">
        <v>804</v>
      </c>
      <c r="F260">
        <f t="shared" si="8"/>
        <v>0</v>
      </c>
      <c r="G260">
        <f t="shared" si="9"/>
        <v>0</v>
      </c>
    </row>
    <row r="261" spans="1:7">
      <c r="A261" t="s">
        <v>805</v>
      </c>
      <c r="B261" t="s">
        <v>806</v>
      </c>
      <c r="D261" t="s">
        <v>805</v>
      </c>
      <c r="E261" t="s">
        <v>806</v>
      </c>
      <c r="F261">
        <f t="shared" si="8"/>
        <v>0</v>
      </c>
      <c r="G261">
        <f t="shared" si="9"/>
        <v>0</v>
      </c>
    </row>
    <row r="262" spans="1:7">
      <c r="A262" t="s">
        <v>807</v>
      </c>
      <c r="B262" t="s">
        <v>808</v>
      </c>
      <c r="D262" t="s">
        <v>807</v>
      </c>
      <c r="E262" t="s">
        <v>808</v>
      </c>
      <c r="F262">
        <f t="shared" si="8"/>
        <v>0</v>
      </c>
      <c r="G262">
        <f t="shared" si="9"/>
        <v>0</v>
      </c>
    </row>
    <row r="263" spans="1:7">
      <c r="A263" t="s">
        <v>719</v>
      </c>
      <c r="B263" t="s">
        <v>720</v>
      </c>
      <c r="D263" t="s">
        <v>719</v>
      </c>
      <c r="E263" t="s">
        <v>720</v>
      </c>
      <c r="F263">
        <f t="shared" si="8"/>
        <v>0</v>
      </c>
      <c r="G263">
        <f t="shared" si="9"/>
        <v>0</v>
      </c>
    </row>
    <row r="264" spans="1:7">
      <c r="A264" t="s">
        <v>809</v>
      </c>
      <c r="B264" t="s">
        <v>810</v>
      </c>
      <c r="D264" t="s">
        <v>809</v>
      </c>
      <c r="E264" t="s">
        <v>810</v>
      </c>
      <c r="F264">
        <f t="shared" si="8"/>
        <v>0</v>
      </c>
      <c r="G264">
        <f t="shared" si="9"/>
        <v>0</v>
      </c>
    </row>
    <row r="265" spans="1:7">
      <c r="A265" t="s">
        <v>925</v>
      </c>
      <c r="B265" t="s">
        <v>926</v>
      </c>
      <c r="D265" t="s">
        <v>925</v>
      </c>
      <c r="E265" t="s">
        <v>926</v>
      </c>
      <c r="F265">
        <f t="shared" si="8"/>
        <v>0</v>
      </c>
      <c r="G265">
        <f t="shared" si="9"/>
        <v>0</v>
      </c>
    </row>
  </sheetData>
  <sortState xmlns:xlrd2="http://schemas.microsoft.com/office/spreadsheetml/2017/richdata2" ref="A2:B265">
    <sortCondition ref="A2:A265"/>
  </sortState>
  <mergeCells count="2">
    <mergeCell ref="A1:B1"/>
    <mergeCell ref="D1:E1"/>
  </mergeCells>
  <phoneticPr fontId="24" type="noConversion"/>
  <conditionalFormatting sqref="F1:G1048576">
    <cfRule type="cellIs" dxfId="0" priority="1" operator="equal">
      <formula>1</formula>
    </cfRule>
  </conditionalFormatting>
  <pageMargins left="0.25" right="0.25" top="0.75" bottom="0.75" header="0.3" footer="0.3"/>
  <pageSetup paperSize="9" scale="9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4B8C-11E3-4677-8853-DA0E4807041A}">
  <sheetPr>
    <tabColor rgb="FFFF0000"/>
  </sheetPr>
  <dimension ref="A1:AM29"/>
  <sheetViews>
    <sheetView zoomScale="85" zoomScaleNormal="85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T58" sqref="T58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>
      <c r="B1" s="12"/>
      <c r="F1" s="12"/>
      <c r="H1" s="277">
        <v>3</v>
      </c>
      <c r="I1" s="277"/>
      <c r="J1" s="277"/>
      <c r="K1" s="277"/>
      <c r="L1" s="277"/>
      <c r="M1" s="277"/>
      <c r="N1" s="277"/>
      <c r="O1" s="277"/>
      <c r="P1" s="277">
        <v>2</v>
      </c>
      <c r="Q1" s="277"/>
      <c r="R1" s="277"/>
      <c r="S1" s="277"/>
      <c r="T1" s="277"/>
      <c r="U1" s="277"/>
      <c r="V1" s="277"/>
      <c r="W1" s="277"/>
      <c r="X1" s="277">
        <v>1</v>
      </c>
      <c r="Y1" s="277"/>
      <c r="Z1" s="277"/>
      <c r="AA1" s="277"/>
      <c r="AB1" s="277"/>
      <c r="AC1" s="277"/>
      <c r="AD1" s="277"/>
      <c r="AE1" s="277"/>
      <c r="AF1" s="277">
        <v>0</v>
      </c>
      <c r="AG1" s="277"/>
      <c r="AH1" s="277"/>
      <c r="AI1" s="277"/>
      <c r="AJ1" s="277"/>
      <c r="AK1" s="277"/>
      <c r="AL1" s="277"/>
      <c r="AM1" s="277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8" t="s">
        <v>323</v>
      </c>
      <c r="C3" s="172" t="s">
        <v>324</v>
      </c>
      <c r="D3" s="45" t="str">
        <f>DEC2HEX(A3*4, 3)</f>
        <v>000</v>
      </c>
      <c r="E3" s="175" t="s">
        <v>0</v>
      </c>
      <c r="F3" s="45" t="s">
        <v>6</v>
      </c>
      <c r="G3" s="10"/>
      <c r="H3" s="218" t="s">
        <v>327</v>
      </c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20"/>
    </row>
    <row r="4" spans="1:39">
      <c r="A4" s="12">
        <v>1</v>
      </c>
      <c r="B4" s="159"/>
      <c r="C4" s="173"/>
      <c r="D4" s="2" t="str">
        <f>DEC2HEX(A4*4, 3)</f>
        <v>004</v>
      </c>
      <c r="E4" s="176"/>
      <c r="F4" s="2" t="s">
        <v>6</v>
      </c>
      <c r="G4" s="1"/>
      <c r="H4" s="221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3"/>
    </row>
    <row r="5" spans="1:39" ht="16.5" customHeight="1">
      <c r="A5" s="12">
        <v>2</v>
      </c>
      <c r="B5" s="159"/>
      <c r="C5" s="173"/>
      <c r="D5" s="2" t="str">
        <f t="shared" ref="D5:D14" si="1">DEC2HEX(A5*4, 3)</f>
        <v>008</v>
      </c>
      <c r="E5" s="176"/>
      <c r="F5" s="2" t="s">
        <v>6</v>
      </c>
      <c r="G5" s="1"/>
      <c r="H5" s="221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3"/>
    </row>
    <row r="6" spans="1:39">
      <c r="A6" s="12">
        <v>3</v>
      </c>
      <c r="B6" s="159"/>
      <c r="C6" s="173"/>
      <c r="D6" s="2" t="str">
        <f t="shared" si="1"/>
        <v>00C</v>
      </c>
      <c r="E6" s="176"/>
      <c r="F6" s="2" t="s">
        <v>6</v>
      </c>
      <c r="G6" s="1"/>
      <c r="H6" s="221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3"/>
    </row>
    <row r="7" spans="1:39">
      <c r="A7" s="12">
        <v>4</v>
      </c>
      <c r="B7" s="159"/>
      <c r="C7" s="173"/>
      <c r="D7" s="2" t="str">
        <f t="shared" si="1"/>
        <v>010</v>
      </c>
      <c r="E7" s="14" t="s">
        <v>106</v>
      </c>
      <c r="F7" s="2" t="s">
        <v>6</v>
      </c>
      <c r="G7" s="1"/>
      <c r="H7" s="177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61" t="s">
        <v>54</v>
      </c>
      <c r="Y7" s="161"/>
      <c r="Z7" s="161"/>
      <c r="AA7" s="161"/>
      <c r="AB7" s="161"/>
      <c r="AC7" s="161"/>
      <c r="AD7" s="161"/>
      <c r="AE7" s="161"/>
      <c r="AF7" s="161" t="s">
        <v>55</v>
      </c>
      <c r="AG7" s="161"/>
      <c r="AH7" s="161"/>
      <c r="AI7" s="161"/>
      <c r="AJ7" s="161"/>
      <c r="AK7" s="161"/>
      <c r="AL7" s="161"/>
      <c r="AM7" s="162"/>
    </row>
    <row r="8" spans="1:39">
      <c r="A8" s="12">
        <v>5</v>
      </c>
      <c r="B8" s="159"/>
      <c r="C8" s="173"/>
      <c r="D8" s="2" t="str">
        <f t="shared" si="1"/>
        <v>014</v>
      </c>
      <c r="E8" s="14" t="s">
        <v>107</v>
      </c>
      <c r="F8" s="2" t="s">
        <v>6</v>
      </c>
      <c r="G8" s="1"/>
      <c r="H8" s="177"/>
      <c r="I8" s="178"/>
      <c r="J8" s="178"/>
      <c r="K8" s="178"/>
      <c r="L8" s="178"/>
      <c r="M8" s="178"/>
      <c r="N8" s="178"/>
      <c r="O8" s="178"/>
      <c r="P8" s="161" t="s">
        <v>56</v>
      </c>
      <c r="Q8" s="161"/>
      <c r="R8" s="161"/>
      <c r="S8" s="161"/>
      <c r="T8" s="161"/>
      <c r="U8" s="161"/>
      <c r="V8" s="161"/>
      <c r="W8" s="161"/>
      <c r="X8" s="161" t="s">
        <v>76</v>
      </c>
      <c r="Y8" s="161"/>
      <c r="Z8" s="161"/>
      <c r="AA8" s="161"/>
      <c r="AB8" s="161"/>
      <c r="AC8" s="161"/>
      <c r="AD8" s="161"/>
      <c r="AE8" s="161"/>
      <c r="AF8" s="161" t="s">
        <v>57</v>
      </c>
      <c r="AG8" s="161"/>
      <c r="AH8" s="161"/>
      <c r="AI8" s="161"/>
      <c r="AJ8" s="161"/>
      <c r="AK8" s="161"/>
      <c r="AL8" s="161"/>
      <c r="AM8" s="162"/>
    </row>
    <row r="9" spans="1:39">
      <c r="A9" s="12">
        <v>6</v>
      </c>
      <c r="B9" s="159"/>
      <c r="C9" s="173"/>
      <c r="D9" s="2" t="str">
        <f t="shared" si="1"/>
        <v>018</v>
      </c>
      <c r="E9" s="51" t="s">
        <v>105</v>
      </c>
      <c r="F9" s="2" t="s">
        <v>4</v>
      </c>
      <c r="G9" s="1"/>
      <c r="H9" s="177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224"/>
    </row>
    <row r="10" spans="1:39">
      <c r="A10" s="12">
        <v>7</v>
      </c>
      <c r="B10" s="159"/>
      <c r="C10" s="173"/>
      <c r="D10" s="2" t="str">
        <f t="shared" si="1"/>
        <v>01C</v>
      </c>
      <c r="E10" s="51" t="s">
        <v>105</v>
      </c>
      <c r="F10" s="53" t="s">
        <v>4</v>
      </c>
      <c r="G10" s="1"/>
      <c r="H10" s="177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224"/>
    </row>
    <row r="11" spans="1:39">
      <c r="A11" s="12">
        <v>8</v>
      </c>
      <c r="B11" s="159"/>
      <c r="C11" s="173"/>
      <c r="D11" s="2" t="str">
        <f t="shared" si="1"/>
        <v>020</v>
      </c>
      <c r="E11" s="14" t="s">
        <v>89</v>
      </c>
      <c r="F11" s="2" t="s">
        <v>4</v>
      </c>
      <c r="G11" s="1"/>
      <c r="H11" s="14" t="s">
        <v>18</v>
      </c>
      <c r="I11" s="55" t="s">
        <v>78</v>
      </c>
      <c r="J11" s="307"/>
      <c r="K11" s="197"/>
      <c r="L11" s="197"/>
      <c r="M11" s="197"/>
      <c r="N11" s="225"/>
      <c r="O11" s="55" t="s">
        <v>21</v>
      </c>
      <c r="P11" s="199" t="s">
        <v>329</v>
      </c>
      <c r="Q11" s="191"/>
      <c r="R11" s="191"/>
      <c r="S11" s="439"/>
      <c r="T11" s="199" t="s">
        <v>314</v>
      </c>
      <c r="U11" s="191"/>
      <c r="V11" s="191"/>
      <c r="W11" s="439"/>
      <c r="X11" s="199" t="s">
        <v>328</v>
      </c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2"/>
    </row>
    <row r="12" spans="1:39">
      <c r="A12" s="12">
        <v>9</v>
      </c>
      <c r="B12" s="159"/>
      <c r="C12" s="173"/>
      <c r="D12" s="2" t="str">
        <f t="shared" si="1"/>
        <v>024</v>
      </c>
      <c r="E12" s="14"/>
      <c r="F12" s="2"/>
      <c r="G12" s="1"/>
      <c r="H12" s="196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8"/>
    </row>
    <row r="13" spans="1:39">
      <c r="A13" s="12">
        <v>10</v>
      </c>
      <c r="B13" s="159"/>
      <c r="C13" s="173"/>
      <c r="D13" s="2" t="str">
        <f t="shared" si="1"/>
        <v>028</v>
      </c>
      <c r="E13" s="14"/>
      <c r="F13" s="2"/>
      <c r="G13" s="1"/>
      <c r="H13" s="196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8"/>
    </row>
    <row r="14" spans="1:39">
      <c r="A14" s="12">
        <v>11</v>
      </c>
      <c r="B14" s="159"/>
      <c r="C14" s="173"/>
      <c r="D14" s="2" t="str">
        <f t="shared" si="1"/>
        <v>02C</v>
      </c>
      <c r="E14" s="14"/>
      <c r="F14" s="2"/>
      <c r="G14" s="1"/>
      <c r="H14" s="196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8"/>
    </row>
    <row r="15" spans="1:39" ht="17.25" thickBot="1">
      <c r="A15" s="12">
        <v>12</v>
      </c>
      <c r="B15" s="160"/>
      <c r="C15" s="174"/>
      <c r="D15" s="3" t="str">
        <f>DEC2HEX(A15*4, 3)</f>
        <v>030</v>
      </c>
      <c r="E15" s="42" t="s">
        <v>90</v>
      </c>
      <c r="F15" s="3" t="s">
        <v>6</v>
      </c>
      <c r="G15" s="11"/>
      <c r="H15" s="42" t="s">
        <v>43</v>
      </c>
      <c r="I15" s="85" t="s">
        <v>83</v>
      </c>
      <c r="J15" s="378"/>
      <c r="K15" s="381"/>
      <c r="L15" s="381"/>
      <c r="M15" s="381"/>
      <c r="N15" s="381"/>
      <c r="O15" s="379"/>
      <c r="P15" s="437" t="s">
        <v>329</v>
      </c>
      <c r="Q15" s="194"/>
      <c r="R15" s="194"/>
      <c r="S15" s="438"/>
      <c r="T15" s="437" t="s">
        <v>314</v>
      </c>
      <c r="U15" s="194"/>
      <c r="V15" s="194"/>
      <c r="W15" s="438"/>
      <c r="X15" s="437" t="s">
        <v>328</v>
      </c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5"/>
    </row>
    <row r="16" spans="1:39" ht="17.25" thickBot="1">
      <c r="A16" s="12"/>
    </row>
    <row r="17" spans="2:26" ht="17.25" thickBot="1">
      <c r="I17" s="226" t="s">
        <v>325</v>
      </c>
      <c r="J17" s="227"/>
      <c r="K17" s="227"/>
      <c r="L17" s="227"/>
      <c r="M17" s="227"/>
      <c r="N17" s="227"/>
      <c r="O17" s="227"/>
      <c r="P17" s="227"/>
      <c r="Q17" s="227"/>
      <c r="R17" s="235"/>
      <c r="S17" s="235"/>
      <c r="T17" s="235"/>
      <c r="U17" s="235"/>
      <c r="V17" s="235"/>
      <c r="W17" s="235"/>
      <c r="X17" s="235"/>
      <c r="Y17" s="235"/>
      <c r="Z17" s="236"/>
    </row>
    <row r="18" spans="2:26">
      <c r="I18" s="352" t="s">
        <v>260</v>
      </c>
      <c r="J18" s="353"/>
      <c r="K18" s="354" t="s">
        <v>331</v>
      </c>
      <c r="L18" s="355"/>
      <c r="M18" s="355"/>
      <c r="N18" s="355"/>
      <c r="O18" s="355"/>
      <c r="P18" s="356"/>
      <c r="R18" s="268" t="s">
        <v>332</v>
      </c>
      <c r="S18" s="269"/>
      <c r="T18" s="244" t="s">
        <v>333</v>
      </c>
      <c r="U18" s="245"/>
      <c r="V18" s="245"/>
      <c r="W18" s="245"/>
      <c r="X18" s="245"/>
      <c r="Y18" s="245"/>
      <c r="Z18" s="246"/>
    </row>
    <row r="19" spans="2:26">
      <c r="I19" s="305" t="s">
        <v>261</v>
      </c>
      <c r="J19" s="249"/>
      <c r="K19" s="264" t="s">
        <v>279</v>
      </c>
      <c r="L19" s="250"/>
      <c r="M19" s="250"/>
      <c r="N19" s="250"/>
      <c r="O19" s="250"/>
      <c r="P19" s="251"/>
      <c r="R19" s="305" t="s">
        <v>316</v>
      </c>
      <c r="S19" s="357"/>
      <c r="T19" s="264" t="s">
        <v>334</v>
      </c>
      <c r="U19" s="250"/>
      <c r="V19" s="250"/>
      <c r="W19" s="250"/>
      <c r="X19" s="250"/>
      <c r="Y19" s="250"/>
      <c r="Z19" s="251"/>
    </row>
    <row r="20" spans="2:26" ht="17.25" thickBot="1">
      <c r="I20" s="270" t="s">
        <v>315</v>
      </c>
      <c r="J20" s="243"/>
      <c r="K20" s="314" t="s">
        <v>330</v>
      </c>
      <c r="L20" s="238"/>
      <c r="M20" s="238"/>
      <c r="N20" s="238"/>
      <c r="O20" s="238"/>
      <c r="P20" s="239"/>
      <c r="R20" s="270" t="s">
        <v>336</v>
      </c>
      <c r="S20" s="271"/>
      <c r="T20" s="314" t="s">
        <v>335</v>
      </c>
      <c r="U20" s="238"/>
      <c r="V20" s="238"/>
      <c r="W20" s="238"/>
      <c r="X20" s="238"/>
      <c r="Y20" s="238"/>
      <c r="Z20" s="239"/>
    </row>
    <row r="21" spans="2:26" ht="17.25" thickBot="1"/>
    <row r="22" spans="2:26" ht="21.75" thickBot="1">
      <c r="B22" s="99"/>
      <c r="I22" s="265" t="s">
        <v>326</v>
      </c>
      <c r="J22" s="266"/>
      <c r="K22" s="266"/>
      <c r="L22" s="266"/>
      <c r="M22" s="266"/>
      <c r="N22" s="266"/>
      <c r="O22" s="266"/>
      <c r="P22" s="266"/>
      <c r="Q22" s="266"/>
      <c r="R22" s="293"/>
      <c r="S22" s="293"/>
      <c r="T22" s="293"/>
      <c r="U22" s="293"/>
      <c r="V22" s="293"/>
      <c r="W22" s="293"/>
      <c r="X22" s="293"/>
      <c r="Y22" s="294"/>
    </row>
    <row r="23" spans="2:26" ht="17.25" thickBot="1">
      <c r="I23" s="366" t="s">
        <v>317</v>
      </c>
      <c r="J23" s="317"/>
      <c r="K23" s="318" t="s">
        <v>276</v>
      </c>
      <c r="L23" s="318"/>
      <c r="M23" s="318"/>
      <c r="N23" s="318"/>
      <c r="O23" s="318"/>
      <c r="P23" s="319"/>
      <c r="R23" s="268" t="s">
        <v>320</v>
      </c>
      <c r="S23" s="241"/>
      <c r="T23" s="244" t="s">
        <v>321</v>
      </c>
      <c r="U23" s="245"/>
      <c r="V23" s="245"/>
      <c r="W23" s="245"/>
      <c r="X23" s="245"/>
      <c r="Y23" s="246"/>
    </row>
    <row r="24" spans="2:26" ht="17.25" thickBot="1">
      <c r="I24" s="366" t="s">
        <v>318</v>
      </c>
      <c r="J24" s="317"/>
      <c r="K24" s="367" t="s">
        <v>319</v>
      </c>
      <c r="L24" s="318"/>
      <c r="M24" s="318"/>
      <c r="N24" s="318"/>
      <c r="O24" s="318"/>
      <c r="P24" s="319"/>
      <c r="R24" s="270" t="s">
        <v>336</v>
      </c>
      <c r="S24" s="271"/>
      <c r="T24" s="314" t="s">
        <v>337</v>
      </c>
      <c r="U24" s="314"/>
      <c r="V24" s="314"/>
      <c r="W24" s="314"/>
      <c r="X24" s="314"/>
      <c r="Y24" s="360"/>
    </row>
    <row r="29" spans="2:26">
      <c r="Q29" s="89"/>
    </row>
  </sheetData>
  <mergeCells count="50"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H10:AM10"/>
    <mergeCell ref="P11:S11"/>
    <mergeCell ref="T11:W11"/>
    <mergeCell ref="AF7:AM7"/>
    <mergeCell ref="H8:O8"/>
    <mergeCell ref="P8:W8"/>
    <mergeCell ref="X8:AE8"/>
    <mergeCell ref="AF8:AM8"/>
    <mergeCell ref="H9:AM9"/>
    <mergeCell ref="T19:Z19"/>
    <mergeCell ref="H12:AM12"/>
    <mergeCell ref="H13:AM13"/>
    <mergeCell ref="H14:AM14"/>
    <mergeCell ref="J15:O15"/>
    <mergeCell ref="P15:S15"/>
    <mergeCell ref="T15:W15"/>
    <mergeCell ref="X11:AM11"/>
    <mergeCell ref="X15:AM15"/>
    <mergeCell ref="J11:N11"/>
    <mergeCell ref="I17:Z17"/>
    <mergeCell ref="I18:J18"/>
    <mergeCell ref="K18:P18"/>
    <mergeCell ref="I24:J24"/>
    <mergeCell ref="K24:P24"/>
    <mergeCell ref="R24:S24"/>
    <mergeCell ref="T24:Y24"/>
    <mergeCell ref="I20:J20"/>
    <mergeCell ref="K20:P20"/>
    <mergeCell ref="R20:S20"/>
    <mergeCell ref="T20:Z20"/>
    <mergeCell ref="I22:Y22"/>
    <mergeCell ref="I23:J23"/>
    <mergeCell ref="K23:P23"/>
    <mergeCell ref="R23:S23"/>
    <mergeCell ref="T23:Y23"/>
    <mergeCell ref="R18:S18"/>
    <mergeCell ref="T18:Z18"/>
    <mergeCell ref="I19:J19"/>
    <mergeCell ref="K19:P19"/>
    <mergeCell ref="R19:S19"/>
  </mergeCells>
  <phoneticPr fontId="24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IP List w Rev.His</vt:lpstr>
      <vt:lpstr>Block Diagram</vt:lpstr>
      <vt:lpstr>Addres Map</vt:lpstr>
      <vt:lpstr>PJT-INFO</vt:lpstr>
      <vt:lpstr>BOARD-ID</vt:lpstr>
      <vt:lpstr>CFGx8-C2X</vt:lpstr>
      <vt:lpstr>LBx8-C2P</vt:lpstr>
      <vt:lpstr>LBx8-C2T</vt:lpstr>
      <vt:lpstr>ADC-AD7606</vt:lpstr>
      <vt:lpstr>DAC-AD5381</vt:lpstr>
      <vt:lpstr>PPS</vt:lpstr>
      <vt:lpstr>CFG-PROM</vt:lpstr>
      <vt:lpstr>PINMAP</vt:lpstr>
      <vt:lpstr>DPS-ADC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JZXU</dc:creator>
  <cp:lastModifiedBy>박 선용</cp:lastModifiedBy>
  <cp:lastPrinted>2023-08-24T01:48:08Z</cp:lastPrinted>
  <dcterms:created xsi:type="dcterms:W3CDTF">2016-07-27T07:39:59Z</dcterms:created>
  <dcterms:modified xsi:type="dcterms:W3CDTF">2024-01-12T01:32:11Z</dcterms:modified>
</cp:coreProperties>
</file>