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hmbt400\03_Document\"/>
    </mc:Choice>
  </mc:AlternateContent>
  <xr:revisionPtr revIDLastSave="0" documentId="13_ncr:1_{B9E22D8C-C18B-4D45-A0D0-87399B06CCDE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IP List w Rev.His" sheetId="28" r:id="rId1"/>
    <sheet name="Block Diagram" sheetId="41" r:id="rId2"/>
    <sheet name="Addres Map" sheetId="43" r:id="rId3"/>
    <sheet name="PJT-INFO" sheetId="45" r:id="rId4"/>
    <sheet name="BOARD-ID" sheetId="42" r:id="rId5"/>
    <sheet name="CFGx8-C2X" sheetId="55" r:id="rId6"/>
    <sheet name="LBx8-C2P" sheetId="54" r:id="rId7"/>
    <sheet name="LBx8-C2T" sheetId="56" r:id="rId8"/>
    <sheet name="ADC-AD7606" sheetId="38" r:id="rId9"/>
    <sheet name="DAC-AD5381" sheetId="49" r:id="rId10"/>
    <sheet name="PPS" sheetId="37" r:id="rId11"/>
    <sheet name="CFG-PROM" sheetId="59" r:id="rId12"/>
    <sheet name="DPS-ADC" sheetId="58" state="hidden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8" l="1"/>
  <c r="F10" i="28"/>
  <c r="D10" i="28"/>
  <c r="C10" i="28"/>
  <c r="D24" i="59" l="1"/>
  <c r="D23" i="59"/>
  <c r="D20" i="59"/>
  <c r="D19" i="59"/>
  <c r="D18" i="59"/>
  <c r="D17" i="59"/>
  <c r="D16" i="59"/>
  <c r="D15" i="59"/>
  <c r="D14" i="59"/>
  <c r="D13" i="59"/>
  <c r="D12" i="59"/>
  <c r="D11" i="59"/>
  <c r="D10" i="59"/>
  <c r="D9" i="59"/>
  <c r="D8" i="59"/>
  <c r="D7" i="59"/>
  <c r="D6" i="59"/>
  <c r="D5" i="59"/>
  <c r="D4" i="59"/>
  <c r="D3" i="59"/>
  <c r="I2" i="59"/>
  <c r="J2" i="59" s="1"/>
  <c r="K2" i="59" s="1"/>
  <c r="L2" i="59" s="1"/>
  <c r="M2" i="59" s="1"/>
  <c r="N2" i="59" s="1"/>
  <c r="O2" i="59" s="1"/>
  <c r="P2" i="59" s="1"/>
  <c r="Q2" i="59" s="1"/>
  <c r="R2" i="59" s="1"/>
  <c r="S2" i="59" s="1"/>
  <c r="T2" i="59" s="1"/>
  <c r="U2" i="59" s="1"/>
  <c r="V2" i="59" s="1"/>
  <c r="W2" i="59" s="1"/>
  <c r="X2" i="59" s="1"/>
  <c r="Y2" i="59" s="1"/>
  <c r="Z2" i="59" s="1"/>
  <c r="AA2" i="59" s="1"/>
  <c r="AB2" i="59" s="1"/>
  <c r="AC2" i="59" s="1"/>
  <c r="AD2" i="59" s="1"/>
  <c r="AE2" i="59" s="1"/>
  <c r="AF2" i="59" s="1"/>
  <c r="AG2" i="59" s="1"/>
  <c r="AH2" i="59" s="1"/>
  <c r="AI2" i="59" s="1"/>
  <c r="AJ2" i="59" s="1"/>
  <c r="AK2" i="59" s="1"/>
  <c r="AL2" i="59" s="1"/>
  <c r="AM2" i="59" s="1"/>
  <c r="D16" i="42"/>
  <c r="D17" i="42"/>
  <c r="D18" i="42"/>
  <c r="D14" i="42"/>
  <c r="D15" i="42" l="1"/>
  <c r="D19" i="42"/>
  <c r="D20" i="42"/>
  <c r="D21" i="42"/>
  <c r="D22" i="42"/>
  <c r="D14" i="56" l="1"/>
  <c r="D13" i="56"/>
  <c r="D15" i="58" l="1"/>
  <c r="D14" i="58"/>
  <c r="D13" i="58"/>
  <c r="D12" i="58"/>
  <c r="D11" i="58"/>
  <c r="D10" i="58"/>
  <c r="D9" i="58"/>
  <c r="D8" i="58"/>
  <c r="D7" i="58"/>
  <c r="D6" i="58"/>
  <c r="D5" i="58"/>
  <c r="D4" i="58"/>
  <c r="D3" i="58"/>
  <c r="I2" i="58"/>
  <c r="J2" i="58" s="1"/>
  <c r="K2" i="58" s="1"/>
  <c r="L2" i="58" s="1"/>
  <c r="M2" i="58" s="1"/>
  <c r="N2" i="58" s="1"/>
  <c r="O2" i="58" s="1"/>
  <c r="P2" i="58" s="1"/>
  <c r="Q2" i="58" s="1"/>
  <c r="R2" i="58" s="1"/>
  <c r="S2" i="58" s="1"/>
  <c r="T2" i="58" s="1"/>
  <c r="U2" i="58" s="1"/>
  <c r="V2" i="58" s="1"/>
  <c r="W2" i="58" s="1"/>
  <c r="X2" i="58" s="1"/>
  <c r="Y2" i="58" s="1"/>
  <c r="Z2" i="58" s="1"/>
  <c r="AA2" i="58" s="1"/>
  <c r="AB2" i="58" s="1"/>
  <c r="AC2" i="58" s="1"/>
  <c r="AD2" i="58" s="1"/>
  <c r="AE2" i="58" s="1"/>
  <c r="AF2" i="58" s="1"/>
  <c r="AG2" i="58" s="1"/>
  <c r="AH2" i="58" s="1"/>
  <c r="AI2" i="58" s="1"/>
  <c r="AJ2" i="58" s="1"/>
  <c r="AK2" i="58" s="1"/>
  <c r="AL2" i="58" s="1"/>
  <c r="AM2" i="58" s="1"/>
  <c r="D24" i="37"/>
  <c r="D23" i="37"/>
  <c r="D15" i="56"/>
  <c r="D12" i="56"/>
  <c r="D11" i="56"/>
  <c r="D10" i="56"/>
  <c r="D9" i="56"/>
  <c r="D8" i="56"/>
  <c r="D7" i="56"/>
  <c r="D6" i="56"/>
  <c r="D5" i="56"/>
  <c r="D4" i="56"/>
  <c r="D3" i="56"/>
  <c r="I2" i="56"/>
  <c r="J2" i="56" s="1"/>
  <c r="K2" i="56" s="1"/>
  <c r="L2" i="56" s="1"/>
  <c r="M2" i="56" s="1"/>
  <c r="N2" i="56" s="1"/>
  <c r="O2" i="56" s="1"/>
  <c r="P2" i="56" s="1"/>
  <c r="Q2" i="56" s="1"/>
  <c r="R2" i="56" s="1"/>
  <c r="S2" i="56" s="1"/>
  <c r="T2" i="56" s="1"/>
  <c r="U2" i="56" s="1"/>
  <c r="V2" i="56" s="1"/>
  <c r="W2" i="56" s="1"/>
  <c r="X2" i="56" s="1"/>
  <c r="Y2" i="56" s="1"/>
  <c r="Z2" i="56" s="1"/>
  <c r="AA2" i="56" s="1"/>
  <c r="AB2" i="56" s="1"/>
  <c r="AC2" i="56" s="1"/>
  <c r="AD2" i="56" s="1"/>
  <c r="AE2" i="56" s="1"/>
  <c r="AF2" i="56" s="1"/>
  <c r="AG2" i="56" s="1"/>
  <c r="AH2" i="56" s="1"/>
  <c r="AI2" i="56" s="1"/>
  <c r="AJ2" i="56" s="1"/>
  <c r="AK2" i="56" s="1"/>
  <c r="AL2" i="56" s="1"/>
  <c r="AM2" i="56" s="1"/>
  <c r="D11" i="55"/>
  <c r="D12" i="55"/>
  <c r="D13" i="55"/>
  <c r="D15" i="55"/>
  <c r="D14" i="55"/>
  <c r="D10" i="55"/>
  <c r="D9" i="55"/>
  <c r="D8" i="55"/>
  <c r="D7" i="55"/>
  <c r="D6" i="55"/>
  <c r="D5" i="55"/>
  <c r="D4" i="55"/>
  <c r="D3" i="55"/>
  <c r="I2" i="55"/>
  <c r="J2" i="55" s="1"/>
  <c r="K2" i="55" s="1"/>
  <c r="L2" i="55" s="1"/>
  <c r="M2" i="55" s="1"/>
  <c r="N2" i="55" s="1"/>
  <c r="O2" i="55" s="1"/>
  <c r="P2" i="55" s="1"/>
  <c r="Q2" i="55" s="1"/>
  <c r="R2" i="55" s="1"/>
  <c r="S2" i="55" s="1"/>
  <c r="T2" i="55" s="1"/>
  <c r="U2" i="55" s="1"/>
  <c r="V2" i="55" s="1"/>
  <c r="W2" i="55" s="1"/>
  <c r="X2" i="55" s="1"/>
  <c r="Y2" i="55" s="1"/>
  <c r="Z2" i="55" s="1"/>
  <c r="AA2" i="55" s="1"/>
  <c r="AB2" i="55" s="1"/>
  <c r="AC2" i="55" s="1"/>
  <c r="AD2" i="55" s="1"/>
  <c r="AE2" i="55" s="1"/>
  <c r="AF2" i="55" s="1"/>
  <c r="AG2" i="55" s="1"/>
  <c r="AH2" i="55" s="1"/>
  <c r="AI2" i="55" s="1"/>
  <c r="AJ2" i="55" s="1"/>
  <c r="AK2" i="55" s="1"/>
  <c r="AL2" i="55" s="1"/>
  <c r="AM2" i="55" s="1"/>
  <c r="D11" i="54"/>
  <c r="D12" i="54"/>
  <c r="D15" i="54"/>
  <c r="D14" i="54"/>
  <c r="D13" i="54"/>
  <c r="D10" i="54"/>
  <c r="D9" i="54"/>
  <c r="D8" i="54"/>
  <c r="D7" i="54"/>
  <c r="D6" i="54"/>
  <c r="D5" i="54"/>
  <c r="D4" i="54"/>
  <c r="D3" i="54"/>
  <c r="I2" i="54"/>
  <c r="J2" i="54" s="1"/>
  <c r="K2" i="54" s="1"/>
  <c r="L2" i="54" s="1"/>
  <c r="M2" i="54" s="1"/>
  <c r="N2" i="54" s="1"/>
  <c r="O2" i="54" s="1"/>
  <c r="P2" i="54" s="1"/>
  <c r="Q2" i="54" s="1"/>
  <c r="R2" i="54" s="1"/>
  <c r="S2" i="54" s="1"/>
  <c r="T2" i="54" s="1"/>
  <c r="U2" i="54" s="1"/>
  <c r="V2" i="54" s="1"/>
  <c r="W2" i="54" s="1"/>
  <c r="X2" i="54" s="1"/>
  <c r="Y2" i="54" s="1"/>
  <c r="Z2" i="54" s="1"/>
  <c r="AA2" i="54" s="1"/>
  <c r="AB2" i="54" s="1"/>
  <c r="AC2" i="54" s="1"/>
  <c r="AD2" i="54" s="1"/>
  <c r="AE2" i="54" s="1"/>
  <c r="AF2" i="54" s="1"/>
  <c r="AG2" i="54" s="1"/>
  <c r="AH2" i="54" s="1"/>
  <c r="AI2" i="54" s="1"/>
  <c r="AJ2" i="54" s="1"/>
  <c r="AK2" i="54" s="1"/>
  <c r="AL2" i="54" s="1"/>
  <c r="AM2" i="54" s="1"/>
  <c r="C11" i="28" l="1"/>
  <c r="C9" i="28"/>
  <c r="C8" i="28"/>
  <c r="C7" i="28"/>
  <c r="C6" i="28"/>
  <c r="C5" i="28"/>
  <c r="C4" i="28"/>
  <c r="C3" i="28"/>
  <c r="D16" i="37"/>
  <c r="D17" i="37"/>
  <c r="D18" i="37"/>
  <c r="D19" i="37"/>
  <c r="D20" i="37"/>
  <c r="D11" i="37"/>
  <c r="D12" i="37"/>
  <c r="D13" i="37"/>
  <c r="D14" i="37"/>
  <c r="D15" i="37"/>
  <c r="D10" i="37"/>
  <c r="D9" i="37"/>
  <c r="D8" i="37"/>
  <c r="D7" i="37"/>
  <c r="D6" i="37"/>
  <c r="D5" i="37"/>
  <c r="D4" i="37"/>
  <c r="D3" i="37"/>
  <c r="D15" i="49"/>
  <c r="D11" i="49"/>
  <c r="D12" i="49"/>
  <c r="D13" i="49"/>
  <c r="D14" i="49"/>
  <c r="D10" i="49"/>
  <c r="D9" i="49"/>
  <c r="D8" i="49"/>
  <c r="D7" i="49"/>
  <c r="D6" i="49"/>
  <c r="D5" i="49"/>
  <c r="D4" i="49"/>
  <c r="D3" i="49"/>
  <c r="D5" i="38"/>
  <c r="D6" i="38"/>
  <c r="D7" i="38"/>
  <c r="D8" i="38"/>
  <c r="D9" i="38"/>
  <c r="D10" i="38"/>
  <c r="D11" i="38"/>
  <c r="D12" i="38"/>
  <c r="D13" i="38"/>
  <c r="D14" i="38"/>
  <c r="D15" i="38"/>
  <c r="D18" i="38"/>
  <c r="D19" i="38"/>
  <c r="D20" i="38"/>
  <c r="D21" i="38"/>
  <c r="D4" i="38"/>
  <c r="D3" i="38"/>
  <c r="D5" i="42"/>
  <c r="D6" i="42"/>
  <c r="D7" i="42"/>
  <c r="D8" i="42"/>
  <c r="D9" i="42"/>
  <c r="D10" i="42"/>
  <c r="D11" i="42"/>
  <c r="D12" i="42"/>
  <c r="D13" i="42"/>
  <c r="D4" i="42"/>
  <c r="D3" i="42"/>
  <c r="D8" i="45" l="1"/>
  <c r="D9" i="45"/>
  <c r="D10" i="45"/>
  <c r="D5" i="45"/>
  <c r="D6" i="45"/>
  <c r="D7" i="45"/>
  <c r="D4" i="45"/>
  <c r="D3" i="45"/>
  <c r="I2" i="45" l="1"/>
  <c r="J2" i="45" s="1"/>
  <c r="K2" i="45" s="1"/>
  <c r="L2" i="45" s="1"/>
  <c r="M2" i="45" s="1"/>
  <c r="N2" i="45" s="1"/>
  <c r="O2" i="45" s="1"/>
  <c r="P2" i="45" s="1"/>
  <c r="Q2" i="45" s="1"/>
  <c r="R2" i="45" s="1"/>
  <c r="S2" i="45" s="1"/>
  <c r="T2" i="45" s="1"/>
  <c r="U2" i="45" s="1"/>
  <c r="V2" i="45" s="1"/>
  <c r="W2" i="45" s="1"/>
  <c r="X2" i="45" s="1"/>
  <c r="Y2" i="45" s="1"/>
  <c r="Z2" i="45" s="1"/>
  <c r="AA2" i="45" s="1"/>
  <c r="AB2" i="45" s="1"/>
  <c r="AC2" i="45" s="1"/>
  <c r="AD2" i="45" s="1"/>
  <c r="AE2" i="45" s="1"/>
  <c r="AF2" i="45" s="1"/>
  <c r="AG2" i="45" s="1"/>
  <c r="AH2" i="45" s="1"/>
  <c r="AI2" i="45" s="1"/>
  <c r="AJ2" i="45" s="1"/>
  <c r="AK2" i="45" s="1"/>
  <c r="AL2" i="45" s="1"/>
  <c r="AM2" i="45" s="1"/>
  <c r="I2" i="49" l="1"/>
  <c r="J2" i="49" s="1"/>
  <c r="K2" i="49" s="1"/>
  <c r="L2" i="49" s="1"/>
  <c r="M2" i="49" s="1"/>
  <c r="N2" i="49" s="1"/>
  <c r="O2" i="49" s="1"/>
  <c r="P2" i="49" s="1"/>
  <c r="Q2" i="49" s="1"/>
  <c r="R2" i="49" s="1"/>
  <c r="S2" i="49" s="1"/>
  <c r="T2" i="49" s="1"/>
  <c r="U2" i="49" s="1"/>
  <c r="V2" i="49" s="1"/>
  <c r="W2" i="49" s="1"/>
  <c r="X2" i="49" s="1"/>
  <c r="Y2" i="49" s="1"/>
  <c r="Z2" i="49" s="1"/>
  <c r="AA2" i="49" s="1"/>
  <c r="AB2" i="49" s="1"/>
  <c r="AC2" i="49" s="1"/>
  <c r="AD2" i="49" s="1"/>
  <c r="AE2" i="49" s="1"/>
  <c r="AF2" i="49" s="1"/>
  <c r="AG2" i="49" s="1"/>
  <c r="AH2" i="49" s="1"/>
  <c r="AI2" i="49" s="1"/>
  <c r="AJ2" i="49" s="1"/>
  <c r="AK2" i="49" s="1"/>
  <c r="AL2" i="49" s="1"/>
  <c r="AM2" i="49" s="1"/>
  <c r="I2" i="42" l="1"/>
  <c r="J2" i="42" s="1"/>
  <c r="K2" i="42" s="1"/>
  <c r="L2" i="42" s="1"/>
  <c r="M2" i="42" s="1"/>
  <c r="N2" i="42" s="1"/>
  <c r="O2" i="42" s="1"/>
  <c r="P2" i="42" s="1"/>
  <c r="Q2" i="42" s="1"/>
  <c r="R2" i="42" s="1"/>
  <c r="S2" i="42" s="1"/>
  <c r="T2" i="42" s="1"/>
  <c r="U2" i="42" s="1"/>
  <c r="V2" i="42" s="1"/>
  <c r="W2" i="42" s="1"/>
  <c r="X2" i="42" s="1"/>
  <c r="Y2" i="42" s="1"/>
  <c r="Z2" i="42" s="1"/>
  <c r="AA2" i="42" s="1"/>
  <c r="AB2" i="42" s="1"/>
  <c r="AC2" i="42" s="1"/>
  <c r="AD2" i="42" s="1"/>
  <c r="AE2" i="42" s="1"/>
  <c r="AF2" i="42" s="1"/>
  <c r="AG2" i="42" s="1"/>
  <c r="AH2" i="42" s="1"/>
  <c r="AI2" i="42" s="1"/>
  <c r="AJ2" i="42" s="1"/>
  <c r="AK2" i="42" s="1"/>
  <c r="AL2" i="42" s="1"/>
  <c r="AM2" i="42" s="1"/>
  <c r="I2" i="37" l="1"/>
  <c r="J2" i="37" s="1"/>
  <c r="K2" i="37" s="1"/>
  <c r="L2" i="37" s="1"/>
  <c r="M2" i="37" s="1"/>
  <c r="N2" i="37" s="1"/>
  <c r="O2" i="37" s="1"/>
  <c r="P2" i="37" s="1"/>
  <c r="Q2" i="37" s="1"/>
  <c r="R2" i="37" s="1"/>
  <c r="S2" i="37" s="1"/>
  <c r="T2" i="37" s="1"/>
  <c r="U2" i="37" s="1"/>
  <c r="V2" i="37" s="1"/>
  <c r="W2" i="37" s="1"/>
  <c r="X2" i="37" s="1"/>
  <c r="Y2" i="37" s="1"/>
  <c r="Z2" i="37" s="1"/>
  <c r="AA2" i="37" s="1"/>
  <c r="AB2" i="37" s="1"/>
  <c r="AC2" i="37" s="1"/>
  <c r="AD2" i="37" s="1"/>
  <c r="AE2" i="37" s="1"/>
  <c r="AF2" i="37" s="1"/>
  <c r="AG2" i="37" s="1"/>
  <c r="AH2" i="37" s="1"/>
  <c r="AI2" i="37" s="1"/>
  <c r="AJ2" i="37" s="1"/>
  <c r="AK2" i="37" s="1"/>
  <c r="AL2" i="37" s="1"/>
  <c r="AM2" i="37" s="1"/>
  <c r="F11" i="28" l="1"/>
  <c r="G11" i="28" l="1"/>
  <c r="G9" i="28"/>
  <c r="G8" i="28"/>
  <c r="G7" i="28"/>
  <c r="G6" i="28"/>
  <c r="G5" i="28"/>
  <c r="G4" i="28"/>
  <c r="G3" i="28"/>
  <c r="F9" i="28"/>
  <c r="F8" i="28"/>
  <c r="F7" i="28"/>
  <c r="F6" i="28"/>
  <c r="F5" i="28"/>
  <c r="F4" i="28"/>
  <c r="F3" i="28"/>
  <c r="D11" i="28"/>
  <c r="D9" i="28"/>
  <c r="D8" i="28" l="1"/>
  <c r="D7" i="28"/>
  <c r="D6" i="28"/>
  <c r="D3" i="28"/>
  <c r="I2" i="38" l="1"/>
  <c r="J2" i="38" s="1"/>
  <c r="K2" i="38" s="1"/>
  <c r="L2" i="38" s="1"/>
  <c r="M2" i="38" s="1"/>
  <c r="N2" i="38" s="1"/>
  <c r="O2" i="38" s="1"/>
  <c r="P2" i="38" s="1"/>
  <c r="Q2" i="38" s="1"/>
  <c r="R2" i="38" s="1"/>
  <c r="S2" i="38" s="1"/>
  <c r="T2" i="38" s="1"/>
  <c r="U2" i="38" s="1"/>
  <c r="V2" i="38" s="1"/>
  <c r="W2" i="38" s="1"/>
  <c r="X2" i="38" s="1"/>
  <c r="Y2" i="38" s="1"/>
  <c r="Z2" i="38" s="1"/>
  <c r="AA2" i="38" s="1"/>
  <c r="AB2" i="38" s="1"/>
  <c r="AC2" i="38" s="1"/>
  <c r="AD2" i="38" s="1"/>
  <c r="AE2" i="38" s="1"/>
  <c r="AF2" i="38" s="1"/>
  <c r="AG2" i="38" s="1"/>
  <c r="AH2" i="38" s="1"/>
  <c r="AI2" i="38" s="1"/>
  <c r="AJ2" i="38" s="1"/>
  <c r="AK2" i="38" s="1"/>
  <c r="AL2" i="38" s="1"/>
  <c r="AM2" i="38" s="1"/>
  <c r="D5" i="28"/>
  <c r="D4" i="28"/>
</calcChain>
</file>

<file path=xl/sharedStrings.xml><?xml version="1.0" encoding="utf-8"?>
<sst xmlns="http://schemas.openxmlformats.org/spreadsheetml/2006/main" count="974" uniqueCount="491">
  <si>
    <t>NAME</t>
    <phoneticPr fontId="6" type="noConversion"/>
  </si>
  <si>
    <t>OFFSET</t>
    <phoneticPr fontId="6" type="noConversion"/>
  </si>
  <si>
    <t>BASE</t>
    <phoneticPr fontId="6" type="noConversion"/>
  </si>
  <si>
    <t>DEVICE</t>
    <phoneticPr fontId="6" type="noConversion"/>
  </si>
  <si>
    <t>RW</t>
    <phoneticPr fontId="6" type="noConversion"/>
  </si>
  <si>
    <t>ADDR[31:0]</t>
  </si>
  <si>
    <t>RO</t>
    <phoneticPr fontId="6" type="noConversion"/>
  </si>
  <si>
    <t>RO</t>
    <phoneticPr fontId="6" type="noConversion"/>
  </si>
  <si>
    <t>REMARK</t>
    <phoneticPr fontId="6" type="noConversion"/>
  </si>
  <si>
    <t>LBx8_MASTER
@ CTRL to PG</t>
    <phoneticPr fontId="6" type="noConversion"/>
  </si>
  <si>
    <t>FPGA</t>
    <phoneticPr fontId="6" type="noConversion"/>
  </si>
  <si>
    <t>IP Name</t>
    <phoneticPr fontId="6" type="noConversion"/>
  </si>
  <si>
    <t>IP Version</t>
    <phoneticPr fontId="6" type="noConversion"/>
  </si>
  <si>
    <t>Description</t>
    <phoneticPr fontId="6" type="noConversion"/>
  </si>
  <si>
    <t xml:space="preserve"> - Init Version</t>
    <phoneticPr fontId="6" type="noConversion"/>
  </si>
  <si>
    <t>IPs @ CTRL</t>
    <phoneticPr fontId="6" type="noConversion"/>
  </si>
  <si>
    <t>OFFSET</t>
    <phoneticPr fontId="6" type="noConversion"/>
  </si>
  <si>
    <t>RW</t>
    <phoneticPr fontId="6" type="noConversion"/>
  </si>
  <si>
    <t>SET</t>
    <phoneticPr fontId="6" type="noConversion"/>
  </si>
  <si>
    <t>RO</t>
    <phoneticPr fontId="6" type="noConversion"/>
  </si>
  <si>
    <t>RO</t>
    <phoneticPr fontId="6" type="noConversion"/>
  </si>
  <si>
    <t>RnW</t>
    <phoneticPr fontId="6" type="noConversion"/>
  </si>
  <si>
    <t>RTL Simulation</t>
    <phoneticPr fontId="6" type="noConversion"/>
  </si>
  <si>
    <t>FPGA Verification</t>
    <phoneticPr fontId="6" type="noConversion"/>
  </si>
  <si>
    <t>Date</t>
    <phoneticPr fontId="6" type="noConversion"/>
  </si>
  <si>
    <t>-</t>
    <phoneticPr fontId="6" type="noConversion"/>
  </si>
  <si>
    <t xml:space="preserve"> Description</t>
    <phoneticPr fontId="6" type="noConversion"/>
  </si>
  <si>
    <t>Remark</t>
    <phoneticPr fontId="6" type="noConversion"/>
  </si>
  <si>
    <t>x</t>
    <phoneticPr fontId="6" type="noConversion"/>
  </si>
  <si>
    <t>STS</t>
    <phoneticPr fontId="6" type="noConversion"/>
  </si>
  <si>
    <t>P</t>
    <phoneticPr fontId="6" type="noConversion"/>
  </si>
  <si>
    <t>IP Update Date</t>
    <phoneticPr fontId="6" type="noConversion"/>
  </si>
  <si>
    <t>Verification Date</t>
    <phoneticPr fontId="6" type="noConversion"/>
  </si>
  <si>
    <t>CLR</t>
    <phoneticPr fontId="6" type="noConversion"/>
  </si>
  <si>
    <t>LAST</t>
    <phoneticPr fontId="6" type="noConversion"/>
  </si>
  <si>
    <t>START</t>
    <phoneticPr fontId="6" type="noConversion"/>
  </si>
  <si>
    <t>PG.3</t>
    <phoneticPr fontId="6" type="noConversion"/>
  </si>
  <si>
    <t>PG.2</t>
    <phoneticPr fontId="6" type="noConversion"/>
  </si>
  <si>
    <t>PG.1</t>
    <phoneticPr fontId="6" type="noConversion"/>
  </si>
  <si>
    <t>PG.0</t>
    <phoneticPr fontId="6" type="noConversion"/>
  </si>
  <si>
    <t>TG.1</t>
    <phoneticPr fontId="6" type="noConversion"/>
  </si>
  <si>
    <t>TG.0</t>
    <phoneticPr fontId="6" type="noConversion"/>
  </si>
  <si>
    <t>D.E</t>
    <phoneticPr fontId="6" type="noConversion"/>
  </si>
  <si>
    <t>EOS</t>
    <phoneticPr fontId="6" type="noConversion"/>
  </si>
  <si>
    <t xml:space="preserve"> Top Design for CTRL FPGA</t>
    <phoneticPr fontId="6" type="noConversion"/>
  </si>
  <si>
    <t>Cell</t>
  </si>
  <si>
    <t>Base Name</t>
  </si>
  <si>
    <t>Offset Address</t>
  </si>
  <si>
    <t>Range</t>
  </si>
  <si>
    <t>High Address</t>
  </si>
  <si>
    <t/>
  </si>
  <si>
    <t>4K</t>
  </si>
  <si>
    <t>Reg</t>
  </si>
  <si>
    <t>64K</t>
  </si>
  <si>
    <t>MAJOR ( DECIMAL )</t>
    <phoneticPr fontId="6" type="noConversion"/>
  </si>
  <si>
    <t>MINOR ( DECIMAL )</t>
    <phoneticPr fontId="6" type="noConversion"/>
  </si>
  <si>
    <t>YEAR ( DECIMAL )</t>
    <phoneticPr fontId="6" type="noConversion"/>
  </si>
  <si>
    <t>DATE ( DECIMAL )</t>
    <phoneticPr fontId="6" type="noConversion"/>
  </si>
  <si>
    <t>INI.S</t>
    <phoneticPr fontId="6" type="noConversion"/>
  </si>
  <si>
    <t>D.S</t>
    <phoneticPr fontId="6" type="noConversion"/>
  </si>
  <si>
    <t>BUSY</t>
    <phoneticPr fontId="6" type="noConversion"/>
  </si>
  <si>
    <t>D.E[6]</t>
    <phoneticPr fontId="6" type="noConversion"/>
  </si>
  <si>
    <t>INI.S[5]</t>
    <phoneticPr fontId="6" type="noConversion"/>
  </si>
  <si>
    <t>D.S[4]</t>
    <phoneticPr fontId="6" type="noConversion"/>
  </si>
  <si>
    <t>EOS[3]</t>
    <phoneticPr fontId="6" type="noConversion"/>
  </si>
  <si>
    <t>BUSY[0]</t>
    <phoneticPr fontId="6" type="noConversion"/>
  </si>
  <si>
    <t>WR</t>
    <phoneticPr fontId="6" type="noConversion"/>
  </si>
  <si>
    <t>RD</t>
    <phoneticPr fontId="6" type="noConversion"/>
  </si>
  <si>
    <t>WC.E</t>
    <phoneticPr fontId="6" type="noConversion"/>
  </si>
  <si>
    <t>WD.E</t>
    <phoneticPr fontId="6" type="noConversion"/>
  </si>
  <si>
    <t>RC.E</t>
    <phoneticPr fontId="6" type="noConversion"/>
  </si>
  <si>
    <t>RD.E</t>
    <phoneticPr fontId="6" type="noConversion"/>
  </si>
  <si>
    <t>WC.E[7]</t>
    <phoneticPr fontId="6" type="noConversion"/>
  </si>
  <si>
    <t>WD.E[6]</t>
    <phoneticPr fontId="6" type="noConversion"/>
  </si>
  <si>
    <t>RC.E[5]</t>
    <phoneticPr fontId="6" type="noConversion"/>
  </si>
  <si>
    <t>RD.E[4]</t>
    <phoneticPr fontId="6" type="noConversion"/>
  </si>
  <si>
    <t>MONTH ( DECIMAL )</t>
    <phoneticPr fontId="6" type="noConversion"/>
  </si>
  <si>
    <t>PJT-INFO</t>
    <phoneticPr fontId="6" type="noConversion"/>
  </si>
  <si>
    <t>RST</t>
    <phoneticPr fontId="6" type="noConversion"/>
  </si>
  <si>
    <t>RW.DATA.0</t>
    <phoneticPr fontId="6" type="noConversion"/>
  </si>
  <si>
    <t>RW.DATA.1</t>
  </si>
  <si>
    <t>RW.DATA.2</t>
  </si>
  <si>
    <t>RW.DATA.3</t>
  </si>
  <si>
    <t>ERR</t>
    <phoneticPr fontId="6" type="noConversion"/>
  </si>
  <si>
    <t>DEVICE</t>
    <phoneticPr fontId="6" type="noConversion"/>
  </si>
  <si>
    <t>BASE</t>
    <phoneticPr fontId="6" type="noConversion"/>
  </si>
  <si>
    <t>OFFSET</t>
    <phoneticPr fontId="6" type="noConversion"/>
  </si>
  <si>
    <t>NAME</t>
    <phoneticPr fontId="6" type="noConversion"/>
  </si>
  <si>
    <t>RW</t>
    <phoneticPr fontId="6" type="noConversion"/>
  </si>
  <si>
    <t>CMD</t>
    <phoneticPr fontId="6" type="noConversion"/>
  </si>
  <si>
    <t>STATUS</t>
    <phoneticPr fontId="6" type="noConversion"/>
  </si>
  <si>
    <t>PJT-INFO
@ CTRL</t>
    <phoneticPr fontId="6" type="noConversion"/>
  </si>
  <si>
    <t>INIT.E</t>
    <phoneticPr fontId="6" type="noConversion"/>
  </si>
  <si>
    <t>INIT.E[7]</t>
    <phoneticPr fontId="6" type="noConversion"/>
  </si>
  <si>
    <t>"CFGx8-C2X"</t>
    <phoneticPr fontId="6" type="noConversion"/>
  </si>
  <si>
    <t>CFGx8-C2X
@ CTRL to TGPG</t>
    <phoneticPr fontId="6" type="noConversion"/>
  </si>
  <si>
    <t>"LBx8-C2P"</t>
    <phoneticPr fontId="6" type="noConversion"/>
  </si>
  <si>
    <t>D.ALL</t>
    <phoneticPr fontId="6" type="noConversion"/>
  </si>
  <si>
    <t>D.PG3</t>
    <phoneticPr fontId="6" type="noConversion"/>
  </si>
  <si>
    <t>D.PG2</t>
    <phoneticPr fontId="6" type="noConversion"/>
  </si>
  <si>
    <t>D.PG1</t>
    <phoneticPr fontId="6" type="noConversion"/>
  </si>
  <si>
    <t>D.PG0</t>
    <phoneticPr fontId="6" type="noConversion"/>
  </si>
  <si>
    <t>D.TG1</t>
    <phoneticPr fontId="6" type="noConversion"/>
  </si>
  <si>
    <t>D.TG0</t>
    <phoneticPr fontId="6" type="noConversion"/>
  </si>
  <si>
    <t>0000_F</t>
    <phoneticPr fontId="6" type="noConversion"/>
  </si>
  <si>
    <t>DUMMY</t>
    <phoneticPr fontId="6" type="noConversion"/>
  </si>
  <si>
    <t>VERSION</t>
    <phoneticPr fontId="6" type="noConversion"/>
  </si>
  <si>
    <t>DATE</t>
    <phoneticPr fontId="6" type="noConversion"/>
  </si>
  <si>
    <t>BOARD-ID
@ CTRL</t>
    <phoneticPr fontId="6" type="noConversion"/>
  </si>
  <si>
    <t>0000_0</t>
    <phoneticPr fontId="6" type="noConversion"/>
  </si>
  <si>
    <t>"BOARD-ID"</t>
    <phoneticPr fontId="6" type="noConversion"/>
  </si>
  <si>
    <t>BIB.ID</t>
    <phoneticPr fontId="6" type="noConversion"/>
  </si>
  <si>
    <t>BIB.INUSE</t>
    <phoneticPr fontId="6" type="noConversion"/>
  </si>
  <si>
    <t>BIB.CW</t>
    <phoneticPr fontId="6" type="noConversion"/>
  </si>
  <si>
    <t>INUSE</t>
    <phoneticPr fontId="6" type="noConversion"/>
  </si>
  <si>
    <t>0000_1</t>
    <phoneticPr fontId="6" type="noConversion"/>
  </si>
  <si>
    <t>SELECT</t>
    <phoneticPr fontId="6" type="noConversion"/>
  </si>
  <si>
    <t>0000_2</t>
    <phoneticPr fontId="6" type="noConversion"/>
  </si>
  <si>
    <t>ADDRESS</t>
    <phoneticPr fontId="6" type="noConversion"/>
  </si>
  <si>
    <t>LATENCY</t>
    <phoneticPr fontId="6" type="noConversion"/>
  </si>
  <si>
    <r>
      <t>READ.LATENCY[</t>
    </r>
    <r>
      <rPr>
        <sz val="11"/>
        <color theme="1"/>
        <rFont val="Malgun Gothic"/>
        <family val="2"/>
        <charset val="129"/>
      </rPr>
      <t>7:0</t>
    </r>
    <r>
      <rPr>
        <sz val="11"/>
        <color theme="1"/>
        <rFont val="等线"/>
        <family val="2"/>
        <charset val="129"/>
        <scheme val="minor"/>
      </rPr>
      <t>]</t>
    </r>
    <phoneticPr fontId="6" type="noConversion"/>
  </si>
  <si>
    <r>
      <t>RST[</t>
    </r>
    <r>
      <rPr>
        <b/>
        <sz val="11"/>
        <color rgb="FF006100"/>
        <rFont val="Malgun Gothic"/>
        <family val="3"/>
        <charset val="129"/>
      </rPr>
      <t>8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</si>
  <si>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>DDR</t>
    <phoneticPr fontId="6" type="noConversion"/>
  </si>
  <si>
    <r>
      <t>ADC-AD</t>
    </r>
    <r>
      <rPr>
        <sz val="11"/>
        <color theme="1"/>
        <rFont val="Malgun Gothic"/>
        <family val="2"/>
        <charset val="129"/>
      </rPr>
      <t>7606</t>
    </r>
    <r>
      <rPr>
        <sz val="11"/>
        <color theme="1"/>
        <rFont val="等线"/>
        <family val="2"/>
        <charset val="129"/>
        <scheme val="minor"/>
      </rPr>
      <t xml:space="preserve">
@ CTRL</t>
    </r>
    <phoneticPr fontId="6" type="noConversion"/>
  </si>
  <si>
    <r>
      <t>"</t>
    </r>
    <r>
      <rPr>
        <sz val="11"/>
        <color theme="1"/>
        <rFont val="Malgun Gothic"/>
        <family val="2"/>
        <charset val="129"/>
      </rPr>
      <t>ADC-AD7606</t>
    </r>
    <r>
      <rPr>
        <sz val="11"/>
        <color theme="1"/>
        <rFont val="等线"/>
        <family val="2"/>
        <charset val="129"/>
        <scheme val="minor"/>
      </rPr>
      <t>"</t>
    </r>
    <phoneticPr fontId="6" type="noConversion"/>
  </si>
  <si>
    <t>0000_4</t>
    <phoneticPr fontId="6" type="noConversion"/>
  </si>
  <si>
    <t>SETTLING</t>
    <phoneticPr fontId="6" type="noConversion"/>
  </si>
  <si>
    <t>RANGE</t>
    <phoneticPr fontId="6" type="noConversion"/>
  </si>
  <si>
    <t>OS</t>
    <phoneticPr fontId="6" type="noConversion"/>
  </si>
  <si>
    <t>OS.0[2:0]</t>
    <phoneticPr fontId="6" type="noConversion"/>
  </si>
  <si>
    <t>OS.1[6:4]</t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</si>
  <si>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等线"/>
        <family val="2"/>
        <charset val="129"/>
        <scheme val="minor"/>
      </rPr>
      <t>0</t>
    </r>
    <r>
      <rPr>
        <sz val="11"/>
        <color theme="1"/>
        <rFont val="Malgun Gothic"/>
        <family val="2"/>
        <charset val="129"/>
      </rPr>
      <t>01</t>
    </r>
    <r>
      <rPr>
        <sz val="11"/>
        <color theme="1"/>
        <rFont val="等线"/>
        <family val="2"/>
        <charset val="129"/>
        <scheme val="minor"/>
      </rPr>
      <t>_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等线"/>
        <family val="2"/>
        <charset val="129"/>
        <scheme val="minor"/>
      </rPr>
      <t>000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</si>
  <si>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0002</t>
    </r>
    <r>
      <rPr>
        <sz val="11"/>
        <color theme="1"/>
        <rFont val="等线"/>
        <family val="2"/>
        <charset val="129"/>
        <scheme val="minor"/>
      </rPr>
      <t>_0000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</si>
  <si>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0001</t>
    </r>
    <r>
      <rPr>
        <sz val="11"/>
        <color theme="1"/>
        <rFont val="等线"/>
        <family val="2"/>
        <charset val="129"/>
        <scheme val="minor"/>
      </rPr>
      <t>_FFFF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</si>
  <si>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0002</t>
    </r>
    <r>
      <rPr>
        <sz val="11"/>
        <color theme="1"/>
        <rFont val="等线"/>
        <family val="2"/>
        <charset val="129"/>
        <scheme val="minor"/>
      </rPr>
      <t>_FFFF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</si>
  <si>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0003</t>
    </r>
    <r>
      <rPr>
        <sz val="11"/>
        <color theme="1"/>
        <rFont val="等线"/>
        <family val="2"/>
        <charset val="129"/>
        <scheme val="minor"/>
      </rPr>
      <t>_FFFF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</si>
  <si>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0003</t>
    </r>
    <r>
      <rPr>
        <sz val="11"/>
        <color theme="1"/>
        <rFont val="等线"/>
        <family val="2"/>
        <charset val="129"/>
        <scheme val="minor"/>
      </rPr>
      <t>_0000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</si>
  <si>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0000</t>
    </r>
    <r>
      <rPr>
        <sz val="11"/>
        <color theme="1"/>
        <rFont val="等线"/>
        <family val="2"/>
        <charset val="129"/>
        <scheme val="minor"/>
      </rPr>
      <t>_</t>
    </r>
    <r>
      <rPr>
        <sz val="11"/>
        <color theme="1"/>
        <rFont val="Malgun Gothic"/>
        <family val="2"/>
        <charset val="129"/>
      </rPr>
      <t>F</t>
    </r>
    <r>
      <rPr>
        <sz val="11"/>
        <color theme="1"/>
        <rFont val="等线"/>
        <family val="2"/>
        <charset val="129"/>
        <scheme val="minor"/>
      </rPr>
      <t>000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</si>
  <si>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0000_F</t>
    </r>
    <r>
      <rPr>
        <sz val="11"/>
        <color theme="1"/>
        <rFont val="等线"/>
        <family val="2"/>
        <charset val="129"/>
        <scheme val="minor"/>
      </rPr>
      <t>FFF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</si>
  <si>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4</t>
    </r>
    <r>
      <rPr>
        <sz val="11"/>
        <color theme="1"/>
        <rFont val="等线"/>
        <family val="2"/>
        <charset val="129"/>
        <scheme val="minor"/>
      </rPr>
      <t>000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</si>
  <si>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3</t>
    </r>
    <r>
      <rPr>
        <sz val="11"/>
        <color theme="1"/>
        <rFont val="等线"/>
        <family val="2"/>
        <charset val="129"/>
        <scheme val="minor"/>
      </rPr>
      <t>000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</si>
  <si>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2</t>
    </r>
    <r>
      <rPr>
        <sz val="11"/>
        <color theme="1"/>
        <rFont val="等线"/>
        <family val="2"/>
        <charset val="129"/>
        <scheme val="minor"/>
      </rPr>
      <t>000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</si>
  <si>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1</t>
    </r>
    <r>
      <rPr>
        <sz val="11"/>
        <color theme="1"/>
        <rFont val="等线"/>
        <family val="2"/>
        <charset val="129"/>
        <scheme val="minor"/>
      </rPr>
      <t>000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</si>
  <si>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等线"/>
        <family val="2"/>
        <charset val="129"/>
        <scheme val="minor"/>
      </rPr>
      <t>000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</si>
  <si>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等线"/>
        <family val="2"/>
        <charset val="129"/>
        <scheme val="minor"/>
      </rPr>
      <t>FFF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</si>
  <si>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1</t>
    </r>
    <r>
      <rPr>
        <sz val="11"/>
        <color theme="1"/>
        <rFont val="等线"/>
        <family val="2"/>
        <charset val="129"/>
        <scheme val="minor"/>
      </rPr>
      <t>FFF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</si>
  <si>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2</t>
    </r>
    <r>
      <rPr>
        <sz val="11"/>
        <color theme="1"/>
        <rFont val="等线"/>
        <family val="2"/>
        <charset val="129"/>
        <scheme val="minor"/>
      </rPr>
      <t>FFF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</si>
  <si>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3</t>
    </r>
    <r>
      <rPr>
        <sz val="11"/>
        <color theme="1"/>
        <rFont val="等线"/>
        <family val="2"/>
        <charset val="129"/>
        <scheme val="minor"/>
      </rPr>
      <t>FFF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</si>
  <si>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4</t>
    </r>
    <r>
      <rPr>
        <sz val="11"/>
        <color theme="1"/>
        <rFont val="等线"/>
        <family val="2"/>
        <charset val="129"/>
        <scheme val="minor"/>
      </rPr>
      <t>FFF</t>
    </r>
    <phoneticPr fontId="6" type="noConversion"/>
  </si>
  <si>
    <t>DPS.No[23:16]</t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</si>
  <si>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4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</si>
  <si>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5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</si>
  <si>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6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</si>
  <si>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7</t>
    </r>
    <phoneticPr fontId="6" type="noConversion"/>
  </si>
  <si>
    <t>RW.DATA.BUF</t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</si>
  <si>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255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</si>
  <si>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254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</si>
  <si>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253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</si>
  <si>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252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</si>
  <si>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251</t>
    </r>
    <phoneticPr fontId="6" type="noConversion"/>
  </si>
  <si>
    <r>
      <t>RW.DATA.2</t>
    </r>
    <r>
      <rPr>
        <sz val="11"/>
        <color theme="1"/>
        <rFont val="Malgun Gothic"/>
        <family val="2"/>
        <charset val="129"/>
      </rPr>
      <t>50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</si>
  <si>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249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</si>
  <si>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248</t>
    </r>
    <phoneticPr fontId="6" type="noConversion"/>
  </si>
  <si>
    <t>ALERT</t>
    <phoneticPr fontId="6" type="noConversion"/>
  </si>
  <si>
    <t>RUN</t>
    <phoneticPr fontId="6" type="noConversion"/>
  </si>
  <si>
    <r>
      <t>EOS[</t>
    </r>
    <r>
      <rPr>
        <b/>
        <sz val="11"/>
        <color rgb="FF006100"/>
        <rFont val="Malgun Gothic"/>
        <family val="3"/>
        <charset val="129"/>
      </rPr>
      <t>7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</si>
  <si>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>PMBUS.CMD[7:0]</t>
    <phoneticPr fontId="6" type="noConversion"/>
  </si>
  <si>
    <t>BOARD-ID</t>
    <phoneticPr fontId="6" type="noConversion"/>
  </si>
  <si>
    <t>LBx8-C2T</t>
    <phoneticPr fontId="6" type="noConversion"/>
  </si>
  <si>
    <t>LBx8-C2P</t>
    <phoneticPr fontId="6" type="noConversion"/>
  </si>
  <si>
    <t>CFGx8-C2X</t>
    <phoneticPr fontId="6" type="noConversion"/>
  </si>
  <si>
    <t>ADC-AD7606</t>
    <phoneticPr fontId="6" type="noConversion"/>
  </si>
  <si>
    <r>
      <t xml:space="preserve"> </t>
    </r>
    <r>
      <rPr>
        <sz val="11"/>
        <color theme="1"/>
        <rFont val="Malgun Gothic"/>
        <family val="2"/>
        <charset val="129"/>
      </rPr>
      <t xml:space="preserve">x8 </t>
    </r>
    <r>
      <rPr>
        <sz val="11"/>
        <color theme="1"/>
        <rFont val="等线"/>
        <family val="2"/>
        <charset val="129"/>
        <scheme val="minor"/>
      </rPr>
      <t xml:space="preserve">Config Logic, CTRL to </t>
    </r>
    <r>
      <rPr>
        <sz val="11"/>
        <color theme="1"/>
        <rFont val="Malgun Gothic"/>
        <family val="2"/>
        <charset val="129"/>
      </rPr>
      <t>TG/PG</t>
    </r>
    <phoneticPr fontId="6" type="noConversion"/>
  </si>
  <si>
    <t xml:space="preserve"> x8 Local Bus, CTRL to PG</t>
    <phoneticPr fontId="6" type="noConversion"/>
  </si>
  <si>
    <r>
      <t xml:space="preserve"> x8 Local Bus, CTRL to </t>
    </r>
    <r>
      <rPr>
        <sz val="11"/>
        <color theme="1"/>
        <rFont val="Malgun Gothic"/>
        <family val="2"/>
        <charset val="129"/>
      </rPr>
      <t>TG</t>
    </r>
    <phoneticPr fontId="6" type="noConversion"/>
  </si>
  <si>
    <r>
      <t xml:space="preserve"> Control Logic for</t>
    </r>
    <r>
      <rPr>
        <sz val="11"/>
        <color theme="1"/>
        <rFont val="Malgun Gothic"/>
        <family val="2"/>
        <charset val="129"/>
      </rPr>
      <t xml:space="preserve"> DPS</t>
    </r>
    <phoneticPr fontId="6" type="noConversion"/>
  </si>
  <si>
    <r>
      <t xml:space="preserve"> Control Logic for</t>
    </r>
    <r>
      <rPr>
        <sz val="11"/>
        <color theme="1"/>
        <rFont val="Malgun Gothic"/>
        <family val="2"/>
        <charset val="129"/>
      </rPr>
      <t xml:space="preserve"> DAC7578</t>
    </r>
    <phoneticPr fontId="6" type="noConversion"/>
  </si>
  <si>
    <r>
      <t xml:space="preserve"> Control Logic for AD</t>
    </r>
    <r>
      <rPr>
        <sz val="11"/>
        <color theme="1"/>
        <rFont val="Malgun Gothic"/>
        <family val="2"/>
        <charset val="129"/>
      </rPr>
      <t>7606</t>
    </r>
    <phoneticPr fontId="6" type="noConversion"/>
  </si>
  <si>
    <t>SET[4]</t>
    <phoneticPr fontId="6" type="noConversion"/>
  </si>
  <si>
    <r>
      <t>EOS[</t>
    </r>
    <r>
      <rPr>
        <b/>
        <sz val="11"/>
        <color rgb="FF006100"/>
        <rFont val="Malgun Gothic"/>
        <family val="3"/>
        <charset val="129"/>
      </rPr>
      <t>8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</si>
  <si>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>REST[7:0]</t>
    <phoneticPr fontId="6" type="noConversion"/>
  </si>
  <si>
    <r>
      <t xml:space="preserve">LBx8_MASTER
@ CTRL to </t>
    </r>
    <r>
      <rPr>
        <sz val="11"/>
        <color theme="1"/>
        <rFont val="Malgun Gothic"/>
        <family val="2"/>
        <charset val="129"/>
      </rPr>
      <t>T</t>
    </r>
    <r>
      <rPr>
        <sz val="11"/>
        <color theme="1"/>
        <rFont val="等线"/>
        <family val="2"/>
        <charset val="129"/>
        <scheme val="minor"/>
      </rPr>
      <t>G</t>
    </r>
    <phoneticPr fontId="6" type="noConversion"/>
  </si>
  <si>
    <t>0000_3</t>
    <phoneticPr fontId="6" type="noConversion"/>
  </si>
  <si>
    <r>
      <t>"LBx8-C2</t>
    </r>
    <r>
      <rPr>
        <sz val="11"/>
        <color theme="1"/>
        <rFont val="Malgun Gothic"/>
        <family val="2"/>
        <charset val="129"/>
      </rPr>
      <t>T</t>
    </r>
    <r>
      <rPr>
        <sz val="11"/>
        <color theme="1"/>
        <rFont val="等线"/>
        <family val="2"/>
        <charset val="129"/>
        <scheme val="minor"/>
      </rPr>
      <t>"</t>
    </r>
    <phoneticPr fontId="6" type="noConversion"/>
  </si>
  <si>
    <r>
      <rPr>
        <sz val="11"/>
        <color theme="1"/>
        <rFont val="Malgun Gothic"/>
        <family val="2"/>
        <charset val="129"/>
      </rPr>
      <t>T</t>
    </r>
    <r>
      <rPr>
        <sz val="11"/>
        <color theme="1"/>
        <rFont val="等线"/>
        <family val="2"/>
        <charset val="129"/>
        <scheme val="minor"/>
      </rPr>
      <t>G.0</t>
    </r>
    <phoneticPr fontId="6" type="noConversion"/>
  </si>
  <si>
    <r>
      <rPr>
        <sz val="11"/>
        <color theme="1"/>
        <rFont val="Malgun Gothic"/>
        <family val="2"/>
        <charset val="129"/>
      </rPr>
      <t>T</t>
    </r>
    <r>
      <rPr>
        <sz val="11"/>
        <color theme="1"/>
        <rFont val="等线"/>
        <family val="2"/>
        <charset val="129"/>
        <scheme val="minor"/>
      </rPr>
      <t>G.1</t>
    </r>
    <phoneticPr fontId="6" type="noConversion"/>
  </si>
  <si>
    <r>
      <t>CFG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等线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等线"/>
        <family val="2"/>
        <charset val="129"/>
        <scheme val="minor"/>
      </rPr>
      <t>C2X</t>
    </r>
    <phoneticPr fontId="6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</si>
  <si>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等线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等线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P</t>
    </r>
    <phoneticPr fontId="6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</si>
  <si>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等线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等线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T</t>
    </r>
    <phoneticPr fontId="6" type="noConversion"/>
  </si>
  <si>
    <r>
      <t>ADC</t>
    </r>
    <r>
      <rPr>
        <sz val="11"/>
        <color theme="1"/>
        <rFont val="Malgun Gothic"/>
        <family val="2"/>
        <charset val="129"/>
      </rPr>
      <t>-AD7606</t>
    </r>
    <phoneticPr fontId="6" type="noConversion"/>
  </si>
  <si>
    <r>
      <t>PJT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等线"/>
        <family val="2"/>
        <charset val="129"/>
        <scheme val="minor"/>
      </rPr>
      <t>INFO</t>
    </r>
    <phoneticPr fontId="6" type="noConversion"/>
  </si>
  <si>
    <r>
      <t>CFG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等线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等线"/>
        <family val="2"/>
        <charset val="129"/>
        <scheme val="minor"/>
      </rPr>
      <t>C2X_BUF</t>
    </r>
    <phoneticPr fontId="6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</si>
  <si>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等线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等线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P</t>
    </r>
    <r>
      <rPr>
        <sz val="11"/>
        <color theme="1"/>
        <rFont val="等线"/>
        <family val="2"/>
        <charset val="129"/>
        <scheme val="minor"/>
      </rPr>
      <t>_BUF</t>
    </r>
    <phoneticPr fontId="6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</si>
  <si>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等线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等线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T</t>
    </r>
    <r>
      <rPr>
        <sz val="11"/>
        <color theme="1"/>
        <rFont val="等线"/>
        <family val="2"/>
        <charset val="129"/>
        <scheme val="minor"/>
      </rPr>
      <t>_BUF</t>
    </r>
    <phoneticPr fontId="6" type="noConversion"/>
  </si>
  <si>
    <t xml:space="preserve"> Write PG Register</t>
    <phoneticPr fontId="6" type="noConversion"/>
  </si>
  <si>
    <t xml:space="preserve"> Read PG Register</t>
    <phoneticPr fontId="6" type="noConversion"/>
  </si>
  <si>
    <t>x</t>
    <phoneticPr fontId="24" type="noConversion"/>
  </si>
  <si>
    <r>
      <t>BURST.LENGTH[</t>
    </r>
    <r>
      <rPr>
        <sz val="11"/>
        <color theme="1"/>
        <rFont val="Malgun Gothic"/>
        <family val="2"/>
        <charset val="129"/>
      </rPr>
      <t>15:0</t>
    </r>
    <r>
      <rPr>
        <sz val="11"/>
        <color theme="1"/>
        <rFont val="等线"/>
        <family val="2"/>
        <charset val="129"/>
        <scheme val="minor"/>
      </rPr>
      <t>]</t>
    </r>
    <phoneticPr fontId="6" type="noConversion"/>
  </si>
  <si>
    <r>
      <t>RST[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</si>
  <si>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r>
      <t>LAST[</t>
    </r>
    <r>
      <rPr>
        <b/>
        <sz val="11"/>
        <color rgb="FF006100"/>
        <rFont val="Malgun Gothic"/>
        <family val="3"/>
        <charset val="129"/>
      </rPr>
      <t>25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</si>
  <si>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r>
      <t>START[</t>
    </r>
    <r>
      <rPr>
        <b/>
        <sz val="11"/>
        <color rgb="FF006100"/>
        <rFont val="Malgun Gothic"/>
        <family val="3"/>
        <charset val="129"/>
      </rPr>
      <t>24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</si>
  <si>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>TG.1~0[17:16]</t>
    <phoneticPr fontId="6" type="noConversion"/>
  </si>
  <si>
    <t>PG.3~0[23:20]</t>
    <phoneticPr fontId="6" type="noConversion"/>
  </si>
  <si>
    <r>
      <rPr>
        <b/>
        <sz val="11"/>
        <color rgb="FF006100"/>
        <rFont val="Malgun Gothic"/>
        <family val="3"/>
        <charset val="129"/>
      </rPr>
      <t>BL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15:0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</si>
  <si>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D.ALL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24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</si>
  <si>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D.PG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23:20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</si>
  <si>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D.TG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17:16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</si>
  <si>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 xml:space="preserve"> PG FPGA Select bit</t>
    <phoneticPr fontId="6" type="noConversion"/>
  </si>
  <si>
    <t xml:space="preserve"> TG FPGA Select bit</t>
    <phoneticPr fontId="6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</si>
  <si>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等线"/>
        <family val="2"/>
        <charset val="129"/>
        <scheme val="minor"/>
      </rPr>
      <t>INIT_B Signal</t>
    </r>
    <r>
      <rPr>
        <sz val="11"/>
        <color theme="1"/>
        <rFont val="Malgun Gothic"/>
        <family val="2"/>
        <charset val="129"/>
      </rPr>
      <t xml:space="preserve"> of selected FPGA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</si>
  <si>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等线"/>
        <family val="2"/>
        <charset val="129"/>
        <scheme val="minor"/>
      </rPr>
      <t>DONE Signal</t>
    </r>
    <r>
      <rPr>
        <sz val="11"/>
        <color theme="1"/>
        <rFont val="Malgun Gothic"/>
        <family val="2"/>
        <charset val="129"/>
      </rPr>
      <t xml:space="preserve"> of selected FPGA</t>
    </r>
    <phoneticPr fontId="6" type="noConversion"/>
  </si>
  <si>
    <t xml:space="preserve"> And of all FPGA done signal</t>
    <phoneticPr fontId="6" type="noConversion"/>
  </si>
  <si>
    <t xml:space="preserve"> Each PG FPGA done signal</t>
    <phoneticPr fontId="6" type="noConversion"/>
  </si>
  <si>
    <t xml:space="preserve"> Each TG FPGA done signal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</si>
  <si>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等线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[ 0x0000_1_020 ]</t>
    </r>
    <phoneticPr fontId="6" type="noConversion"/>
  </si>
  <si>
    <t xml:space="preserve"> STATUS [ 0x0000_1_030 ]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</si>
  <si>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等线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[ 0x0000_2_024 ]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</si>
  <si>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WR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25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</si>
  <si>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RD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24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</si>
  <si>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>PG.3~0[19:16]</t>
    <phoneticPr fontId="6" type="noConversion"/>
  </si>
  <si>
    <t xml:space="preserve"> LATENCY [ 0x0000_2_02C ]</t>
    <phoneticPr fontId="6" type="noConversion"/>
  </si>
  <si>
    <r>
      <rPr>
        <b/>
        <sz val="11"/>
        <color rgb="FF006100"/>
        <rFont val="Malgun Gothic"/>
        <family val="3"/>
        <charset val="129"/>
      </rPr>
      <t>RL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7:0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</si>
  <si>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 xml:space="preserve"> LB write command error</t>
    <phoneticPr fontId="6" type="noConversion"/>
  </si>
  <si>
    <t xml:space="preserve"> LB read command error</t>
    <phoneticPr fontId="6" type="noConversion"/>
  </si>
  <si>
    <t xml:space="preserve"> LB write data CRC error</t>
    <phoneticPr fontId="6" type="noConversion"/>
  </si>
  <si>
    <t xml:space="preserve"> LB read data CRC error</t>
    <phoneticPr fontId="6" type="noConversion"/>
  </si>
  <si>
    <t>ADDR</t>
    <phoneticPr fontId="6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</si>
  <si>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等线"/>
        <family val="2"/>
        <charset val="129"/>
        <scheme val="minor"/>
      </rPr>
      <t>PG_# 32-bit Address, 4GB range</t>
    </r>
    <phoneticPr fontId="24" type="noConversion"/>
  </si>
  <si>
    <t xml:space="preserve"> ADDRESS [ 0x0000_2_020 ]</t>
    <phoneticPr fontId="6" type="noConversion"/>
  </si>
  <si>
    <r>
      <rPr>
        <sz val="11"/>
        <color theme="1"/>
        <rFont val="Malgun Gothic"/>
        <family val="2"/>
        <charset val="129"/>
      </rPr>
      <t xml:space="preserve"> T</t>
    </r>
    <r>
      <rPr>
        <sz val="11"/>
        <color theme="1"/>
        <rFont val="等线"/>
        <family val="2"/>
        <charset val="129"/>
        <scheme val="minor"/>
      </rPr>
      <t>G_# 32-bit Address, 4GB range</t>
    </r>
    <phoneticPr fontId="24" type="noConversion"/>
  </si>
  <si>
    <t xml:space="preserve"> ADDRESS [ 0x0000_3_020 ]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</si>
  <si>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等线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[ 0x0000_3_024 ]</t>
    </r>
    <phoneticPr fontId="6" type="noConversion"/>
  </si>
  <si>
    <t xml:space="preserve"> LATENCY [ 0x0000_3_02C ]</t>
    <phoneticPr fontId="6" type="noConversion"/>
  </si>
  <si>
    <t xml:space="preserve"> STATUS [ 0x0000_3_030 ]</t>
    <phoneticPr fontId="6" type="noConversion"/>
  </si>
  <si>
    <t xml:space="preserve"> STATUS [ 0x0000_2_030 ]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</si>
  <si>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等线"/>
        <family val="3"/>
        <charset val="129"/>
        <scheme val="minor"/>
      </rPr>
      <t>BIB.</t>
    </r>
    <r>
      <rPr>
        <b/>
        <sz val="11"/>
        <color rgb="FF9C6500"/>
        <rFont val="Malgun Gothic"/>
        <family val="3"/>
        <charset val="129"/>
      </rPr>
      <t>INUSE</t>
    </r>
    <r>
      <rPr>
        <b/>
        <sz val="11"/>
        <color rgb="FF9C6500"/>
        <rFont val="等线"/>
        <family val="3"/>
        <charset val="129"/>
        <scheme val="minor"/>
      </rPr>
      <t xml:space="preserve"> [ 0x0000_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等线"/>
        <family val="3"/>
        <charset val="129"/>
        <scheme val="minor"/>
      </rPr>
      <t>_02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等线"/>
        <family val="3"/>
        <charset val="129"/>
        <scheme val="minor"/>
      </rPr>
      <t xml:space="preserve"> ]</t>
    </r>
    <phoneticPr fontId="6" type="noConversion"/>
  </si>
  <si>
    <t xml:space="preserve"> Active high, read-only INUSE pin.
 INUSE = 1 indicates BIB is inserted.</t>
    <phoneticPr fontId="6" type="noConversion"/>
  </si>
  <si>
    <t xml:space="preserve"> Byte size of transfer data.
 0 means 1-Byte, max 64KB</t>
    <phoneticPr fontId="6" type="noConversion"/>
  </si>
  <si>
    <r>
      <rPr>
        <sz val="11"/>
        <color theme="1"/>
        <rFont val="Malgun Gothic"/>
        <family val="2"/>
        <charset val="129"/>
      </rPr>
      <t xml:space="preserve"> 1 i</t>
    </r>
    <r>
      <rPr>
        <sz val="11"/>
        <color theme="1"/>
        <rFont val="等线"/>
        <family val="2"/>
        <charset val="129"/>
        <scheme val="minor"/>
      </rPr>
      <t>ndicate</t>
    </r>
    <r>
      <rPr>
        <sz val="11"/>
        <color theme="1"/>
        <rFont val="Malgun Gothic"/>
        <family val="2"/>
        <charset val="129"/>
      </rPr>
      <t>s</t>
    </r>
    <r>
      <rPr>
        <sz val="11"/>
        <color theme="1"/>
        <rFont val="等线"/>
        <family val="2"/>
        <charset val="129"/>
        <scheme val="minor"/>
      </rPr>
      <t xml:space="preserve"> that the IP is BUSY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</si>
  <si>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等线"/>
        <family val="2"/>
        <charset val="129"/>
        <scheme val="minor"/>
      </rPr>
      <t>Set as PG Register Read Latency</t>
    </r>
    <r>
      <rPr>
        <sz val="11"/>
        <color theme="1"/>
        <rFont val="Malgun Gothic"/>
        <family val="2"/>
        <charset val="129"/>
      </rPr>
      <t>.</t>
    </r>
    <phoneticPr fontId="6" type="noConversion"/>
  </si>
  <si>
    <t xml:space="preserve"> ADC No. ( 0 or 1 )</t>
    <phoneticPr fontId="6" type="noConversion"/>
  </si>
  <si>
    <t>SELECT[7:6]</t>
    <phoneticPr fontId="6" type="noConversion"/>
  </si>
  <si>
    <t>CLR[5]</t>
    <phoneticPr fontId="6" type="noConversion"/>
  </si>
  <si>
    <t xml:space="preserve"> STATUS [ 0x0000_4_030 ]</t>
    <phoneticPr fontId="6" type="noConversion"/>
  </si>
  <si>
    <t xml:space="preserve"> Same w/ CMD[7:0]</t>
    <phoneticPr fontId="6" type="noConversion"/>
  </si>
  <si>
    <t xml:space="preserve"> SETTLING [ 0x0000_4_024 ]</t>
    <phoneticPr fontId="6" type="noConversion"/>
  </si>
  <si>
    <t xml:space="preserve"> Settling time before ADC conversion, 10ns/LSB</t>
    <phoneticPr fontId="6" type="noConversion"/>
  </si>
  <si>
    <t xml:space="preserve"> RANGE [ 0x0000_4_028 ]</t>
    <phoneticPr fontId="6" type="noConversion"/>
  </si>
  <si>
    <r>
      <t>SETTLING</t>
    </r>
    <r>
      <rPr>
        <sz val="11"/>
        <color theme="1"/>
        <rFont val="Malgun Gothic"/>
        <family val="2"/>
        <charset val="129"/>
      </rPr>
      <t>.</t>
    </r>
    <r>
      <rPr>
        <sz val="11"/>
        <color theme="1"/>
        <rFont val="等线"/>
        <family val="2"/>
        <charset val="129"/>
        <scheme val="minor"/>
      </rPr>
      <t>TIME[31:0]</t>
    </r>
    <phoneticPr fontId="6" type="noConversion"/>
  </si>
  <si>
    <t xml:space="preserve"> Default 0, ADC_1 : +/- 5V Range</t>
    <phoneticPr fontId="6" type="noConversion"/>
  </si>
  <si>
    <t xml:space="preserve"> for ADC_1 : +/- 10V Range, set as 1</t>
    <phoneticPr fontId="6" type="noConversion"/>
  </si>
  <si>
    <t xml:space="preserve"> Default 0, ADC_0 : +/- 5V Range</t>
    <phoneticPr fontId="6" type="noConversion"/>
  </si>
  <si>
    <t xml:space="preserve"> for ADC_0 : +/- 10V Range, set as 1</t>
    <phoneticPr fontId="6" type="noConversion"/>
  </si>
  <si>
    <t xml:space="preserve"> OS [ 0x0000_4_02C ]</t>
    <phoneticPr fontId="6" type="noConversion"/>
  </si>
  <si>
    <t>R.1</t>
    <phoneticPr fontId="6" type="noConversion"/>
  </si>
  <si>
    <t>R.0</t>
    <phoneticPr fontId="6" type="noConversion"/>
  </si>
  <si>
    <t>R.1[1]</t>
    <phoneticPr fontId="6" type="noConversion"/>
  </si>
  <si>
    <t>R.0[0]</t>
    <phoneticPr fontId="6" type="noConversion"/>
  </si>
  <si>
    <t xml:space="preserve"> Default 0, OS for ADC_1</t>
    <phoneticPr fontId="6" type="noConversion"/>
  </si>
  <si>
    <t xml:space="preserve"> Default 0, OS for ADC_0</t>
    <phoneticPr fontId="6" type="noConversion"/>
  </si>
  <si>
    <r>
      <rPr>
        <b/>
        <sz val="11"/>
        <color rgb="FF006100"/>
        <rFont val="Malgun Gothic"/>
        <family val="3"/>
        <charset val="129"/>
      </rPr>
      <t>SET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</si>
  <si>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>RST[30]</t>
    <phoneticPr fontId="6" type="noConversion"/>
  </si>
  <si>
    <t xml:space="preserve"> 1 for DAC Read, 0 for DAC Write</t>
    <phoneticPr fontId="6" type="noConversion"/>
  </si>
  <si>
    <r>
      <rPr>
        <b/>
        <sz val="11"/>
        <color rgb="FF006100"/>
        <rFont val="Malgun Gothic"/>
        <family val="3"/>
        <charset val="129"/>
      </rPr>
      <t>WR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</si>
  <si>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>RD[30]</t>
    <phoneticPr fontId="6" type="noConversion"/>
  </si>
  <si>
    <t>DPS.No</t>
    <phoneticPr fontId="6" type="noConversion"/>
  </si>
  <si>
    <t>BURST.LENGTH[15:8]</t>
    <phoneticPr fontId="6" type="noConversion"/>
  </si>
  <si>
    <t>BL[15:8]</t>
    <phoneticPr fontId="6" type="noConversion"/>
  </si>
  <si>
    <t xml:space="preserve"> DPS read/write byte count</t>
    <phoneticPr fontId="6" type="noConversion"/>
  </si>
  <si>
    <t xml:space="preserve"> 0 means 1-Byte, max 256-Byte</t>
    <phoneticPr fontId="6" type="noConversion"/>
  </si>
  <si>
    <t>PMBUS.CMD</t>
    <phoneticPr fontId="6" type="noConversion"/>
  </si>
  <si>
    <t xml:space="preserve"> 8-bit PMBUS command for DPS</t>
    <phoneticPr fontId="6" type="noConversion"/>
  </si>
  <si>
    <t xml:space="preserve"> Active high</t>
    <phoneticPr fontId="6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</si>
  <si>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等线"/>
        <family val="2"/>
        <charset val="129"/>
        <scheme val="minor"/>
      </rPr>
      <t>RW.DATA_0 ~ 255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</si>
  <si>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ERR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</si>
  <si>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indicates </t>
    </r>
    <r>
      <rPr>
        <sz val="11"/>
        <color theme="1"/>
        <rFont val="等线"/>
        <family val="2"/>
        <charset val="129"/>
        <scheme val="minor"/>
      </rPr>
      <t>I2C COM/ALERT/FAULT Error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</si>
  <si>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1 i</t>
    </r>
    <r>
      <rPr>
        <sz val="11"/>
        <color theme="1"/>
        <rFont val="等线"/>
        <family val="2"/>
        <charset val="129"/>
        <scheme val="minor"/>
      </rPr>
      <t>ndicate</t>
    </r>
    <r>
      <rPr>
        <sz val="11"/>
        <color theme="1"/>
        <rFont val="Malgun Gothic"/>
        <family val="2"/>
        <charset val="129"/>
      </rPr>
      <t>s</t>
    </r>
    <r>
      <rPr>
        <sz val="11"/>
        <color theme="1"/>
        <rFont val="等线"/>
        <family val="2"/>
        <charset val="129"/>
        <scheme val="minor"/>
      </rPr>
      <t xml:space="preserve"> the </t>
    </r>
    <r>
      <rPr>
        <sz val="11"/>
        <color theme="1"/>
        <rFont val="Malgun Gothic"/>
        <family val="2"/>
        <charset val="129"/>
      </rPr>
      <t>e</t>
    </r>
    <r>
      <rPr>
        <sz val="11"/>
        <color theme="1"/>
        <rFont val="等线"/>
        <family val="2"/>
        <charset val="129"/>
        <scheme val="minor"/>
      </rPr>
      <t xml:space="preserve">nd of </t>
    </r>
    <r>
      <rPr>
        <sz val="11"/>
        <color theme="1"/>
        <rFont val="Malgun Gothic"/>
        <family val="2"/>
        <charset val="129"/>
      </rPr>
      <t>operation</t>
    </r>
    <phoneticPr fontId="6" type="noConversion"/>
  </si>
  <si>
    <t xml:space="preserve"> 1 indicates the end of operation</t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</si>
  <si>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r</t>
    </r>
    <r>
      <rPr>
        <sz val="11"/>
        <color theme="1"/>
        <rFont val="等线"/>
        <family val="2"/>
        <charset val="129"/>
        <scheme val="minor"/>
      </rPr>
      <t xml:space="preserve">eset the </t>
    </r>
    <r>
      <rPr>
        <sz val="11"/>
        <color theme="1"/>
        <rFont val="Malgun Gothic"/>
        <family val="2"/>
        <charset val="129"/>
      </rPr>
      <t xml:space="preserve">Logic </t>
    </r>
    <r>
      <rPr>
        <sz val="11"/>
        <color theme="1"/>
        <rFont val="等线"/>
        <family val="2"/>
        <charset val="129"/>
        <scheme val="minor"/>
      </rPr>
      <t>IP</t>
    </r>
    <phoneticPr fontId="6" type="noConversion"/>
  </si>
  <si>
    <t xml:space="preserve"> Active high, reset the Logic IP</t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</si>
  <si>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transfer</t>
    </r>
    <r>
      <rPr>
        <sz val="11"/>
        <color theme="1"/>
        <rFont val="等线"/>
        <family val="2"/>
        <charset val="129"/>
        <scheme val="minor"/>
      </rPr>
      <t xml:space="preserve"> </t>
    </r>
    <r>
      <rPr>
        <sz val="11"/>
        <color theme="1"/>
        <rFont val="Malgun Gothic"/>
        <family val="2"/>
        <charset val="129"/>
      </rPr>
      <t xml:space="preserve">the </t>
    </r>
    <r>
      <rPr>
        <sz val="11"/>
        <color theme="1"/>
        <rFont val="等线"/>
        <family val="2"/>
        <charset val="129"/>
        <scheme val="minor"/>
      </rPr>
      <t>Last Frame of Bitstream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</si>
  <si>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transfer</t>
    </r>
    <r>
      <rPr>
        <sz val="11"/>
        <color theme="1"/>
        <rFont val="等线"/>
        <family val="2"/>
        <charset val="129"/>
        <scheme val="minor"/>
      </rPr>
      <t xml:space="preserve"> </t>
    </r>
    <r>
      <rPr>
        <sz val="11"/>
        <color theme="1"/>
        <rFont val="Malgun Gothic"/>
        <family val="2"/>
        <charset val="129"/>
      </rPr>
      <t>the Frame of</t>
    </r>
    <r>
      <rPr>
        <sz val="11"/>
        <color theme="1"/>
        <rFont val="等线"/>
        <family val="2"/>
        <charset val="129"/>
        <scheme val="minor"/>
      </rPr>
      <t xml:space="preserve"> Bitstream</t>
    </r>
    <r>
      <rPr>
        <sz val="11"/>
        <color theme="1"/>
        <rFont val="Malgun Gothic"/>
        <family val="2"/>
        <charset val="129"/>
      </rPr>
      <t>, 
 except of Last Frame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</si>
  <si>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</t>
    </r>
    <r>
      <rPr>
        <sz val="11"/>
        <color theme="1"/>
        <rFont val="等线"/>
        <family val="2"/>
        <charset val="129"/>
        <scheme val="minor"/>
      </rPr>
      <t>INIT_B Error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</si>
  <si>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</t>
    </r>
    <r>
      <rPr>
        <sz val="11"/>
        <color theme="1"/>
        <rFont val="等线"/>
        <family val="2"/>
        <charset val="129"/>
        <scheme val="minor"/>
      </rPr>
      <t>Done Error</t>
    </r>
    <phoneticPr fontId="6" type="noConversion"/>
  </si>
  <si>
    <t xml:space="preserve"> Active high, do write operation</t>
    <phoneticPr fontId="6" type="noConversion"/>
  </si>
  <si>
    <t xml:space="preserve"> Active high, do read operation</t>
    <phoneticPr fontId="6" type="noConversion"/>
  </si>
  <si>
    <t xml:space="preserve"> Active high, ADC clear operation</t>
    <phoneticPr fontId="6" type="noConversion"/>
  </si>
  <si>
    <t xml:space="preserve"> Active high, do conversion operation</t>
    <phoneticPr fontId="6" type="noConversion"/>
  </si>
  <si>
    <t xml:space="preserve"> Active high, DPS write operation</t>
    <phoneticPr fontId="6" type="noConversion"/>
  </si>
  <si>
    <t xml:space="preserve"> Active high, DPS read operation</t>
    <phoneticPr fontId="6" type="noConversion"/>
  </si>
  <si>
    <t>MSB[27:26]</t>
    <phoneticPr fontId="6" type="noConversion"/>
  </si>
  <si>
    <r>
      <t xml:space="preserve"> Read SODIMM w/ 0x</t>
    </r>
    <r>
      <rPr>
        <sz val="11"/>
        <color rgb="FF3F3F76"/>
        <rFont val="Malgun Gothic"/>
        <family val="2"/>
        <charset val="129"/>
      </rPr>
      <t>1</t>
    </r>
    <r>
      <rPr>
        <sz val="11"/>
        <color rgb="FF3F3F76"/>
        <rFont val="等线"/>
        <family val="2"/>
        <charset val="134"/>
        <scheme val="minor"/>
      </rPr>
      <t>_0000_0000 ~ 0x</t>
    </r>
    <r>
      <rPr>
        <sz val="11"/>
        <color rgb="FF3F3F76"/>
        <rFont val="Malgun Gothic"/>
        <family val="2"/>
        <charset val="129"/>
      </rPr>
      <t>1</t>
    </r>
    <r>
      <rPr>
        <sz val="11"/>
        <color rgb="FF3F3F76"/>
        <rFont val="等线"/>
        <family val="2"/>
        <charset val="134"/>
        <scheme val="minor"/>
      </rPr>
      <t>_FFFF_FFFF</t>
    </r>
    <phoneticPr fontId="6" type="noConversion"/>
  </si>
  <si>
    <r>
      <t xml:space="preserve"> Write SODIMM w/ 0x</t>
    </r>
    <r>
      <rPr>
        <sz val="11"/>
        <color rgb="FF3F3F76"/>
        <rFont val="Malgun Gothic"/>
        <family val="2"/>
        <charset val="129"/>
      </rPr>
      <t>2</t>
    </r>
    <r>
      <rPr>
        <sz val="11"/>
        <color rgb="FF3F3F76"/>
        <rFont val="等线"/>
        <family val="2"/>
        <charset val="134"/>
        <scheme val="minor"/>
      </rPr>
      <t>_0000_0000 ~ 0x</t>
    </r>
    <r>
      <rPr>
        <sz val="11"/>
        <color rgb="FF3F3F76"/>
        <rFont val="Malgun Gothic"/>
        <family val="2"/>
        <charset val="129"/>
      </rPr>
      <t>2</t>
    </r>
    <r>
      <rPr>
        <sz val="11"/>
        <color rgb="FF3F3F76"/>
        <rFont val="等线"/>
        <family val="2"/>
        <charset val="134"/>
        <scheme val="minor"/>
      </rPr>
      <t>_FFFF_FFFF</t>
    </r>
    <phoneticPr fontId="6" type="noConversion"/>
  </si>
  <si>
    <r>
      <t xml:space="preserve"> Write SODIMM w/ 0x0_0000_0000 ~ 0x0_FFFF_FFFF, lowe</t>
    </r>
    <r>
      <rPr>
        <sz val="11"/>
        <color rgb="FF3F3F76"/>
        <rFont val="Malgun Gothic"/>
        <family val="2"/>
        <charset val="129"/>
      </rPr>
      <t>st</t>
    </r>
    <r>
      <rPr>
        <sz val="11"/>
        <color rgb="FF3F3F76"/>
        <rFont val="等线"/>
        <family val="2"/>
        <charset val="134"/>
        <scheme val="minor"/>
      </rPr>
      <t xml:space="preserve"> 4GB</t>
    </r>
    <r>
      <rPr>
        <sz val="11"/>
        <color rgb="FF3F3F76"/>
        <rFont val="Malgun Gothic"/>
        <family val="2"/>
        <charset val="129"/>
      </rPr>
      <t xml:space="preserve"> / 16GB</t>
    </r>
    <phoneticPr fontId="6" type="noConversion"/>
  </si>
  <si>
    <r>
      <t xml:space="preserve"> Read SODIMM w/ 0x</t>
    </r>
    <r>
      <rPr>
        <sz val="11"/>
        <color rgb="FF3F3F76"/>
        <rFont val="Malgun Gothic"/>
        <family val="2"/>
        <charset val="129"/>
      </rPr>
      <t>3</t>
    </r>
    <r>
      <rPr>
        <sz val="11"/>
        <color rgb="FF3F3F76"/>
        <rFont val="等线"/>
        <family val="2"/>
        <charset val="134"/>
        <scheme val="minor"/>
      </rPr>
      <t>_0000_0000 ~ 0x</t>
    </r>
    <r>
      <rPr>
        <sz val="11"/>
        <color rgb="FF3F3F76"/>
        <rFont val="Malgun Gothic"/>
        <family val="2"/>
        <charset val="129"/>
      </rPr>
      <t>3</t>
    </r>
    <r>
      <rPr>
        <sz val="11"/>
        <color rgb="FF3F3F76"/>
        <rFont val="等线"/>
        <family val="2"/>
        <charset val="134"/>
        <scheme val="minor"/>
      </rPr>
      <t>_FFFF_FFFF, uppe</t>
    </r>
    <r>
      <rPr>
        <sz val="11"/>
        <color rgb="FF3F3F76"/>
        <rFont val="Malgun Gothic"/>
        <family val="2"/>
        <charset val="129"/>
      </rPr>
      <t>st</t>
    </r>
    <r>
      <rPr>
        <sz val="11"/>
        <color rgb="FF3F3F76"/>
        <rFont val="等线"/>
        <family val="2"/>
        <charset val="134"/>
        <scheme val="minor"/>
      </rPr>
      <t xml:space="preserve"> 4GB / 16GB</t>
    </r>
    <phoneticPr fontId="6" type="noConversion"/>
  </si>
  <si>
    <t>DDR.MSB</t>
    <phoneticPr fontId="6" type="noConversion"/>
  </si>
  <si>
    <t xml:space="preserve"> For 16GB SODIMM access</t>
    <phoneticPr fontId="6" type="noConversion"/>
  </si>
  <si>
    <t xml:space="preserve"> Byte size of transfer data.
 0 means 1-Byte, max 63KB</t>
    <phoneticPr fontId="6" type="noConversion"/>
  </si>
  <si>
    <t>PG.1.STATUS</t>
    <phoneticPr fontId="24" type="noConversion"/>
  </si>
  <si>
    <t>PG.3.STATUS</t>
    <phoneticPr fontId="24" type="noConversion"/>
  </si>
  <si>
    <t>PG.2.STATUS</t>
    <phoneticPr fontId="24" type="noConversion"/>
  </si>
  <si>
    <t>TG.1.STATUS</t>
    <phoneticPr fontId="24" type="noConversion"/>
  </si>
  <si>
    <r>
      <t xml:space="preserve"> Default, RL = </t>
    </r>
    <r>
      <rPr>
        <sz val="11"/>
        <color rgb="FF9C0006"/>
        <rFont val="Malgun Gothic"/>
        <family val="2"/>
        <charset val="129"/>
      </rPr>
      <t>0</t>
    </r>
    <phoneticPr fontId="24" type="noConversion"/>
  </si>
  <si>
    <t>MUX_ADC</t>
    <phoneticPr fontId="6" type="noConversion"/>
  </si>
  <si>
    <t>MUX_ADC1</t>
    <phoneticPr fontId="6" type="noConversion"/>
  </si>
  <si>
    <t>MUX_ADC3</t>
    <phoneticPr fontId="6" type="noConversion"/>
  </si>
  <si>
    <t>MUX_ADC5</t>
    <phoneticPr fontId="6" type="noConversion"/>
  </si>
  <si>
    <t>MUX_ADC7</t>
    <phoneticPr fontId="6" type="noConversion"/>
  </si>
  <si>
    <r>
      <t>MU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等线"/>
        <family val="2"/>
        <charset val="129"/>
        <scheme val="minor"/>
      </rPr>
      <t>_ADC0</t>
    </r>
    <phoneticPr fontId="6" type="noConversion"/>
  </si>
  <si>
    <t>MUX_ADC2</t>
    <phoneticPr fontId="6" type="noConversion"/>
  </si>
  <si>
    <t>MUX_ADC4</t>
    <phoneticPr fontId="6" type="noConversion"/>
  </si>
  <si>
    <t>MUX_ADC6</t>
    <phoneticPr fontId="6" type="noConversion"/>
  </si>
  <si>
    <t xml:space="preserve"> CMD [ 0x0000_4_020 ]</t>
    <phoneticPr fontId="6" type="noConversion"/>
  </si>
  <si>
    <t>SCAN</t>
    <phoneticPr fontId="6" type="noConversion"/>
  </si>
  <si>
    <r>
      <t>ADDR[</t>
    </r>
    <r>
      <rPr>
        <sz val="11"/>
        <color theme="1"/>
        <rFont val="Malgun Gothic"/>
        <family val="2"/>
        <charset val="129"/>
      </rPr>
      <t>19:16</t>
    </r>
    <r>
      <rPr>
        <sz val="11"/>
        <color theme="1"/>
        <rFont val="等线"/>
        <family val="2"/>
        <charset val="129"/>
        <scheme val="minor"/>
      </rPr>
      <t>]</t>
    </r>
    <phoneticPr fontId="6" type="noConversion"/>
  </si>
  <si>
    <t>RnW[24]</t>
    <phoneticPr fontId="6" type="noConversion"/>
  </si>
  <si>
    <t>ADR[19:16]</t>
    <phoneticPr fontId="6" type="noConversion"/>
  </si>
  <si>
    <r>
      <t>EOS[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</si>
  <si>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r>
      <t>E</t>
    </r>
    <r>
      <rPr>
        <b/>
        <sz val="11"/>
        <color rgb="FF006100"/>
        <rFont val="Malgun Gothic"/>
        <family val="3"/>
        <charset val="129"/>
      </rPr>
      <t>RR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30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</si>
  <si>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 xml:space="preserve">  Active high, indicates I2C Error</t>
    <phoneticPr fontId="6" type="noConversion"/>
  </si>
  <si>
    <t>REST[23:16]</t>
    <phoneticPr fontId="6" type="noConversion"/>
  </si>
  <si>
    <t xml:space="preserve"> Same w/ CMD[23:16]</t>
    <phoneticPr fontId="6" type="noConversion"/>
  </si>
  <si>
    <t>BAR2 ( pcie_xdma_bypass : base [ 0xC000_0000 ] )</t>
    <phoneticPr fontId="6" type="noConversion"/>
  </si>
  <si>
    <r>
      <rPr>
        <sz val="11"/>
        <color theme="1"/>
        <rFont val="맑은 고딕"/>
        <family val="2"/>
        <charset val="129"/>
      </rPr>
      <t>DPS-ADC</t>
    </r>
    <r>
      <rPr>
        <sz val="11"/>
        <color theme="1"/>
        <rFont val="等线"/>
        <family val="2"/>
        <charset val="129"/>
        <scheme val="minor"/>
      </rPr>
      <t xml:space="preserve">
@ CTRL</t>
    </r>
    <phoneticPr fontId="6" type="noConversion"/>
  </si>
  <si>
    <t>0000_8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</si>
  <si>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等线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[ 0x0000_8_020 ]</t>
    </r>
    <phoneticPr fontId="6" type="noConversion"/>
  </si>
  <si>
    <t xml:space="preserve"> STATUS [ 0x0000_8_030 ]</t>
    <phoneticPr fontId="6" type="noConversion"/>
  </si>
  <si>
    <r>
      <t>"</t>
    </r>
    <r>
      <rPr>
        <sz val="11"/>
        <color theme="1"/>
        <rFont val="Malgun Gothic"/>
        <family val="2"/>
        <charset val="129"/>
      </rPr>
      <t>ADC-SGM58031</t>
    </r>
    <r>
      <rPr>
        <sz val="11"/>
        <color theme="1"/>
        <rFont val="等线"/>
        <family val="2"/>
        <charset val="129"/>
        <scheme val="minor"/>
      </rPr>
      <t>"</t>
    </r>
    <phoneticPr fontId="6" type="noConversion"/>
  </si>
  <si>
    <r>
      <t>D</t>
    </r>
    <r>
      <rPr>
        <sz val="11"/>
        <color theme="1"/>
        <rFont val="맑은 고딕"/>
        <family val="2"/>
        <charset val="129"/>
      </rPr>
      <t>ATA</t>
    </r>
    <r>
      <rPr>
        <sz val="11"/>
        <color theme="1"/>
        <rFont val="等线"/>
        <family val="2"/>
        <charset val="129"/>
        <scheme val="minor"/>
      </rPr>
      <t>[1</t>
    </r>
    <r>
      <rPr>
        <sz val="11"/>
        <color theme="1"/>
        <rFont val="Malgun Gothic"/>
        <family val="2"/>
        <charset val="129"/>
      </rPr>
      <t>5</t>
    </r>
    <r>
      <rPr>
        <sz val="11"/>
        <color theme="1"/>
        <rFont val="等线"/>
        <family val="2"/>
        <charset val="129"/>
        <scheme val="minor"/>
      </rPr>
      <t>: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等线"/>
        <family val="2"/>
        <charset val="129"/>
        <scheme val="minor"/>
      </rPr>
      <t>]</t>
    </r>
    <phoneticPr fontId="6" type="noConversion"/>
  </si>
  <si>
    <r>
      <rPr>
        <sz val="11"/>
        <color theme="1"/>
        <rFont val="맑은 고딕"/>
        <family val="2"/>
        <charset val="129"/>
      </rPr>
      <t>ADC.No</t>
    </r>
    <r>
      <rPr>
        <sz val="11"/>
        <color theme="1"/>
        <rFont val="等线"/>
        <family val="2"/>
        <charset val="129"/>
        <scheme val="minor"/>
      </rPr>
      <t>[</t>
    </r>
    <r>
      <rPr>
        <sz val="11"/>
        <color theme="1"/>
        <rFont val="Malgun Gothic"/>
        <family val="2"/>
        <charset val="129"/>
      </rPr>
      <t>23:20</t>
    </r>
    <r>
      <rPr>
        <sz val="11"/>
        <color theme="1"/>
        <rFont val="等线"/>
        <family val="2"/>
        <charset val="129"/>
        <scheme val="minor"/>
      </rPr>
      <t>]</t>
    </r>
    <phoneticPr fontId="6" type="noConversion"/>
  </si>
  <si>
    <t xml:space="preserve"> 1 for ADC Read, 0 for ADC Write</t>
    <phoneticPr fontId="6" type="noConversion"/>
  </si>
  <si>
    <t xml:space="preserve"> Active high, do ADC RW operation</t>
    <phoneticPr fontId="6" type="noConversion"/>
  </si>
  <si>
    <t>No[23:20]</t>
    <phoneticPr fontId="6" type="noConversion"/>
  </si>
  <si>
    <t xml:space="preserve"> ADC.No : 0 ~ 5</t>
    <phoneticPr fontId="6" type="noConversion"/>
  </si>
  <si>
    <t xml:space="preserve"> ADC register address</t>
    <phoneticPr fontId="6" type="noConversion"/>
  </si>
  <si>
    <t xml:space="preserve"> 16-bit ADC write data</t>
    <phoneticPr fontId="6" type="noConversion"/>
  </si>
  <si>
    <t>D[15:0]</t>
    <phoneticPr fontId="6" type="noConversion"/>
  </si>
  <si>
    <t xml:space="preserve"> 16-bit ADC read data</t>
    <phoneticPr fontId="6" type="noConversion"/>
  </si>
  <si>
    <t>N</t>
    <phoneticPr fontId="6" type="noConversion"/>
  </si>
  <si>
    <t>GLB</t>
    <phoneticPr fontId="6" type="noConversion"/>
  </si>
  <si>
    <t>GLB[28]</t>
    <phoneticPr fontId="6" type="noConversion"/>
  </si>
  <si>
    <t xml:space="preserve"> Using global addr only for WR</t>
    <phoneticPr fontId="6" type="noConversion"/>
  </si>
  <si>
    <r>
      <t>BIB.</t>
    </r>
    <r>
      <rPr>
        <sz val="11"/>
        <color theme="1"/>
        <rFont val="맑은 고딕"/>
        <family val="2"/>
        <charset val="129"/>
      </rPr>
      <t>SEL</t>
    </r>
    <r>
      <rPr>
        <sz val="11"/>
        <color theme="1"/>
        <rFont val="等线"/>
        <family val="2"/>
        <charset val="129"/>
        <scheme val="minor"/>
      </rPr>
      <t>[</t>
    </r>
    <r>
      <rPr>
        <sz val="11"/>
        <color theme="1"/>
        <rFont val="맑은 고딕"/>
        <family val="2"/>
        <charset val="129"/>
      </rPr>
      <t>3</t>
    </r>
    <r>
      <rPr>
        <sz val="11"/>
        <color theme="1"/>
        <rFont val="等线"/>
        <family val="2"/>
        <charset val="129"/>
        <scheme val="minor"/>
      </rPr>
      <t>:0]</t>
    </r>
    <phoneticPr fontId="6" type="noConversion"/>
  </si>
  <si>
    <r>
      <t xml:space="preserve"> BIB.</t>
    </r>
    <r>
      <rPr>
        <sz val="11"/>
        <color theme="1"/>
        <rFont val="맑은 고딕"/>
        <family val="2"/>
        <charset val="129"/>
      </rPr>
      <t>ID</t>
    </r>
    <r>
      <rPr>
        <sz val="11"/>
        <color theme="1"/>
        <rFont val="等线"/>
        <family val="2"/>
        <charset val="129"/>
        <scheme val="minor"/>
      </rPr>
      <t>[</t>
    </r>
    <r>
      <rPr>
        <sz val="11"/>
        <color theme="1"/>
        <rFont val="맑은 고딕"/>
        <family val="2"/>
        <charset val="129"/>
      </rPr>
      <t>7</t>
    </r>
    <r>
      <rPr>
        <sz val="11"/>
        <color theme="1"/>
        <rFont val="等线"/>
        <family val="2"/>
        <charset val="129"/>
        <scheme val="minor"/>
      </rPr>
      <t>:0]</t>
    </r>
    <phoneticPr fontId="6" type="noConversion"/>
  </si>
  <si>
    <t xml:space="preserve"> 8-bit BIB.ID</t>
    <phoneticPr fontId="6" type="noConversion"/>
  </si>
  <si>
    <t>BIB.SEL</t>
    <phoneticPr fontId="6" type="noConversion"/>
  </si>
  <si>
    <t xml:space="preserve"> 4-bit BIB.SEL</t>
    <phoneticPr fontId="6" type="noConversion"/>
  </si>
  <si>
    <t xml:space="preserve"> - Mod, Pg.Clk = 0011 / 0110 / 1100 / 1001</t>
    <phoneticPr fontId="6" type="noConversion"/>
  </si>
  <si>
    <r>
      <t xml:space="preserve"> - </t>
    </r>
    <r>
      <rPr>
        <b/>
        <sz val="11"/>
        <color theme="1"/>
        <rFont val="바탕"/>
        <family val="3"/>
        <charset val="129"/>
      </rPr>
      <t>Bug, cclk.last.state = 1</t>
    </r>
    <phoneticPr fontId="6" type="noConversion"/>
  </si>
  <si>
    <r>
      <t xml:space="preserve"> - </t>
    </r>
    <r>
      <rPr>
        <sz val="11"/>
        <color theme="1"/>
        <rFont val="바탕"/>
        <family val="3"/>
        <charset val="129"/>
      </rPr>
      <t>Bug, cfg.fpga.sel register address</t>
    </r>
    <phoneticPr fontId="6" type="noConversion"/>
  </si>
  <si>
    <t>LB.CLK.SEL</t>
    <phoneticPr fontId="24" type="noConversion"/>
  </si>
  <si>
    <t>RW</t>
    <phoneticPr fontId="24" type="noConversion"/>
  </si>
  <si>
    <t xml:space="preserve"> LB.CLK.SEL [ 0x0000_2_028 ]</t>
    <phoneticPr fontId="6" type="noConversion"/>
  </si>
  <si>
    <t>0011</t>
    <phoneticPr fontId="6" type="noConversion"/>
  </si>
  <si>
    <t>1100</t>
    <phoneticPr fontId="24" type="noConversion"/>
  </si>
  <si>
    <t>1001</t>
    <phoneticPr fontId="24" type="noConversion"/>
  </si>
  <si>
    <t>0110, default</t>
    <phoneticPr fontId="24" type="noConversion"/>
  </si>
  <si>
    <t>DAC-AD5381</t>
    <phoneticPr fontId="6" type="noConversion"/>
  </si>
  <si>
    <t>PPS</t>
    <phoneticPr fontId="6" type="noConversion"/>
  </si>
  <si>
    <r>
      <t>MUX[</t>
    </r>
    <r>
      <rPr>
        <sz val="11"/>
        <color theme="1"/>
        <rFont val="Malgun Gothic"/>
        <family val="2"/>
        <charset val="129"/>
      </rPr>
      <t>3</t>
    </r>
    <r>
      <rPr>
        <sz val="11"/>
        <color theme="1"/>
        <rFont val="等线"/>
        <family val="2"/>
        <charset val="129"/>
        <scheme val="minor"/>
      </rPr>
      <t>:0]</t>
    </r>
    <phoneticPr fontId="6" type="noConversion"/>
  </si>
  <si>
    <t>MUX[3:0]</t>
    <phoneticPr fontId="6" type="noConversion"/>
  </si>
  <si>
    <r>
      <t>"</t>
    </r>
    <r>
      <rPr>
        <sz val="11"/>
        <color theme="1"/>
        <rFont val="Malgun Gothic"/>
        <family val="2"/>
        <charset val="129"/>
      </rPr>
      <t>CTRL-HMBT400</t>
    </r>
    <r>
      <rPr>
        <sz val="11"/>
        <color theme="1"/>
        <rFont val="等线"/>
        <family val="2"/>
        <charset val="129"/>
        <scheme val="minor"/>
      </rPr>
      <t>"</t>
    </r>
    <phoneticPr fontId="6" type="noConversion"/>
  </si>
  <si>
    <r>
      <t xml:space="preserve"> SITE </t>
    </r>
    <r>
      <rPr>
        <sz val="11"/>
        <color theme="1"/>
        <rFont val="Malgun Gothic"/>
        <family val="2"/>
        <charset val="129"/>
      </rPr>
      <t>&amp; BIB ID, Temp, RA-On</t>
    </r>
    <phoneticPr fontId="6" type="noConversion"/>
  </si>
  <si>
    <t>TSENSOR_0</t>
    <phoneticPr fontId="6" type="noConversion"/>
  </si>
  <si>
    <t>TSENSOR_1</t>
    <phoneticPr fontId="6" type="noConversion"/>
  </si>
  <si>
    <t>TSENSOR_2</t>
    <phoneticPr fontId="6" type="noConversion"/>
  </si>
  <si>
    <t>TSENSOR_3</t>
    <phoneticPr fontId="6" type="noConversion"/>
  </si>
  <si>
    <t>TEMP.SENSOR</t>
    <phoneticPr fontId="6" type="noConversion"/>
  </si>
  <si>
    <t>TSENSOR</t>
    <phoneticPr fontId="6" type="noConversion"/>
  </si>
  <si>
    <t xml:space="preserve"> 12-bit</t>
    <phoneticPr fontId="6" type="noConversion"/>
  </si>
  <si>
    <r>
      <rPr>
        <b/>
        <sz val="11"/>
        <rFont val="Malgun Gothic"/>
        <family val="3"/>
        <charset val="129"/>
      </rPr>
      <t xml:space="preserve"> </t>
    </r>
    <r>
      <rPr>
        <b/>
        <sz val="11"/>
        <rFont val="等线"/>
        <family val="3"/>
        <charset val="129"/>
        <scheme val="minor"/>
      </rPr>
      <t>BIB.</t>
    </r>
    <r>
      <rPr>
        <b/>
        <sz val="11"/>
        <rFont val="Malgun Gothic"/>
        <family val="3"/>
        <charset val="129"/>
      </rPr>
      <t>SEL</t>
    </r>
    <r>
      <rPr>
        <b/>
        <sz val="11"/>
        <rFont val="等线"/>
        <family val="3"/>
        <charset val="129"/>
        <scheme val="minor"/>
      </rPr>
      <t xml:space="preserve"> [ 0x0000_</t>
    </r>
    <r>
      <rPr>
        <b/>
        <sz val="11"/>
        <rFont val="Malgun Gothic"/>
        <family val="3"/>
        <charset val="129"/>
      </rPr>
      <t>0</t>
    </r>
    <r>
      <rPr>
        <b/>
        <sz val="11"/>
        <rFont val="等线"/>
        <family val="3"/>
        <charset val="129"/>
        <scheme val="minor"/>
      </rPr>
      <t>_02</t>
    </r>
    <r>
      <rPr>
        <b/>
        <sz val="11"/>
        <rFont val="Malgun Gothic"/>
        <family val="3"/>
        <charset val="129"/>
      </rPr>
      <t>4</t>
    </r>
    <r>
      <rPr>
        <b/>
        <sz val="11"/>
        <rFont val="等线"/>
        <family val="3"/>
        <charset val="129"/>
        <scheme val="minor"/>
      </rPr>
      <t xml:space="preserve"> ]</t>
    </r>
    <phoneticPr fontId="6" type="noConversion"/>
  </si>
  <si>
    <r>
      <rPr>
        <b/>
        <sz val="11"/>
        <rFont val="Malgun Gothic"/>
        <family val="3"/>
        <charset val="129"/>
      </rPr>
      <t xml:space="preserve"> </t>
    </r>
    <r>
      <rPr>
        <b/>
        <sz val="11"/>
        <rFont val="等线"/>
        <family val="3"/>
        <charset val="129"/>
        <scheme val="minor"/>
      </rPr>
      <t>BIB.</t>
    </r>
    <r>
      <rPr>
        <b/>
        <sz val="11"/>
        <rFont val="Malgun Gothic"/>
        <family val="3"/>
        <charset val="129"/>
      </rPr>
      <t>ID</t>
    </r>
    <r>
      <rPr>
        <b/>
        <sz val="11"/>
        <rFont val="等线"/>
        <family val="3"/>
        <charset val="129"/>
        <scheme val="minor"/>
      </rPr>
      <t xml:space="preserve"> [ 0x0000_</t>
    </r>
    <r>
      <rPr>
        <b/>
        <sz val="11"/>
        <rFont val="Malgun Gothic"/>
        <family val="3"/>
        <charset val="129"/>
      </rPr>
      <t>0</t>
    </r>
    <r>
      <rPr>
        <b/>
        <sz val="11"/>
        <rFont val="等线"/>
        <family val="3"/>
        <charset val="129"/>
        <scheme val="minor"/>
      </rPr>
      <t>_02</t>
    </r>
    <r>
      <rPr>
        <b/>
        <sz val="11"/>
        <rFont val="Malgun Gothic"/>
        <family val="3"/>
        <charset val="129"/>
      </rPr>
      <t>8</t>
    </r>
    <r>
      <rPr>
        <b/>
        <sz val="11"/>
        <rFont val="等线"/>
        <family val="3"/>
        <charset val="129"/>
        <scheme val="minor"/>
      </rPr>
      <t xml:space="preserve"> ]</t>
    </r>
    <phoneticPr fontId="6" type="noConversion"/>
  </si>
  <si>
    <t>RA.CTRL</t>
    <phoneticPr fontId="6" type="noConversion"/>
  </si>
  <si>
    <t xml:space="preserve"> ADC_0 Selected</t>
    <phoneticPr fontId="6" type="noConversion"/>
  </si>
  <si>
    <r>
      <t>"</t>
    </r>
    <r>
      <rPr>
        <sz val="11"/>
        <color theme="1"/>
        <rFont val="Malgun Gothic"/>
        <family val="2"/>
        <charset val="129"/>
      </rPr>
      <t>DAC-AD5381</t>
    </r>
    <r>
      <rPr>
        <sz val="11"/>
        <color theme="1"/>
        <rFont val="等线"/>
        <family val="2"/>
        <charset val="129"/>
        <scheme val="minor"/>
      </rPr>
      <t>"</t>
    </r>
    <phoneticPr fontId="6" type="noConversion"/>
  </si>
  <si>
    <r>
      <t>DAC-</t>
    </r>
    <r>
      <rPr>
        <sz val="11"/>
        <color theme="1"/>
        <rFont val="Malgun Gothic"/>
        <family val="2"/>
        <charset val="129"/>
      </rPr>
      <t>AD5381</t>
    </r>
    <r>
      <rPr>
        <sz val="11"/>
        <color theme="1"/>
        <rFont val="等线"/>
        <family val="2"/>
        <charset val="129"/>
        <scheme val="minor"/>
      </rPr>
      <t xml:space="preserve">
@ CTRL</t>
    </r>
    <phoneticPr fontId="6" type="noConversion"/>
  </si>
  <si>
    <r>
      <t>"</t>
    </r>
    <r>
      <rPr>
        <sz val="11"/>
        <color theme="1"/>
        <rFont val="Malgun Gothic"/>
        <family val="2"/>
        <charset val="129"/>
      </rPr>
      <t>PPS</t>
    </r>
    <r>
      <rPr>
        <sz val="11"/>
        <color theme="1"/>
        <rFont val="等线"/>
        <family val="2"/>
        <charset val="129"/>
        <scheme val="minor"/>
      </rPr>
      <t>"</t>
    </r>
    <phoneticPr fontId="6" type="noConversion"/>
  </si>
  <si>
    <r>
      <rPr>
        <sz val="11"/>
        <color theme="1"/>
        <rFont val="Malgun Gothic"/>
        <family val="2"/>
        <charset val="129"/>
      </rPr>
      <t>PPS</t>
    </r>
    <r>
      <rPr>
        <sz val="11"/>
        <color theme="1"/>
        <rFont val="等线"/>
        <family val="2"/>
        <charset val="129"/>
        <scheme val="minor"/>
      </rPr>
      <t xml:space="preserve">
@ CTRL</t>
    </r>
    <phoneticPr fontId="6" type="noConversion"/>
  </si>
  <si>
    <t>FAULT[25:16]</t>
    <phoneticPr fontId="6" type="noConversion"/>
  </si>
  <si>
    <t>PPS.SNS</t>
    <phoneticPr fontId="6" type="noConversion"/>
  </si>
  <si>
    <t>PPS.S[9:0]</t>
    <phoneticPr fontId="6" type="noConversion"/>
  </si>
  <si>
    <t>PPS.NS[9:0]</t>
    <phoneticPr fontId="6" type="noConversion"/>
  </si>
  <si>
    <t>ALERT[31:28]</t>
    <phoneticPr fontId="6" type="noConversion"/>
  </si>
  <si>
    <t xml:space="preserve"> 0 ~ 4 for PPS, 5 ~ 9 for INA, 10 for VTT</t>
    <phoneticPr fontId="6" type="noConversion"/>
  </si>
  <si>
    <t>PPS.FAULT</t>
    <phoneticPr fontId="6" type="noConversion"/>
  </si>
  <si>
    <t>VTT.FAULT</t>
    <phoneticPr fontId="6" type="noConversion"/>
  </si>
  <si>
    <t>DUT</t>
    <phoneticPr fontId="6" type="noConversion"/>
  </si>
  <si>
    <t>IO</t>
    <phoneticPr fontId="6" type="noConversion"/>
  </si>
  <si>
    <t>EN</t>
    <phoneticPr fontId="6" type="noConversion"/>
  </si>
  <si>
    <t>VREF.DG.EN</t>
    <phoneticPr fontId="6" type="noConversion"/>
  </si>
  <si>
    <t>VREF.F.EN[15:8]</t>
    <phoneticPr fontId="6" type="noConversion"/>
  </si>
  <si>
    <t>PPS.12V.ON</t>
    <phoneticPr fontId="6" type="noConversion"/>
  </si>
  <si>
    <t>VTT.BIAS.ON</t>
    <phoneticPr fontId="6" type="noConversion"/>
  </si>
  <si>
    <t>PPS.SYNC</t>
    <phoneticPr fontId="6" type="noConversion"/>
  </si>
  <si>
    <t>PPS.SYNC[4:0]</t>
    <phoneticPr fontId="6" type="noConversion"/>
  </si>
  <si>
    <t>PPS.SHR[12:8]</t>
    <phoneticPr fontId="6" type="noConversion"/>
  </si>
  <si>
    <t>VTT.BIAS.ON[24]</t>
    <phoneticPr fontId="6" type="noConversion"/>
  </si>
  <si>
    <t>PPS.12V.ON[16]</t>
    <phoneticPr fontId="6" type="noConversion"/>
  </si>
  <si>
    <t>VREF.DG.EN[1:0]</t>
    <phoneticPr fontId="6" type="noConversion"/>
  </si>
  <si>
    <t>PPS.RUN[9:0]</t>
    <phoneticPr fontId="6" type="noConversion"/>
  </si>
  <si>
    <t>VPP0.RUN[16]</t>
    <phoneticPr fontId="6" type="noConversion"/>
  </si>
  <si>
    <t>PPS.NS[25:16]</t>
    <phoneticPr fontId="6" type="noConversion"/>
  </si>
  <si>
    <t>PPS.FAULT[9:0]</t>
    <phoneticPr fontId="6" type="noConversion"/>
  </si>
  <si>
    <t xml:space="preserve"> Active high, for each PPS</t>
    <phoneticPr fontId="6" type="noConversion"/>
  </si>
  <si>
    <t xml:space="preserve"> Active high, for each module</t>
    <phoneticPr fontId="6" type="noConversion"/>
  </si>
  <si>
    <t>PPS.ALERT[20:16]</t>
    <phoneticPr fontId="6" type="noConversion"/>
  </si>
  <si>
    <t>VTT.ALERT[16]</t>
    <phoneticPr fontId="6" type="noConversion"/>
  </si>
  <si>
    <t>VTT.DUT.FAULT[1]</t>
    <phoneticPr fontId="6" type="noConversion"/>
  </si>
  <si>
    <t>VTT.IO.FAULT[0]</t>
    <phoneticPr fontId="6" type="noConversion"/>
  </si>
  <si>
    <t>M.RST</t>
    <phoneticPr fontId="6" type="noConversion"/>
  </si>
  <si>
    <t>S.RST</t>
    <phoneticPr fontId="6" type="noConversion"/>
  </si>
  <si>
    <t>DAC.1</t>
    <phoneticPr fontId="6" type="noConversion"/>
  </si>
  <si>
    <t>DAC.0</t>
    <phoneticPr fontId="6" type="noConversion"/>
  </si>
  <si>
    <t>nAB</t>
    <phoneticPr fontId="6" type="noConversion"/>
  </si>
  <si>
    <t>REG[13:12]</t>
    <phoneticPr fontId="6" type="noConversion"/>
  </si>
  <si>
    <t>DB[11:0]</t>
    <phoneticPr fontId="6" type="noConversion"/>
  </si>
  <si>
    <t>DB[11:0]/RDATA[11:0]</t>
    <phoneticPr fontId="6" type="noConversion"/>
  </si>
  <si>
    <r>
      <rPr>
        <b/>
        <sz val="11"/>
        <color rgb="FF006100"/>
        <rFont val="Malgun Gothic"/>
        <family val="3"/>
        <charset val="129"/>
      </rPr>
      <t>M.RST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27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</si>
  <si>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>S.RST[26]</t>
    <phoneticPr fontId="6" type="noConversion"/>
  </si>
  <si>
    <t xml:space="preserve"> Active high, reset the DAC-AD5381</t>
    <phoneticPr fontId="6" type="noConversion"/>
  </si>
  <si>
    <t>DAC.0[24]</t>
    <phoneticPr fontId="6" type="noConversion"/>
  </si>
  <si>
    <t xml:space="preserve"> Active high, select DAC</t>
    <phoneticPr fontId="6" type="noConversion"/>
  </si>
  <si>
    <t>RnW[20]</t>
    <phoneticPr fontId="6" type="noConversion"/>
  </si>
  <si>
    <r>
      <t>A[1</t>
    </r>
    <r>
      <rPr>
        <sz val="11"/>
        <color theme="1"/>
        <rFont val="Malgun Gothic"/>
        <family val="2"/>
        <charset val="129"/>
      </rPr>
      <t>9</t>
    </r>
    <r>
      <rPr>
        <sz val="11"/>
        <color theme="1"/>
        <rFont val="等线"/>
        <family val="2"/>
        <charset val="129"/>
        <scheme val="minor"/>
      </rPr>
      <t>:14]</t>
    </r>
    <phoneticPr fontId="6" type="noConversion"/>
  </si>
  <si>
    <t>A[19:14]</t>
    <phoneticPr fontId="6" type="noConversion"/>
  </si>
  <si>
    <t xml:space="preserve"> 6-bit register address</t>
    <phoneticPr fontId="6" type="noConversion"/>
  </si>
  <si>
    <t xml:space="preserve"> 2-bit register select</t>
    <phoneticPr fontId="6" type="noConversion"/>
  </si>
  <si>
    <t xml:space="preserve"> 12-bit write data</t>
    <phoneticPr fontId="6" type="noConversion"/>
  </si>
  <si>
    <r>
      <t>EOS[</t>
    </r>
    <r>
      <rPr>
        <b/>
        <sz val="11"/>
        <color rgb="FF006100"/>
        <rFont val="Malgun Gothic"/>
        <family val="3"/>
        <charset val="129"/>
      </rPr>
      <t>27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</si>
  <si>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DB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11:0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</si>
  <si>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 xml:space="preserve"> 12-bit read data</t>
    <phoneticPr fontId="6" type="noConversion"/>
  </si>
  <si>
    <r>
      <t>DAC</t>
    </r>
    <r>
      <rPr>
        <sz val="11"/>
        <color theme="0"/>
        <rFont val="等线"/>
        <scheme val="minor"/>
      </rPr>
      <t>-DAC5381</t>
    </r>
    <phoneticPr fontId="6" type="noConversion"/>
  </si>
  <si>
    <t>0000_A</t>
    <phoneticPr fontId="6" type="noConversion"/>
  </si>
  <si>
    <t>0000_B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</si>
  <si>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等线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[ 0x0000_B_020 ]</t>
    </r>
    <phoneticPr fontId="6" type="noConversion"/>
  </si>
  <si>
    <t xml:space="preserve"> EN [ 0x0000_B_024 ]</t>
    <phoneticPr fontId="6" type="noConversion"/>
  </si>
  <si>
    <t xml:space="preserve"> RUN [ 0x0000_B_028 ]</t>
    <phoneticPr fontId="6" type="noConversion"/>
  </si>
  <si>
    <t xml:space="preserve"> PPS.SNS [ 0x0000_B_02C ]</t>
    <phoneticPr fontId="6" type="noConversion"/>
  </si>
  <si>
    <t xml:space="preserve"> STATUS [ 0x0000_B_030 ]</t>
    <phoneticPr fontId="6" type="noConversion"/>
  </si>
  <si>
    <t xml:space="preserve"> PPS.FAULT [ 0x0000_B_034 ]</t>
    <phoneticPr fontId="6" type="noConversion"/>
  </si>
  <si>
    <t xml:space="preserve"> VTT.FAULT [ 0x0000_B_038 ]</t>
    <phoneticPr fontId="6" type="noConversion"/>
  </si>
  <si>
    <t xml:space="preserve"> PPS.SYNC [ 0x0000_B_03C ]</t>
    <phoneticPr fontId="6" type="noConversion"/>
  </si>
  <si>
    <t xml:space="preserve"> RW.DATA.BUF [ 0x0000_B_040 ~ 0x0000_B_43F ]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</si>
  <si>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等线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[ 0x0000_A_020 ]</t>
    </r>
    <phoneticPr fontId="6" type="noConversion"/>
  </si>
  <si>
    <t xml:space="preserve"> STATUS [ 0x0000_A_030 ]</t>
    <phoneticPr fontId="6" type="noConversion"/>
  </si>
  <si>
    <r>
      <t>0x0000_</t>
    </r>
    <r>
      <rPr>
        <sz val="11"/>
        <color theme="0"/>
        <rFont val="Malgun Gothic"/>
        <family val="2"/>
        <charset val="129"/>
      </rPr>
      <t>A</t>
    </r>
    <r>
      <rPr>
        <sz val="11"/>
        <color theme="0"/>
        <rFont val="等线"/>
        <scheme val="minor"/>
      </rPr>
      <t>000</t>
    </r>
    <phoneticPr fontId="6" type="noConversion"/>
  </si>
  <si>
    <r>
      <t>0x</t>
    </r>
    <r>
      <rPr>
        <sz val="11"/>
        <color theme="0"/>
        <rFont val="等线"/>
        <scheme val="minor"/>
      </rPr>
      <t>0000_</t>
    </r>
    <r>
      <rPr>
        <sz val="11"/>
        <color theme="0"/>
        <rFont val="Malgun Gothic"/>
        <family val="2"/>
        <charset val="129"/>
      </rPr>
      <t>B</t>
    </r>
    <r>
      <rPr>
        <sz val="11"/>
        <color theme="0"/>
        <rFont val="等线"/>
        <scheme val="minor"/>
      </rPr>
      <t>000</t>
    </r>
    <phoneticPr fontId="6" type="noConversion"/>
  </si>
  <si>
    <t>SITE.ID</t>
    <phoneticPr fontId="6" type="noConversion"/>
  </si>
  <si>
    <t>SITE.ID[7:0]</t>
    <phoneticPr fontId="6" type="noConversion"/>
  </si>
  <si>
    <r>
      <rPr>
        <b/>
        <sz val="11"/>
        <rFont val="Malgun Gothic"/>
        <family val="3"/>
        <charset val="129"/>
      </rPr>
      <t xml:space="preserve"> RA.CTRL</t>
    </r>
    <r>
      <rPr>
        <b/>
        <sz val="11"/>
        <rFont val="等线"/>
        <family val="3"/>
        <charset val="129"/>
        <scheme val="minor"/>
      </rPr>
      <t xml:space="preserve"> [ 0x0000_</t>
    </r>
    <r>
      <rPr>
        <b/>
        <sz val="11"/>
        <rFont val="Malgun Gothic"/>
        <family val="3"/>
        <charset val="129"/>
      </rPr>
      <t>0</t>
    </r>
    <r>
      <rPr>
        <b/>
        <sz val="11"/>
        <rFont val="等线"/>
        <family val="3"/>
        <charset val="129"/>
        <scheme val="minor"/>
      </rPr>
      <t>_0</t>
    </r>
    <r>
      <rPr>
        <b/>
        <sz val="11"/>
        <rFont val="Malgun Gothic"/>
        <family val="3"/>
        <charset val="129"/>
      </rPr>
      <t>30</t>
    </r>
    <r>
      <rPr>
        <b/>
        <sz val="11"/>
        <rFont val="等线"/>
        <family val="3"/>
        <charset val="129"/>
        <scheme val="minor"/>
      </rPr>
      <t xml:space="preserve"> ]</t>
    </r>
    <phoneticPr fontId="6" type="noConversion"/>
  </si>
  <si>
    <r>
      <t>0x0000_</t>
    </r>
    <r>
      <rPr>
        <sz val="11"/>
        <color theme="0"/>
        <rFont val="Malgun Gothic"/>
        <family val="2"/>
        <charset val="129"/>
      </rPr>
      <t>A</t>
    </r>
    <r>
      <rPr>
        <sz val="11"/>
        <color theme="0"/>
        <rFont val="等线"/>
        <scheme val="minor"/>
      </rPr>
      <t>FFF</t>
    </r>
    <phoneticPr fontId="6" type="noConversion"/>
  </si>
  <si>
    <r>
      <t>0x0000_</t>
    </r>
    <r>
      <rPr>
        <sz val="11"/>
        <color theme="0"/>
        <rFont val="Malgun Gothic"/>
        <family val="2"/>
        <charset val="129"/>
      </rPr>
      <t>B</t>
    </r>
    <r>
      <rPr>
        <sz val="11"/>
        <color theme="0"/>
        <rFont val="等线"/>
        <family val="2"/>
        <charset val="134"/>
        <scheme val="minor"/>
      </rPr>
      <t>FFF</t>
    </r>
    <phoneticPr fontId="6" type="noConversion"/>
  </si>
  <si>
    <t>CFG-RPOM
@ CTRL</t>
    <phoneticPr fontId="6" type="noConversion"/>
  </si>
  <si>
    <r>
      <t>0000_</t>
    </r>
    <r>
      <rPr>
        <sz val="11"/>
        <color theme="1"/>
        <rFont val="Microsoft YaHei"/>
        <family val="2"/>
        <charset val="134"/>
      </rPr>
      <t>E</t>
    </r>
    <phoneticPr fontId="6" type="noConversion"/>
  </si>
  <si>
    <r>
      <t>"</t>
    </r>
    <r>
      <rPr>
        <sz val="11"/>
        <color theme="1"/>
        <rFont val="等线"/>
        <family val="2"/>
        <charset val="134"/>
      </rPr>
      <t>CFG-PROM</t>
    </r>
    <r>
      <rPr>
        <sz val="11"/>
        <color theme="1"/>
        <rFont val="等线"/>
        <family val="2"/>
        <charset val="129"/>
        <scheme val="minor"/>
      </rPr>
      <t>"</t>
    </r>
    <phoneticPr fontId="6" type="noConversion"/>
  </si>
  <si>
    <t>ADDR[31:0]</t>
    <phoneticPr fontId="24" type="noConversion"/>
  </si>
  <si>
    <t>CMD</t>
    <phoneticPr fontId="24" type="noConversion"/>
  </si>
  <si>
    <t>ERASE</t>
    <phoneticPr fontId="6" type="noConversion"/>
  </si>
  <si>
    <t>BURST.LENGTH[7:0]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</si>
  <si>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等线"/>
        <family val="3"/>
        <charset val="129"/>
        <scheme val="minor"/>
      </rPr>
      <t>ADDR</t>
    </r>
    <r>
      <rPr>
        <b/>
        <sz val="11"/>
        <color rgb="FF9C6500"/>
        <rFont val="Malgun Gothic"/>
        <family val="3"/>
        <charset val="129"/>
      </rPr>
      <t xml:space="preserve"> [ 0x0000_E_020 ]</t>
    </r>
    <phoneticPr fontId="6" type="noConversion"/>
  </si>
  <si>
    <t xml:space="preserve"> PROM address</t>
    <phoneticPr fontId="6" type="noConversion"/>
  </si>
  <si>
    <t xml:space="preserve"> CMD [ 0x0000_E_024 ]</t>
    <phoneticPr fontId="6" type="noConversion"/>
  </si>
  <si>
    <r>
      <rPr>
        <b/>
        <sz val="11"/>
        <color rgb="FF006100"/>
        <rFont val="Malgun Gothic"/>
        <family val="3"/>
        <charset val="129"/>
      </rPr>
      <t>WR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15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</si>
  <si>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t xml:space="preserve"> Active high, write operation</t>
    <phoneticPr fontId="6" type="noConversion"/>
  </si>
  <si>
    <t>RD[14]</t>
    <phoneticPr fontId="6" type="noConversion"/>
  </si>
  <si>
    <t xml:space="preserve"> Active high, read operation</t>
    <phoneticPr fontId="6" type="noConversion"/>
  </si>
  <si>
    <t>ERASE[8]</t>
    <phoneticPr fontId="6" type="noConversion"/>
  </si>
  <si>
    <t xml:space="preserve"> Active high, 1 sector(64KB) erase operation</t>
    <phoneticPr fontId="6" type="noConversion"/>
  </si>
  <si>
    <t>BL[7:0]</t>
    <phoneticPr fontId="6" type="noConversion"/>
  </si>
  <si>
    <t xml:space="preserve"> Read/write byte count</t>
    <phoneticPr fontId="6" type="noConversion"/>
  </si>
  <si>
    <t xml:space="preserve"> STATUS [ 0x0000_E_030 ]</t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</si>
  <si>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indicates</t>
    </r>
    <r>
      <rPr>
        <sz val="11"/>
        <color theme="1"/>
        <rFont val="等线"/>
        <family val="2"/>
        <charset val="129"/>
        <scheme val="minor"/>
      </rPr>
      <t xml:space="preserve"> Error</t>
    </r>
    <phoneticPr fontId="6" type="noConversion"/>
  </si>
  <si>
    <t xml:space="preserve"> RW.DATA.BUF [ 0x0000_E_040 ~ 0x0000_E_43F ]</t>
    <phoneticPr fontId="6" type="noConversion"/>
  </si>
  <si>
    <t>CFG-PROM</t>
    <phoneticPr fontId="6" type="noConversion"/>
  </si>
  <si>
    <t>Reg</t>
    <phoneticPr fontId="6" type="noConversion"/>
  </si>
  <si>
    <t>0x0000_E000</t>
    <phoneticPr fontId="6" type="noConversion"/>
  </si>
  <si>
    <r>
      <t>0x</t>
    </r>
    <r>
      <rPr>
        <sz val="11"/>
        <color theme="1"/>
        <rFont val="等线"/>
        <scheme val="minor"/>
      </rPr>
      <t>0000_EFFF</t>
    </r>
    <phoneticPr fontId="6" type="noConversion"/>
  </si>
  <si>
    <r>
      <t xml:space="preserve"> - Init Version</t>
    </r>
    <r>
      <rPr>
        <b/>
        <sz val="11"/>
        <color theme="1"/>
        <rFont val="맑은 고딕"/>
        <family val="3"/>
        <charset val="129"/>
      </rPr>
      <t>, new add IP dueto config CTRL FPGA PROM</t>
    </r>
    <phoneticPr fontId="6" type="noConversion"/>
  </si>
  <si>
    <t xml:space="preserve"> Config CTRL FPGA PROM by SPI Interface</t>
    <phoneticPr fontId="6" type="noConversion"/>
  </si>
  <si>
    <t>VPP.RUN</t>
    <phoneticPr fontId="6" type="noConversion"/>
  </si>
  <si>
    <t>ON[0]</t>
    <phoneticPr fontId="6" type="noConversion"/>
  </si>
  <si>
    <t>ON</t>
    <phoneticPr fontId="6" type="noConversion"/>
  </si>
  <si>
    <t>FWU</t>
    <phoneticPr fontId="6" type="noConversion"/>
  </si>
  <si>
    <t>FWU[8]</t>
    <phoneticPr fontId="6" type="noConversion"/>
  </si>
  <si>
    <t>CTRL.ID</t>
    <phoneticPr fontId="6" type="noConversion"/>
  </si>
  <si>
    <t>ID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</si>
  <si>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CTRL.ID </t>
    </r>
    <r>
      <rPr>
        <b/>
        <sz val="11"/>
        <color rgb="FF9C6500"/>
        <rFont val="等线"/>
        <family val="3"/>
        <charset val="129"/>
        <scheme val="minor"/>
      </rPr>
      <t>[ 0x0000_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等线"/>
        <family val="3"/>
        <charset val="129"/>
        <scheme val="minor"/>
      </rPr>
      <t>_0</t>
    </r>
    <r>
      <rPr>
        <b/>
        <sz val="11"/>
        <color rgb="FF9C6500"/>
        <rFont val="Malgun Gothic"/>
        <family val="3"/>
        <charset val="129"/>
      </rPr>
      <t>1C</t>
    </r>
    <r>
      <rPr>
        <b/>
        <sz val="11"/>
        <color rgb="FF9C6500"/>
        <rFont val="等线"/>
        <family val="3"/>
        <charset val="129"/>
        <scheme val="minor"/>
      </rPr>
      <t xml:space="preserve"> ]</t>
    </r>
    <phoneticPr fontId="6" type="noConversion"/>
  </si>
  <si>
    <t>ID[0]</t>
    <phoneticPr fontId="6" type="noConversion"/>
  </si>
  <si>
    <t xml:space="preserve"> 0 for CTRL.0 / 1 for CTRL.1</t>
    <phoneticPr fontId="6" type="noConversion"/>
  </si>
  <si>
    <r>
      <rPr>
        <b/>
        <sz val="11"/>
        <color rgb="FF006100"/>
        <rFont val="Malgun Gothic"/>
        <family val="3"/>
        <charset val="129"/>
      </rPr>
      <t>ADDR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31:0</t>
    </r>
    <r>
      <rPr>
        <b/>
        <sz val="11"/>
        <color rgb="FF006100"/>
        <rFont val="等线"/>
        <family val="3"/>
        <charset val="129"/>
        <scheme val="minor"/>
      </rPr>
      <t>]</t>
    </r>
    <phoneticPr fontId="6" type="noConversion"/>
  </si>
  <si>
    <r>
      <rPr>
        <b/>
        <sz val="11"/>
        <rFont val="Malgun Gothic"/>
        <family val="3"/>
        <charset val="129"/>
      </rPr>
      <t xml:space="preserve"> TSENSOR.0~3</t>
    </r>
    <r>
      <rPr>
        <b/>
        <sz val="11"/>
        <rFont val="等线"/>
        <family val="3"/>
        <charset val="129"/>
        <scheme val="minor"/>
      </rPr>
      <t xml:space="preserve"> [ 0x0000_</t>
    </r>
    <r>
      <rPr>
        <b/>
        <sz val="11"/>
        <rFont val="Malgun Gothic"/>
        <family val="3"/>
        <charset val="129"/>
      </rPr>
      <t>0</t>
    </r>
    <r>
      <rPr>
        <b/>
        <sz val="11"/>
        <rFont val="等线"/>
        <family val="3"/>
        <charset val="129"/>
        <scheme val="minor"/>
      </rPr>
      <t>_0</t>
    </r>
    <r>
      <rPr>
        <b/>
        <sz val="11"/>
        <rFont val="Malgun Gothic"/>
        <family val="3"/>
        <charset val="129"/>
      </rPr>
      <t>40 ~ 44</t>
    </r>
    <r>
      <rPr>
        <b/>
        <sz val="11"/>
        <rFont val="等线"/>
        <family val="3"/>
        <charset val="129"/>
        <scheme val="minor"/>
      </rPr>
      <t xml:space="preserve"> ]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</si>
</sst>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5">
    <font>
      <sz val="11"/>
      <color theme="1"/>
      <name val="等线"/>
      <family val="2"/>
      <charset val="129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8"/>
      <name val="等线"/>
      <family val="2"/>
      <charset val="129"/>
      <scheme val="minor"/>
    </font>
    <font>
      <b/>
      <sz val="11"/>
      <color theme="1"/>
      <name val="等线"/>
      <family val="3"/>
      <charset val="129"/>
      <scheme val="minor"/>
    </font>
    <font>
      <sz val="11"/>
      <color rgb="FF006100"/>
      <name val="等线"/>
      <family val="2"/>
      <charset val="129"/>
      <scheme val="minor"/>
    </font>
    <font>
      <b/>
      <sz val="11"/>
      <color rgb="FF006100"/>
      <name val="等线"/>
      <family val="3"/>
      <charset val="129"/>
      <scheme val="minor"/>
    </font>
    <font>
      <sz val="11"/>
      <color rgb="FF9C6500"/>
      <name val="等线"/>
      <family val="2"/>
      <charset val="129"/>
      <scheme val="minor"/>
    </font>
    <font>
      <b/>
      <sz val="12"/>
      <color rgb="FF006100"/>
      <name val="等线"/>
      <family val="3"/>
      <charset val="129"/>
      <scheme val="minor"/>
    </font>
    <font>
      <b/>
      <sz val="11"/>
      <color rgb="FF9C6500"/>
      <name val="等线"/>
      <family val="3"/>
      <charset val="129"/>
      <scheme val="minor"/>
    </font>
    <font>
      <sz val="11"/>
      <color theme="1"/>
      <name val="等线"/>
      <family val="2"/>
      <charset val="129"/>
      <scheme val="minor"/>
    </font>
    <font>
      <sz val="11"/>
      <color rgb="FF9C0006"/>
      <name val="等线"/>
      <family val="2"/>
      <charset val="129"/>
      <scheme val="minor"/>
    </font>
    <font>
      <b/>
      <sz val="12"/>
      <color rgb="FF9C0006"/>
      <name val="等线"/>
      <family val="3"/>
      <charset val="129"/>
      <scheme val="minor"/>
    </font>
    <font>
      <sz val="11"/>
      <color theme="1"/>
      <name val="等线"/>
      <family val="3"/>
      <charset val="129"/>
      <scheme val="minor"/>
    </font>
    <font>
      <b/>
      <sz val="12"/>
      <color theme="1"/>
      <name val="等线"/>
      <family val="3"/>
      <charset val="129"/>
      <scheme val="minor"/>
    </font>
    <font>
      <b/>
      <sz val="11"/>
      <color rgb="FF9C0006"/>
      <name val="等线"/>
      <family val="3"/>
      <charset val="129"/>
      <scheme val="minor"/>
    </font>
    <font>
      <b/>
      <sz val="11"/>
      <color theme="1"/>
      <name val="等线"/>
      <family val="2"/>
      <scheme val="minor"/>
    </font>
    <font>
      <sz val="11"/>
      <color theme="1"/>
      <name val="Malgun Gothic"/>
      <family val="2"/>
      <charset val="129"/>
    </font>
    <font>
      <sz val="11"/>
      <color rgb="FF3F3F76"/>
      <name val="等线"/>
      <family val="2"/>
      <charset val="134"/>
      <scheme val="minor"/>
    </font>
    <font>
      <b/>
      <sz val="11"/>
      <color rgb="FF006100"/>
      <name val="Malgun Gothic"/>
      <family val="3"/>
      <charset val="129"/>
    </font>
    <font>
      <b/>
      <sz val="11"/>
      <color rgb="FF9C6500"/>
      <name val="Malgun Gothic"/>
      <family val="3"/>
      <charset val="129"/>
    </font>
    <font>
      <sz val="9"/>
      <name val="等线"/>
      <family val="3"/>
      <charset val="134"/>
      <scheme val="minor"/>
    </font>
    <font>
      <b/>
      <sz val="11"/>
      <color theme="1"/>
      <name val="Malgun Gothic"/>
      <family val="2"/>
      <charset val="129"/>
    </font>
    <font>
      <b/>
      <sz val="11"/>
      <color rgb="FF006100"/>
      <name val="Malgun Gothic"/>
      <family val="2"/>
      <charset val="129"/>
    </font>
    <font>
      <b/>
      <sz val="11"/>
      <color rgb="FF006100"/>
      <name val="等线"/>
      <scheme val="minor"/>
    </font>
    <font>
      <sz val="11"/>
      <color rgb="FF3F3F76"/>
      <name val="Malgun Gothic"/>
      <family val="2"/>
      <charset val="129"/>
    </font>
    <font>
      <sz val="11"/>
      <color rgb="FF9C0006"/>
      <name val="Malgun Gothic"/>
      <family val="2"/>
      <charset val="129"/>
    </font>
    <font>
      <sz val="11"/>
      <color theme="1"/>
      <name val="맑은 고딕"/>
      <family val="2"/>
      <charset val="129"/>
    </font>
    <font>
      <sz val="11"/>
      <color rgb="FFFF0000"/>
      <name val="Malgun Gothic"/>
      <family val="2"/>
      <charset val="129"/>
    </font>
    <font>
      <b/>
      <sz val="11"/>
      <color theme="1"/>
      <name val="바탕"/>
      <family val="3"/>
      <charset val="129"/>
    </font>
    <font>
      <sz val="11"/>
      <color theme="1"/>
      <name val="等线"/>
      <scheme val="minor"/>
    </font>
    <font>
      <sz val="11"/>
      <color theme="1"/>
      <name val="바탕"/>
      <family val="3"/>
      <charset val="129"/>
    </font>
    <font>
      <sz val="11"/>
      <name val="Malgun Gothic"/>
      <family val="2"/>
      <charset val="129"/>
    </font>
    <font>
      <b/>
      <sz val="11"/>
      <color theme="1"/>
      <name val="맑은 고딕"/>
      <family val="2"/>
      <charset val="129"/>
    </font>
    <font>
      <b/>
      <sz val="16"/>
      <color rgb="FF0000FF"/>
      <name val="Calibri"/>
      <family val="2"/>
    </font>
    <font>
      <b/>
      <sz val="11"/>
      <color rgb="FFFF0000"/>
      <name val="Malgun Gothic"/>
      <family val="3"/>
      <charset val="129"/>
    </font>
    <font>
      <b/>
      <sz val="11"/>
      <color rgb="FFFF0000"/>
      <name val="Malgun Gothic"/>
      <family val="2"/>
      <charset val="129"/>
    </font>
    <font>
      <b/>
      <sz val="11"/>
      <color rgb="FF006100"/>
      <name val="Malgun Gothic Semilight"/>
      <family val="2"/>
      <charset val="134"/>
    </font>
    <font>
      <b/>
      <sz val="11"/>
      <color rgb="FF9C0006"/>
      <name val="等线"/>
      <family val="3"/>
      <charset val="134"/>
      <scheme val="minor"/>
    </font>
    <font>
      <b/>
      <sz val="11"/>
      <color theme="1"/>
      <name val="Malgun Gothic Semilight"/>
      <family val="2"/>
      <charset val="134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scheme val="minor"/>
    </font>
    <font>
      <sz val="11"/>
      <name val="等线"/>
      <family val="2"/>
      <charset val="129"/>
      <scheme val="minor"/>
    </font>
    <font>
      <b/>
      <sz val="11"/>
      <name val="Malgun Gothic"/>
      <family val="3"/>
      <charset val="129"/>
    </font>
    <font>
      <b/>
      <sz val="11"/>
      <name val="等线"/>
      <family val="3"/>
      <charset val="129"/>
      <scheme val="minor"/>
    </font>
    <font>
      <strike/>
      <sz val="11"/>
      <color theme="1"/>
      <name val="Malgun Gothic"/>
      <family val="2"/>
      <charset val="129"/>
    </font>
    <font>
      <strike/>
      <sz val="11"/>
      <color theme="1"/>
      <name val="Malgun Gothic"/>
      <family val="2"/>
    </font>
    <font>
      <b/>
      <strike/>
      <sz val="11"/>
      <color rgb="FF006100"/>
      <name val="Malgun Gothic"/>
      <family val="3"/>
      <charset val="129"/>
    </font>
    <font>
      <b/>
      <strike/>
      <sz val="11"/>
      <color rgb="FF006100"/>
      <name val="等线"/>
      <family val="3"/>
      <charset val="129"/>
      <scheme val="minor"/>
    </font>
    <font>
      <strike/>
      <sz val="11"/>
      <color theme="1"/>
      <name val="等线"/>
      <family val="2"/>
      <charset val="129"/>
      <scheme val="minor"/>
    </font>
    <font>
      <strike/>
      <sz val="11"/>
      <color rgb="FF9C0006"/>
      <name val="等线"/>
      <family val="2"/>
      <charset val="129"/>
      <scheme val="minor"/>
    </font>
    <font>
      <b/>
      <sz val="11"/>
      <color rgb="FFFF0000"/>
      <name val="Malgun Gothic"/>
      <family val="2"/>
    </font>
    <font>
      <sz val="11"/>
      <color theme="0"/>
      <name val="等线"/>
      <scheme val="minor"/>
    </font>
    <font>
      <sz val="11"/>
      <color theme="0"/>
      <name val="Malgun Gothic"/>
      <family val="2"/>
      <charset val="129"/>
    </font>
    <font>
      <strike/>
      <sz val="11"/>
      <color theme="1"/>
      <name val="等线 Light"/>
    </font>
    <font>
      <strike/>
      <sz val="11"/>
      <color theme="1"/>
      <name val="等线"/>
      <scheme val="minor"/>
    </font>
    <font>
      <b/>
      <sz val="11"/>
      <color rgb="FFFF0000"/>
      <name val="等线"/>
      <family val="3"/>
      <charset val="129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DengXian"/>
      <family val="2"/>
      <charset val="134"/>
    </font>
    <font>
      <b/>
      <sz val="11"/>
      <color theme="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theme="5" tint="-0.24994659260841701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gray0625">
        <fgColor theme="9" tint="-0.24994659260841701"/>
        <bgColor indexed="65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theme="8"/>
      </patternFill>
    </fill>
    <fill>
      <patternFill patternType="solid">
        <fgColor theme="9" tint="0.39997558519241921"/>
        <bgColor indexed="65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8" borderId="35" applyNumberFormat="0" applyFont="0" applyAlignment="0" applyProtection="0">
      <alignment vertical="center"/>
    </xf>
    <xf numFmtId="0" fontId="21" fillId="11" borderId="54" applyNumberFormat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</cellStyleXfs>
  <cellXfs count="426">
    <xf numFmtId="0" fontId="0" fillId="0" borderId="0" xfId="0">
      <alignment vertical="center"/>
    </xf>
    <xf numFmtId="0" fontId="0" fillId="0" borderId="12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11" fillId="2" borderId="36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8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8" xfId="0" applyFill="1" applyBorder="1" applyAlignment="1">
      <alignment horizontal="center" vertical="center"/>
    </xf>
    <xf numFmtId="0" fontId="0" fillId="9" borderId="12" xfId="0" applyFill="1" applyBorder="1">
      <alignment vertical="center"/>
    </xf>
    <xf numFmtId="0" fontId="0" fillId="9" borderId="0" xfId="0" applyFill="1">
      <alignment vertical="center"/>
    </xf>
    <xf numFmtId="0" fontId="0" fillId="0" borderId="0" xfId="0" quotePrefix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1" fillId="2" borderId="2" xfId="1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18" fillId="7" borderId="17" xfId="3" applyFont="1" applyBorder="1">
      <alignment vertical="center"/>
    </xf>
    <xf numFmtId="18" fontId="0" fillId="10" borderId="17" xfId="0" applyNumberFormat="1" applyFill="1" applyBorder="1" applyAlignment="1">
      <alignment vertical="top" indent="2"/>
    </xf>
    <xf numFmtId="18" fontId="0" fillId="10" borderId="17" xfId="0" applyNumberFormat="1" applyFill="1" applyBorder="1" applyAlignment="1">
      <alignment vertical="top"/>
    </xf>
    <xf numFmtId="0" fontId="0" fillId="0" borderId="32" xfId="0" applyBorder="1">
      <alignment vertical="center"/>
    </xf>
    <xf numFmtId="14" fontId="0" fillId="0" borderId="13" xfId="0" applyNumberForma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quotePrefix="1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4" xfId="0" applyBorder="1">
      <alignment vertical="center"/>
    </xf>
    <xf numFmtId="0" fontId="0" fillId="0" borderId="22" xfId="0" applyBorder="1">
      <alignment vertical="center"/>
    </xf>
    <xf numFmtId="0" fontId="16" fillId="0" borderId="24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6" borderId="15" xfId="0" applyFill="1" applyBorder="1">
      <alignment vertical="center"/>
    </xf>
    <xf numFmtId="0" fontId="20" fillId="0" borderId="0" xfId="0" applyFo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" fontId="20" fillId="10" borderId="17" xfId="0" applyNumberFormat="1" applyFont="1" applyFill="1" applyBorder="1" applyAlignment="1">
      <alignment vertical="top" indent="2"/>
    </xf>
    <xf numFmtId="0" fontId="0" fillId="0" borderId="5" xfId="0" applyBorder="1">
      <alignment vertical="center"/>
    </xf>
    <xf numFmtId="0" fontId="25" fillId="0" borderId="0" xfId="0" applyFont="1" applyAlignment="1">
      <alignment horizontal="center" vertical="center"/>
    </xf>
    <xf numFmtId="0" fontId="27" fillId="2" borderId="58" xfId="1" applyFont="1" applyBorder="1" applyAlignment="1">
      <alignment horizontal="center" vertical="center"/>
    </xf>
    <xf numFmtId="0" fontId="27" fillId="2" borderId="59" xfId="1" applyFont="1" applyBorder="1" applyAlignment="1">
      <alignment horizontal="center" vertical="center"/>
    </xf>
    <xf numFmtId="0" fontId="21" fillId="11" borderId="61" xfId="5" applyBorder="1" applyAlignment="1">
      <alignment horizontal="center" vertical="center"/>
    </xf>
    <xf numFmtId="0" fontId="21" fillId="11" borderId="54" xfId="5" applyAlignment="1">
      <alignment horizontal="center" vertical="center"/>
    </xf>
    <xf numFmtId="0" fontId="21" fillId="11" borderId="63" xfId="5" applyBorder="1" applyAlignment="1">
      <alignment horizontal="center" vertical="center"/>
    </xf>
    <xf numFmtId="0" fontId="21" fillId="11" borderId="64" xfId="5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6" fillId="2" borderId="57" xfId="1" applyFont="1" applyBorder="1" applyAlignment="1">
      <alignment vertical="center"/>
    </xf>
    <xf numFmtId="0" fontId="0" fillId="6" borderId="34" xfId="0" applyFill="1" applyBorder="1">
      <alignment vertical="center"/>
    </xf>
    <xf numFmtId="0" fontId="0" fillId="6" borderId="40" xfId="0" applyFill="1" applyBorder="1">
      <alignment vertical="center"/>
    </xf>
    <xf numFmtId="0" fontId="0" fillId="0" borderId="0" xfId="0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>
      <alignment vertical="center"/>
    </xf>
    <xf numFmtId="0" fontId="30" fillId="0" borderId="0" xfId="0" applyFont="1">
      <alignment vertical="center"/>
    </xf>
    <xf numFmtId="14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76" fontId="33" fillId="0" borderId="0" xfId="0" applyNumberFormat="1" applyFont="1" applyAlignment="1">
      <alignment horizontal="center" vertical="center"/>
    </xf>
    <xf numFmtId="0" fontId="33" fillId="0" borderId="0" xfId="0" applyFont="1">
      <alignment vertical="center"/>
    </xf>
    <xf numFmtId="0" fontId="33" fillId="0" borderId="0" xfId="0" quotePrefix="1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0" fillId="6" borderId="14" xfId="0" applyFill="1" applyBorder="1">
      <alignment vertical="center"/>
    </xf>
    <xf numFmtId="0" fontId="30" fillId="0" borderId="8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7" fillId="0" borderId="0" xfId="0" applyFont="1">
      <alignment vertical="center"/>
    </xf>
    <xf numFmtId="14" fontId="4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4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76" fontId="44" fillId="0" borderId="0" xfId="0" applyNumberFormat="1" applyFont="1" applyAlignment="1">
      <alignment horizontal="center" vertical="center"/>
    </xf>
    <xf numFmtId="0" fontId="44" fillId="0" borderId="0" xfId="0" applyFont="1">
      <alignment vertical="center"/>
    </xf>
    <xf numFmtId="0" fontId="30" fillId="0" borderId="10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45" fillId="0" borderId="0" xfId="0" applyFont="1">
      <alignment vertical="center"/>
    </xf>
    <xf numFmtId="0" fontId="48" fillId="0" borderId="17" xfId="0" applyFont="1" applyBorder="1" applyAlignment="1">
      <alignment horizontal="center" vertical="center"/>
    </xf>
    <xf numFmtId="0" fontId="20" fillId="0" borderId="16" xfId="0" applyFont="1" applyBorder="1">
      <alignment vertical="center"/>
    </xf>
    <xf numFmtId="0" fontId="0" fillId="0" borderId="9" xfId="0" applyBorder="1">
      <alignment vertical="center"/>
    </xf>
    <xf numFmtId="0" fontId="52" fillId="0" borderId="17" xfId="0" applyFont="1" applyBorder="1">
      <alignment vertical="center"/>
    </xf>
    <xf numFmtId="0" fontId="0" fillId="0" borderId="17" xfId="0" applyBorder="1">
      <alignment vertical="center"/>
    </xf>
    <xf numFmtId="0" fontId="52" fillId="0" borderId="24" xfId="0" applyFont="1" applyBorder="1">
      <alignment vertical="center"/>
    </xf>
    <xf numFmtId="0" fontId="0" fillId="0" borderId="24" xfId="0" applyBorder="1">
      <alignment vertical="center"/>
    </xf>
    <xf numFmtId="18" fontId="43" fillId="12" borderId="17" xfId="6" applyNumberFormat="1" applyBorder="1" applyAlignment="1">
      <alignment vertical="top" indent="2"/>
    </xf>
    <xf numFmtId="18" fontId="43" fillId="12" borderId="17" xfId="6" applyNumberFormat="1" applyBorder="1" applyAlignment="1">
      <alignment vertical="top"/>
    </xf>
    <xf numFmtId="0" fontId="57" fillId="0" borderId="7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62" fillId="0" borderId="7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18" fontId="60" fillId="13" borderId="17" xfId="7" applyNumberFormat="1" applyBorder="1" applyAlignment="1">
      <alignment vertical="top" indent="2"/>
    </xf>
    <xf numFmtId="18" fontId="60" fillId="13" borderId="17" xfId="7" applyNumberFormat="1" applyBorder="1" applyAlignment="1">
      <alignment vertical="top"/>
    </xf>
    <xf numFmtId="0" fontId="20" fillId="0" borderId="14" xfId="0" applyFont="1" applyBorder="1">
      <alignment vertical="center"/>
    </xf>
    <xf numFmtId="0" fontId="20" fillId="0" borderId="15" xfId="0" applyFont="1" applyBorder="1">
      <alignment vertical="center"/>
    </xf>
    <xf numFmtId="0" fontId="35" fillId="0" borderId="29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8" fillId="0" borderId="17" xfId="0" applyFont="1" applyBorder="1" applyAlignment="1">
      <alignment horizontal="center" vertical="center"/>
    </xf>
    <xf numFmtId="0" fontId="15" fillId="7" borderId="7" xfId="3" applyFont="1" applyBorder="1" applyAlignment="1">
      <alignment horizontal="center" vertical="center"/>
    </xf>
    <xf numFmtId="0" fontId="15" fillId="7" borderId="9" xfId="3" applyFont="1" applyBorder="1" applyAlignment="1">
      <alignment horizontal="center" vertical="center"/>
    </xf>
    <xf numFmtId="18" fontId="22" fillId="2" borderId="17" xfId="1" applyNumberFormat="1" applyFont="1" applyBorder="1" applyAlignment="1">
      <alignment vertical="top"/>
    </xf>
    <xf numFmtId="18" fontId="9" fillId="2" borderId="17" xfId="1" applyNumberFormat="1" applyFont="1" applyBorder="1" applyAlignment="1">
      <alignment vertical="top"/>
    </xf>
    <xf numFmtId="0" fontId="27" fillId="2" borderId="56" xfId="1" applyFon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32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49" xfId="0" quotePrefix="1" applyBorder="1" applyAlignment="1">
      <alignment horizontal="center" vertical="center"/>
    </xf>
    <xf numFmtId="0" fontId="0" fillId="0" borderId="50" xfId="0" quotePrefix="1" applyBorder="1" applyAlignment="1">
      <alignment horizontal="center" vertical="center"/>
    </xf>
    <xf numFmtId="0" fontId="0" fillId="0" borderId="51" xfId="0" quotePrefix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47" fillId="3" borderId="1" xfId="2" applyFont="1" applyBorder="1" applyAlignment="1">
      <alignment horizontal="left" vertical="center"/>
    </xf>
    <xf numFmtId="0" fontId="47" fillId="3" borderId="2" xfId="2" applyFont="1" applyBorder="1" applyAlignment="1">
      <alignment horizontal="left" vertical="center"/>
    </xf>
    <xf numFmtId="0" fontId="47" fillId="3" borderId="3" xfId="2" applyFont="1" applyBorder="1" applyAlignment="1">
      <alignment horizontal="left" vertical="center"/>
    </xf>
    <xf numFmtId="0" fontId="38" fillId="2" borderId="23" xfId="1" applyFont="1" applyBorder="1" applyAlignment="1">
      <alignment horizontal="center" vertical="center"/>
    </xf>
    <xf numFmtId="0" fontId="59" fillId="2" borderId="24" xfId="1" applyFont="1" applyBorder="1" applyAlignment="1">
      <alignment horizontal="center" vertical="center"/>
    </xf>
    <xf numFmtId="0" fontId="31" fillId="0" borderId="24" xfId="0" applyFont="1" applyBorder="1" applyAlignment="1">
      <alignment horizontal="left" vertical="center"/>
    </xf>
    <xf numFmtId="0" fontId="31" fillId="0" borderId="25" xfId="0" applyFont="1" applyBorder="1" applyAlignment="1">
      <alignment horizontal="left" vertical="center"/>
    </xf>
    <xf numFmtId="0" fontId="0" fillId="6" borderId="1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52" fillId="0" borderId="41" xfId="0" applyFont="1" applyBorder="1" applyAlignment="1">
      <alignment horizontal="center" vertical="center"/>
    </xf>
    <xf numFmtId="0" fontId="58" fillId="0" borderId="40" xfId="0" applyFont="1" applyBorder="1" applyAlignment="1">
      <alignment horizontal="center" vertical="center"/>
    </xf>
    <xf numFmtId="0" fontId="58" fillId="0" borderId="42" xfId="0" applyFont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35" fillId="0" borderId="19" xfId="0" applyFont="1" applyBorder="1" applyAlignment="1">
      <alignment horizontal="left" vertical="center" wrapText="1"/>
    </xf>
    <xf numFmtId="0" fontId="35" fillId="0" borderId="19" xfId="0" applyFont="1" applyBorder="1" applyAlignment="1">
      <alignment horizontal="left" vertical="center"/>
    </xf>
    <xf numFmtId="0" fontId="35" fillId="0" borderId="20" xfId="0" applyFont="1" applyBorder="1" applyAlignment="1">
      <alignment horizontal="left" vertical="center"/>
    </xf>
    <xf numFmtId="0" fontId="35" fillId="0" borderId="24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0" fillId="0" borderId="18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12" fillId="3" borderId="1" xfId="2" applyFont="1" applyBorder="1" applyAlignment="1">
      <alignment horizontal="left" vertical="center"/>
    </xf>
    <xf numFmtId="0" fontId="12" fillId="3" borderId="2" xfId="2" applyFont="1" applyBorder="1" applyAlignment="1">
      <alignment horizontal="left" vertical="center"/>
    </xf>
    <xf numFmtId="0" fontId="12" fillId="3" borderId="3" xfId="2" applyFont="1" applyBorder="1" applyAlignment="1">
      <alignment horizontal="left" vertical="center"/>
    </xf>
    <xf numFmtId="0" fontId="46" fillId="2" borderId="23" xfId="1" applyFont="1" applyBorder="1" applyAlignment="1">
      <alignment horizontal="center" vertical="center"/>
    </xf>
    <xf numFmtId="0" fontId="47" fillId="2" borderId="24" xfId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2" fillId="3" borderId="5" xfId="2" applyFont="1" applyBorder="1" applyAlignment="1">
      <alignment horizontal="left" vertical="center"/>
    </xf>
    <xf numFmtId="0" fontId="12" fillId="3" borderId="32" xfId="2" applyFont="1" applyBorder="1" applyAlignment="1">
      <alignment horizontal="left" vertical="center"/>
    </xf>
    <xf numFmtId="0" fontId="12" fillId="3" borderId="6" xfId="2" applyFont="1" applyBorder="1" applyAlignment="1">
      <alignment horizontal="left" vertical="center"/>
    </xf>
    <xf numFmtId="0" fontId="46" fillId="2" borderId="18" xfId="1" applyFont="1" applyBorder="1" applyAlignment="1">
      <alignment horizontal="center" vertical="center"/>
    </xf>
    <xf numFmtId="0" fontId="46" fillId="2" borderId="19" xfId="1" applyFont="1" applyBorder="1" applyAlignment="1">
      <alignment horizontal="center" vertical="center"/>
    </xf>
    <xf numFmtId="0" fontId="46" fillId="2" borderId="24" xfId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7" fillId="8" borderId="35" xfId="4" applyFont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3" xfId="0" quotePrefix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9" fillId="2" borderId="23" xfId="1" applyFont="1" applyBorder="1" applyAlignment="1">
      <alignment horizontal="center" vertical="center"/>
    </xf>
    <xf numFmtId="0" fontId="9" fillId="2" borderId="24" xfId="1" applyFont="1" applyBorder="1" applyAlignment="1">
      <alignment horizontal="center" vertical="center"/>
    </xf>
    <xf numFmtId="0" fontId="20" fillId="0" borderId="19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9" fillId="2" borderId="18" xfId="1" applyFont="1" applyBorder="1" applyAlignment="1">
      <alignment horizontal="center" vertical="center"/>
    </xf>
    <xf numFmtId="0" fontId="9" fillId="2" borderId="19" xfId="1" applyFont="1" applyBorder="1" applyAlignment="1">
      <alignment horizontal="center" vertical="center"/>
    </xf>
    <xf numFmtId="0" fontId="20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9" fillId="2" borderId="21" xfId="1" applyFont="1" applyBorder="1" applyAlignment="1">
      <alignment horizontal="center" vertical="center"/>
    </xf>
    <xf numFmtId="0" fontId="9" fillId="2" borderId="17" xfId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23" fillId="3" borderId="1" xfId="2" applyFont="1" applyBorder="1" applyAlignment="1">
      <alignment horizontal="left" vertical="center"/>
    </xf>
    <xf numFmtId="0" fontId="23" fillId="3" borderId="2" xfId="2" applyFont="1" applyBorder="1" applyAlignment="1">
      <alignment horizontal="left" vertical="center"/>
    </xf>
    <xf numFmtId="0" fontId="23" fillId="3" borderId="3" xfId="2" applyFont="1" applyBorder="1" applyAlignment="1">
      <alignment horizontal="left" vertical="center"/>
    </xf>
    <xf numFmtId="0" fontId="22" fillId="2" borderId="18" xfId="1" applyFont="1" applyBorder="1" applyAlignment="1">
      <alignment horizontal="center" vertical="center"/>
    </xf>
    <xf numFmtId="0" fontId="22" fillId="2" borderId="19" xfId="1" applyFont="1" applyBorder="1" applyAlignment="1">
      <alignment horizontal="center" vertical="center"/>
    </xf>
    <xf numFmtId="0" fontId="22" fillId="2" borderId="23" xfId="1" applyFont="1" applyBorder="1" applyAlignment="1">
      <alignment horizontal="center" vertical="center"/>
    </xf>
    <xf numFmtId="0" fontId="22" fillId="2" borderId="24" xfId="1" applyFont="1" applyBorder="1" applyAlignment="1">
      <alignment horizontal="center" vertical="center"/>
    </xf>
    <xf numFmtId="0" fontId="9" fillId="2" borderId="18" xfId="1" applyFont="1" applyBorder="1" applyAlignment="1">
      <alignment horizontal="center" vertical="center" wrapText="1"/>
    </xf>
    <xf numFmtId="0" fontId="9" fillId="2" borderId="19" xfId="1" applyFont="1" applyBorder="1" applyAlignment="1">
      <alignment horizontal="center" vertical="center" wrapText="1"/>
    </xf>
    <xf numFmtId="0" fontId="9" fillId="2" borderId="23" xfId="1" applyFont="1" applyBorder="1" applyAlignment="1">
      <alignment horizontal="center" vertical="center" wrapText="1"/>
    </xf>
    <xf numFmtId="0" fontId="9" fillId="2" borderId="24" xfId="1" applyFont="1" applyBorder="1" applyAlignment="1">
      <alignment horizontal="center" vertical="center" wrapText="1"/>
    </xf>
    <xf numFmtId="0" fontId="20" fillId="0" borderId="20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0" fillId="0" borderId="25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9" fillId="2" borderId="34" xfId="1" applyFont="1" applyBorder="1" applyAlignment="1">
      <alignment horizontal="center" vertical="center"/>
    </xf>
    <xf numFmtId="0" fontId="9" fillId="2" borderId="31" xfId="1" applyFon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40" fillId="2" borderId="17" xfId="1" applyFont="1" applyBorder="1" applyAlignment="1">
      <alignment horizontal="center" vertical="center"/>
    </xf>
    <xf numFmtId="0" fontId="42" fillId="0" borderId="17" xfId="0" quotePrefix="1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23" fillId="3" borderId="5" xfId="2" applyFont="1" applyBorder="1" applyAlignment="1">
      <alignment horizontal="left" vertical="center"/>
    </xf>
    <xf numFmtId="0" fontId="23" fillId="3" borderId="32" xfId="2" applyFont="1" applyBorder="1" applyAlignment="1">
      <alignment horizontal="left" vertical="center"/>
    </xf>
    <xf numFmtId="0" fontId="23" fillId="3" borderId="6" xfId="2" applyFont="1" applyBorder="1" applyAlignment="1">
      <alignment horizontal="left" vertical="center"/>
    </xf>
    <xf numFmtId="0" fontId="42" fillId="0" borderId="17" xfId="0" quotePrefix="1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1" fillId="7" borderId="17" xfId="3" quotePrefix="1" applyFont="1" applyBorder="1" applyAlignment="1">
      <alignment horizontal="center" vertical="center"/>
    </xf>
    <xf numFmtId="0" fontId="41" fillId="7" borderId="17" xfId="3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0" fillId="0" borderId="32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8" fillId="0" borderId="24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4" fillId="7" borderId="41" xfId="3" applyBorder="1" applyAlignment="1">
      <alignment horizontal="left" vertical="center"/>
    </xf>
    <xf numFmtId="0" fontId="14" fillId="7" borderId="40" xfId="3" applyBorder="1" applyAlignment="1">
      <alignment horizontal="left" vertical="center"/>
    </xf>
    <xf numFmtId="0" fontId="14" fillId="7" borderId="42" xfId="3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2" fillId="2" borderId="57" xfId="1" applyFont="1" applyBorder="1" applyAlignment="1">
      <alignment horizontal="center" vertical="center"/>
    </xf>
    <xf numFmtId="0" fontId="9" fillId="2" borderId="58" xfId="1" applyFont="1" applyBorder="1" applyAlignment="1">
      <alignment horizontal="center" vertical="center"/>
    </xf>
    <xf numFmtId="0" fontId="0" fillId="0" borderId="58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26" fillId="2" borderId="58" xfId="1" applyFont="1" applyBorder="1" applyAlignment="1">
      <alignment horizontal="center" vertical="center"/>
    </xf>
    <xf numFmtId="0" fontId="27" fillId="2" borderId="58" xfId="1" applyFont="1" applyBorder="1" applyAlignment="1">
      <alignment horizontal="center" vertical="center"/>
    </xf>
    <xf numFmtId="0" fontId="22" fillId="2" borderId="58" xfId="1" applyFont="1" applyBorder="1" applyAlignment="1">
      <alignment horizontal="center" vertical="center"/>
    </xf>
    <xf numFmtId="0" fontId="20" fillId="0" borderId="58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 wrapText="1"/>
    </xf>
    <xf numFmtId="0" fontId="22" fillId="2" borderId="21" xfId="1" applyFont="1" applyBorder="1" applyAlignment="1">
      <alignment horizontal="center" vertical="center"/>
    </xf>
    <xf numFmtId="0" fontId="20" fillId="0" borderId="43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60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29" xfId="0" applyFont="1" applyBorder="1" applyAlignment="1">
      <alignment horizontal="left" vertical="center"/>
    </xf>
    <xf numFmtId="0" fontId="21" fillId="11" borderId="54" xfId="5" applyAlignment="1">
      <alignment horizontal="left" vertical="center"/>
    </xf>
    <xf numFmtId="0" fontId="21" fillId="11" borderId="62" xfId="5" applyBorder="1" applyAlignment="1">
      <alignment horizontal="left" vertical="center"/>
    </xf>
    <xf numFmtId="0" fontId="20" fillId="0" borderId="17" xfId="0" applyFont="1" applyBorder="1" applyAlignment="1">
      <alignment horizontal="left" vertical="center" wrapText="1"/>
    </xf>
    <xf numFmtId="0" fontId="21" fillId="11" borderId="64" xfId="5" applyBorder="1" applyAlignment="1">
      <alignment horizontal="left" vertical="center"/>
    </xf>
    <xf numFmtId="0" fontId="21" fillId="11" borderId="65" xfId="5" applyBorder="1" applyAlignment="1">
      <alignment horizontal="left" vertical="center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48" fillId="0" borderId="14" xfId="0" applyFont="1" applyBorder="1" applyAlignment="1">
      <alignment horizontal="center" vertical="center"/>
    </xf>
    <xf numFmtId="0" fontId="49" fillId="0" borderId="16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50" fillId="2" borderId="21" xfId="1" applyFont="1" applyBorder="1" applyAlignment="1">
      <alignment horizontal="center" vertical="center"/>
    </xf>
    <xf numFmtId="0" fontId="51" fillId="2" borderId="17" xfId="1" applyFont="1" applyBorder="1" applyAlignment="1">
      <alignment horizontal="center" vertical="center"/>
    </xf>
    <xf numFmtId="0" fontId="48" fillId="0" borderId="17" xfId="0" applyFont="1" applyBorder="1" applyAlignment="1">
      <alignment horizontal="left" vertical="center"/>
    </xf>
    <xf numFmtId="0" fontId="52" fillId="0" borderId="17" xfId="0" applyFont="1" applyBorder="1" applyAlignment="1">
      <alignment horizontal="left" vertical="center"/>
    </xf>
    <xf numFmtId="0" fontId="52" fillId="0" borderId="22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9" fillId="2" borderId="57" xfId="1" applyFont="1" applyBorder="1" applyAlignment="1">
      <alignment horizontal="center" vertical="center"/>
    </xf>
    <xf numFmtId="0" fontId="20" fillId="0" borderId="58" xfId="0" applyFont="1" applyBorder="1" applyAlignment="1">
      <alignment horizontal="left" vertical="center"/>
    </xf>
    <xf numFmtId="0" fontId="22" fillId="2" borderId="1" xfId="1" applyFont="1" applyBorder="1" applyAlignment="1">
      <alignment horizontal="center" vertical="center"/>
    </xf>
    <xf numFmtId="0" fontId="9" fillId="2" borderId="2" xfId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2" fillId="2" borderId="17" xfId="1" applyFont="1" applyBorder="1" applyAlignment="1">
      <alignment horizontal="center" vertical="center"/>
    </xf>
    <xf numFmtId="0" fontId="14" fillId="7" borderId="17" xfId="3" applyBorder="1" applyAlignment="1">
      <alignment horizontal="left" vertical="center"/>
    </xf>
    <xf numFmtId="0" fontId="14" fillId="7" borderId="22" xfId="3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50" fillId="2" borderId="57" xfId="1" applyFont="1" applyBorder="1" applyAlignment="1">
      <alignment horizontal="center" vertical="center"/>
    </xf>
    <xf numFmtId="0" fontId="51" fillId="2" borderId="58" xfId="1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/>
    </xf>
    <xf numFmtId="0" fontId="48" fillId="0" borderId="2" xfId="0" applyFont="1" applyBorder="1" applyAlignment="1">
      <alignment horizontal="left" vertical="center"/>
    </xf>
    <xf numFmtId="0" fontId="48" fillId="0" borderId="3" xfId="0" applyFont="1" applyBorder="1" applyAlignment="1">
      <alignment horizontal="left" vertical="center"/>
    </xf>
    <xf numFmtId="0" fontId="50" fillId="2" borderId="18" xfId="1" applyFont="1" applyBorder="1" applyAlignment="1">
      <alignment horizontal="center" vertical="center"/>
    </xf>
    <xf numFmtId="0" fontId="50" fillId="2" borderId="19" xfId="1" applyFont="1" applyBorder="1" applyAlignment="1">
      <alignment horizontal="center" vertical="center"/>
    </xf>
    <xf numFmtId="0" fontId="50" fillId="2" borderId="17" xfId="1" applyFont="1" applyBorder="1" applyAlignment="1">
      <alignment horizontal="center" vertical="center"/>
    </xf>
    <xf numFmtId="0" fontId="53" fillId="7" borderId="19" xfId="3" applyFont="1" applyBorder="1" applyAlignment="1">
      <alignment horizontal="left" vertical="center"/>
    </xf>
    <xf numFmtId="0" fontId="53" fillId="7" borderId="20" xfId="3" applyFont="1" applyBorder="1" applyAlignment="1">
      <alignment horizontal="left" vertical="center"/>
    </xf>
    <xf numFmtId="0" fontId="48" fillId="0" borderId="22" xfId="0" applyFont="1" applyBorder="1" applyAlignment="1">
      <alignment horizontal="left" vertical="center"/>
    </xf>
    <xf numFmtId="0" fontId="9" fillId="2" borderId="45" xfId="1" applyFont="1" applyBorder="1" applyAlignment="1">
      <alignment horizontal="center" vertical="center"/>
    </xf>
    <xf numFmtId="0" fontId="9" fillId="2" borderId="46" xfId="1" applyFont="1" applyBorder="1" applyAlignment="1">
      <alignment horizontal="center" vertical="center"/>
    </xf>
    <xf numFmtId="0" fontId="20" fillId="0" borderId="46" xfId="0" applyFont="1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54" fillId="0" borderId="19" xfId="0" applyFont="1" applyBorder="1" applyAlignment="1">
      <alignment horizontal="left" vertical="center"/>
    </xf>
    <xf numFmtId="0" fontId="54" fillId="0" borderId="20" xfId="0" applyFont="1" applyBorder="1" applyAlignment="1">
      <alignment horizontal="left" vertical="center"/>
    </xf>
    <xf numFmtId="0" fontId="38" fillId="2" borderId="18" xfId="1" applyFont="1" applyBorder="1" applyAlignment="1">
      <alignment horizontal="center" vertical="center"/>
    </xf>
    <xf numFmtId="0" fontId="38" fillId="2" borderId="19" xfId="1" applyFont="1" applyBorder="1" applyAlignment="1">
      <alignment horizontal="center" vertical="center"/>
    </xf>
    <xf numFmtId="0" fontId="39" fillId="0" borderId="19" xfId="0" applyFont="1" applyBorder="1" applyAlignment="1">
      <alignment horizontal="left" vertical="center"/>
    </xf>
    <xf numFmtId="0" fontId="39" fillId="0" borderId="20" xfId="0" applyFont="1" applyBorder="1" applyAlignment="1">
      <alignment horizontal="left" vertical="center"/>
    </xf>
    <xf numFmtId="0" fontId="38" fillId="2" borderId="24" xfId="1" applyFont="1" applyBorder="1" applyAlignment="1">
      <alignment horizontal="center" vertical="center"/>
    </xf>
    <xf numFmtId="0" fontId="39" fillId="2" borderId="18" xfId="1" applyFont="1" applyBorder="1" applyAlignment="1">
      <alignment horizontal="center" vertical="center"/>
    </xf>
    <xf numFmtId="0" fontId="54" fillId="2" borderId="19" xfId="1" applyFont="1" applyBorder="1" applyAlignment="1">
      <alignment horizontal="center" vertical="center"/>
    </xf>
    <xf numFmtId="0" fontId="54" fillId="2" borderId="23" xfId="1" applyFont="1" applyBorder="1" applyAlignment="1">
      <alignment horizontal="center" vertical="center"/>
    </xf>
    <xf numFmtId="0" fontId="54" fillId="2" borderId="24" xfId="1" applyFont="1" applyBorder="1" applyAlignment="1">
      <alignment horizontal="center" vertical="center"/>
    </xf>
    <xf numFmtId="0" fontId="54" fillId="0" borderId="24" xfId="0" applyFont="1" applyBorder="1" applyAlignment="1">
      <alignment horizontal="left" vertical="center"/>
    </xf>
    <xf numFmtId="0" fontId="54" fillId="0" borderId="25" xfId="0" applyFont="1" applyBorder="1" applyAlignment="1">
      <alignment horizontal="left" vertical="center"/>
    </xf>
    <xf numFmtId="0" fontId="54" fillId="2" borderId="34" xfId="1" applyFont="1" applyBorder="1" applyAlignment="1">
      <alignment horizontal="center" vertical="center"/>
    </xf>
    <xf numFmtId="0" fontId="54" fillId="2" borderId="40" xfId="1" applyFont="1" applyBorder="1" applyAlignment="1">
      <alignment horizontal="center" vertical="center"/>
    </xf>
    <xf numFmtId="0" fontId="54" fillId="2" borderId="31" xfId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0" fontId="54" fillId="0" borderId="40" xfId="0" applyFont="1" applyBorder="1" applyAlignment="1">
      <alignment horizontal="left" vertical="center"/>
    </xf>
    <xf numFmtId="0" fontId="54" fillId="0" borderId="42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22" fillId="2" borderId="5" xfId="1" applyFont="1" applyBorder="1" applyAlignment="1">
      <alignment horizontal="center" vertical="center"/>
    </xf>
    <xf numFmtId="0" fontId="22" fillId="2" borderId="66" xfId="1" applyFont="1" applyBorder="1" applyAlignment="1">
      <alignment horizontal="center" vertical="center"/>
    </xf>
    <xf numFmtId="0" fontId="22" fillId="2" borderId="49" xfId="1" applyFont="1" applyBorder="1" applyAlignment="1">
      <alignment horizontal="center" vertical="center"/>
    </xf>
    <xf numFmtId="0" fontId="22" fillId="2" borderId="55" xfId="1" applyFont="1" applyBorder="1" applyAlignment="1">
      <alignment horizontal="center" vertical="center"/>
    </xf>
    <xf numFmtId="0" fontId="9" fillId="2" borderId="41" xfId="1" applyFont="1" applyBorder="1" applyAlignment="1">
      <alignment horizontal="center" vertical="center"/>
    </xf>
    <xf numFmtId="0" fontId="39" fillId="0" borderId="24" xfId="0" applyFont="1" applyBorder="1" applyAlignment="1">
      <alignment horizontal="left" vertical="center"/>
    </xf>
    <xf numFmtId="0" fontId="39" fillId="0" borderId="25" xfId="0" applyFont="1" applyBorder="1" applyAlignment="1">
      <alignment horizontal="left" vertical="center"/>
    </xf>
    <xf numFmtId="0" fontId="38" fillId="2" borderId="21" xfId="1" applyFont="1" applyBorder="1" applyAlignment="1">
      <alignment horizontal="center" vertical="center"/>
    </xf>
    <xf numFmtId="0" fontId="38" fillId="2" borderId="17" xfId="1" applyFont="1" applyBorder="1" applyAlignment="1">
      <alignment horizontal="center" vertical="center"/>
    </xf>
    <xf numFmtId="0" fontId="39" fillId="0" borderId="17" xfId="0" applyFont="1" applyBorder="1" applyAlignment="1">
      <alignment horizontal="left" vertical="center"/>
    </xf>
    <xf numFmtId="0" fontId="39" fillId="0" borderId="22" xfId="0" applyFont="1" applyBorder="1" applyAlignment="1">
      <alignment horizontal="left" vertical="center"/>
    </xf>
    <xf numFmtId="0" fontId="20" fillId="0" borderId="48" xfId="0" applyFon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0" fontId="63" fillId="0" borderId="14" xfId="0" applyFont="1" applyBorder="1" applyAlignment="1">
      <alignment horizontal="center" vertical="center"/>
    </xf>
    <xf numFmtId="0" fontId="20" fillId="0" borderId="22" xfId="0" applyFont="1" applyBorder="1" applyAlignment="1">
      <alignment horizontal="left" vertical="center"/>
    </xf>
    <xf numFmtId="0" fontId="9" fillId="2" borderId="33" xfId="1" applyFont="1" applyBorder="1" applyAlignment="1">
      <alignment horizontal="center" vertical="center"/>
    </xf>
    <xf numFmtId="0" fontId="9" fillId="2" borderId="68" xfId="1" applyFont="1" applyBorder="1" applyAlignment="1">
      <alignment horizontal="center" vertical="center"/>
    </xf>
    <xf numFmtId="0" fontId="9" fillId="2" borderId="30" xfId="1" applyFont="1" applyBorder="1" applyAlignment="1">
      <alignment horizontal="center" vertical="center"/>
    </xf>
    <xf numFmtId="0" fontId="9" fillId="2" borderId="16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8">
    <cellStyle name="60% - 강조색6" xfId="7" builtinId="52"/>
    <cellStyle name="강조색5" xfId="6" builtinId="45"/>
    <cellStyle name="나쁨" xfId="3" builtinId="27"/>
    <cellStyle name="메모" xfId="4" builtinId="10"/>
    <cellStyle name="보통" xfId="2" builtinId="28"/>
    <cellStyle name="입력" xfId="5" builtinId="20"/>
    <cellStyle name="좋음" xfId="1" builtinId="26"/>
    <cellStyle name="표준" xfId="0" builtinId="0"/>
  </cellStyles>
  <dxfs count="12"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</xdr:colOff>
      <xdr:row>2</xdr:row>
      <xdr:rowOff>123264</xdr:rowOff>
    </xdr:from>
    <xdr:to>
      <xdr:col>20</xdr:col>
      <xdr:colOff>274005</xdr:colOff>
      <xdr:row>39</xdr:row>
      <xdr:rowOff>78440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87D6447-D018-7BBA-B148-B31BBB35D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94" y="481852"/>
          <a:ext cx="13194387" cy="6589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371476</xdr:colOff>
      <xdr:row>32</xdr:row>
      <xdr:rowOff>200025</xdr:rowOff>
    </xdr:from>
    <xdr:to>
      <xdr:col>36</xdr:col>
      <xdr:colOff>192018</xdr:colOff>
      <xdr:row>47</xdr:row>
      <xdr:rowOff>172027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4EB6088-8EA9-6C99-D0A5-4BFFCC0C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2726" y="6657975"/>
          <a:ext cx="7602467" cy="28104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409576</xdr:colOff>
      <xdr:row>17</xdr:row>
      <xdr:rowOff>0</xdr:rowOff>
    </xdr:from>
    <xdr:to>
      <xdr:col>4</xdr:col>
      <xdr:colOff>1200150</xdr:colOff>
      <xdr:row>21</xdr:row>
      <xdr:rowOff>47625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D28B4A7-2A1C-4448-9139-87B2DD767488}"/>
            </a:ext>
          </a:extLst>
        </xdr:cNvPr>
        <xdr:cNvSpPr txBox="1"/>
      </xdr:nvSpPr>
      <xdr:spPr>
        <a:xfrm>
          <a:off x="695326" y="3324225"/>
          <a:ext cx="4029074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600" b="1">
              <a:solidFill>
                <a:srgbClr val="0000FF"/>
              </a:solidFill>
            </a:rPr>
            <a:t>- Normal burning board</a:t>
          </a:r>
          <a:r>
            <a:rPr lang="ko-KR" altLang="en-US" sz="1600" b="1">
              <a:solidFill>
                <a:srgbClr val="0000FF"/>
              </a:solidFill>
            </a:rPr>
            <a:t>에서는 </a:t>
          </a:r>
          <a:r>
            <a:rPr lang="en-US" altLang="ko-KR" sz="1600" b="1">
              <a:solidFill>
                <a:srgbClr val="0000FF"/>
              </a:solidFill>
            </a:rPr>
            <a:t>PG_0</a:t>
          </a:r>
          <a:r>
            <a:rPr lang="en-US" altLang="ko-KR" sz="1600" b="1" baseline="0">
              <a:solidFill>
                <a:srgbClr val="0000FF"/>
              </a:solidFill>
            </a:rPr>
            <a:t> </a:t>
          </a:r>
          <a:r>
            <a:rPr lang="ko-KR" altLang="en-US" sz="1600" b="1" baseline="0">
              <a:solidFill>
                <a:srgbClr val="0000FF"/>
              </a:solidFill>
            </a:rPr>
            <a:t>만 사용</a:t>
          </a:r>
          <a:endParaRPr lang="en-US" altLang="zh-CN" sz="1600" b="1">
            <a:solidFill>
              <a:srgbClr val="0000FF"/>
            </a:solidFill>
          </a:endParaRPr>
        </a:p>
        <a:p>
          <a:r>
            <a:rPr lang="en-US" altLang="zh-CN" sz="1600" b="1">
              <a:solidFill>
                <a:srgbClr val="0000FF"/>
              </a:solidFill>
            </a:rPr>
            <a:t>- PG_3~1, TG_1~0 </a:t>
          </a:r>
          <a:r>
            <a:rPr lang="ko-KR" altLang="en-US" sz="1600" b="1">
              <a:solidFill>
                <a:srgbClr val="0000FF"/>
              </a:solidFill>
            </a:rPr>
            <a:t>은 </a:t>
          </a:r>
          <a:r>
            <a:rPr lang="en-US" altLang="ko-KR" sz="1600" b="1">
              <a:solidFill>
                <a:srgbClr val="0000FF"/>
              </a:solidFill>
            </a:rPr>
            <a:t>HSBI</a:t>
          </a:r>
          <a:r>
            <a:rPr lang="ko-KR" altLang="en-US" sz="1600" b="1">
              <a:solidFill>
                <a:srgbClr val="0000FF"/>
              </a:solidFill>
            </a:rPr>
            <a:t>를 위한 옵션</a:t>
          </a:r>
          <a:endParaRPr lang="zh-CN" altLang="en-US" sz="1600" b="1">
            <a:solidFill>
              <a:srgbClr val="0000FF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16</xdr:row>
      <xdr:rowOff>219074</xdr:rowOff>
    </xdr:from>
    <xdr:to>
      <xdr:col>4</xdr:col>
      <xdr:colOff>1181100</xdr:colOff>
      <xdr:row>22</xdr:row>
      <xdr:rowOff>47624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87B53EA-C6C0-4EC8-9F3F-DF3D1D679EB3}"/>
            </a:ext>
          </a:extLst>
        </xdr:cNvPr>
        <xdr:cNvSpPr txBox="1"/>
      </xdr:nvSpPr>
      <xdr:spPr>
        <a:xfrm>
          <a:off x="657225" y="3352799"/>
          <a:ext cx="404812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CN" sz="1600" b="1">
              <a:solidFill>
                <a:srgbClr val="FF0000"/>
              </a:solidFill>
            </a:rPr>
            <a:t>- WRITE</a:t>
          </a:r>
          <a:r>
            <a:rPr lang="en-US" altLang="zh-CN" sz="1600" b="1" baseline="0">
              <a:solidFill>
                <a:srgbClr val="FF0000"/>
              </a:solidFill>
            </a:rPr>
            <a:t> : multiple FPGA </a:t>
          </a:r>
          <a:r>
            <a:rPr lang="ko-KR" altLang="en-US" sz="1600" b="1" baseline="0">
              <a:solidFill>
                <a:srgbClr val="FF0000"/>
              </a:solidFill>
            </a:rPr>
            <a:t>동시 쓰기 가능</a:t>
          </a:r>
          <a:endParaRPr lang="en-US" altLang="zh-CN" sz="1600" b="1" baseline="0">
            <a:solidFill>
              <a:srgbClr val="FF0000"/>
            </a:solidFill>
          </a:endParaRPr>
        </a:p>
        <a:p>
          <a:pPr algn="l"/>
          <a:r>
            <a:rPr lang="en-US" altLang="zh-CN" sz="1600" b="1" baseline="0">
              <a:solidFill>
                <a:srgbClr val="FF0000"/>
              </a:solidFill>
            </a:rPr>
            <a:t>- READ   : </a:t>
          </a:r>
          <a:r>
            <a:rPr lang="ko-KR" altLang="en-US" sz="1600" b="1" baseline="0">
              <a:solidFill>
                <a:srgbClr val="FF0000"/>
              </a:solidFill>
            </a:rPr>
            <a:t>하나의 </a:t>
          </a:r>
          <a:r>
            <a:rPr lang="en-US" altLang="ko-KR" sz="1600" b="1" baseline="0">
              <a:solidFill>
                <a:srgbClr val="FF0000"/>
              </a:solidFill>
            </a:rPr>
            <a:t>FPGA</a:t>
          </a:r>
          <a:r>
            <a:rPr lang="ko-KR" altLang="en-US" sz="1600" b="1" baseline="0">
              <a:solidFill>
                <a:srgbClr val="FF0000"/>
              </a:solidFill>
            </a:rPr>
            <a:t>만 읽기 가능</a:t>
          </a:r>
          <a:endParaRPr lang="en-US" altLang="zh-CN" sz="1600" b="1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17</xdr:row>
      <xdr:rowOff>0</xdr:rowOff>
    </xdr:from>
    <xdr:to>
      <xdr:col>4</xdr:col>
      <xdr:colOff>1181100</xdr:colOff>
      <xdr:row>22</xdr:row>
      <xdr:rowOff>47625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A6B34A9E-2296-48FC-97A2-64DBAF1E9542}"/>
            </a:ext>
          </a:extLst>
        </xdr:cNvPr>
        <xdr:cNvSpPr txBox="1"/>
      </xdr:nvSpPr>
      <xdr:spPr>
        <a:xfrm>
          <a:off x="657225" y="3352800"/>
          <a:ext cx="404812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CN" sz="1600" b="1">
              <a:solidFill>
                <a:srgbClr val="FF0000"/>
              </a:solidFill>
            </a:rPr>
            <a:t>- WRITE</a:t>
          </a:r>
          <a:r>
            <a:rPr lang="en-US" altLang="zh-CN" sz="1600" b="1" baseline="0">
              <a:solidFill>
                <a:srgbClr val="FF0000"/>
              </a:solidFill>
            </a:rPr>
            <a:t> : multiple FPGA </a:t>
          </a:r>
          <a:r>
            <a:rPr lang="ko-KR" altLang="en-US" sz="1600" b="1" baseline="0">
              <a:solidFill>
                <a:srgbClr val="FF0000"/>
              </a:solidFill>
            </a:rPr>
            <a:t>동시 쓰기 가능</a:t>
          </a:r>
          <a:endParaRPr lang="en-US" altLang="zh-CN" sz="1600" b="1" baseline="0">
            <a:solidFill>
              <a:srgbClr val="FF0000"/>
            </a:solidFill>
          </a:endParaRPr>
        </a:p>
        <a:p>
          <a:pPr algn="l"/>
          <a:r>
            <a:rPr lang="en-US" altLang="zh-CN" sz="1600" b="1" baseline="0">
              <a:solidFill>
                <a:srgbClr val="FF0000"/>
              </a:solidFill>
            </a:rPr>
            <a:t>- READ   : </a:t>
          </a:r>
          <a:r>
            <a:rPr lang="ko-KR" altLang="en-US" sz="1600" b="1" baseline="0">
              <a:solidFill>
                <a:srgbClr val="FF0000"/>
              </a:solidFill>
            </a:rPr>
            <a:t>하나의 </a:t>
          </a:r>
          <a:r>
            <a:rPr lang="en-US" altLang="ko-KR" sz="1600" b="1" baseline="0">
              <a:solidFill>
                <a:srgbClr val="FF0000"/>
              </a:solidFill>
            </a:rPr>
            <a:t>FPGA</a:t>
          </a:r>
          <a:r>
            <a:rPr lang="ko-KR" altLang="en-US" sz="1600" b="1" baseline="0">
              <a:solidFill>
                <a:srgbClr val="FF0000"/>
              </a:solidFill>
            </a:rPr>
            <a:t>만 읽기 가능</a:t>
          </a:r>
          <a:endParaRPr lang="en-US" altLang="zh-CN" sz="1600" b="1">
            <a:solidFill>
              <a:srgbClr val="FF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219075</xdr:colOff>
      <xdr:row>31</xdr:row>
      <xdr:rowOff>17228</xdr:rowOff>
    </xdr:from>
    <xdr:to>
      <xdr:col>35</xdr:col>
      <xdr:colOff>217668</xdr:colOff>
      <xdr:row>39</xdr:row>
      <xdr:rowOff>199650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BB37222-2CC2-4DC0-815B-B001E69F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29900" y="8704028"/>
          <a:ext cx="6961368" cy="1849297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23</xdr:row>
      <xdr:rowOff>9525</xdr:rowOff>
    </xdr:from>
    <xdr:to>
      <xdr:col>7</xdr:col>
      <xdr:colOff>57150</xdr:colOff>
      <xdr:row>28</xdr:row>
      <xdr:rowOff>58271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3D049E3-84FB-41A2-BC00-0662BAC6FBB1}"/>
            </a:ext>
          </a:extLst>
        </xdr:cNvPr>
        <xdr:cNvSpPr txBox="1"/>
      </xdr:nvSpPr>
      <xdr:spPr>
        <a:xfrm>
          <a:off x="523875" y="4505325"/>
          <a:ext cx="5438775" cy="11345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CN" sz="2000" b="1">
              <a:solidFill>
                <a:srgbClr val="FF0000"/>
              </a:solidFill>
            </a:rPr>
            <a:t>HMBT400</a:t>
          </a:r>
          <a:r>
            <a:rPr lang="ko-KR" altLang="en-US" sz="2000" b="1">
              <a:solidFill>
                <a:srgbClr val="FF0000"/>
              </a:solidFill>
            </a:rPr>
            <a:t>에는 </a:t>
          </a:r>
          <a:r>
            <a:rPr lang="en-US" altLang="zh-CN" sz="2000" b="1">
              <a:solidFill>
                <a:srgbClr val="FF0000"/>
              </a:solidFill>
            </a:rPr>
            <a:t>ADC 1EA</a:t>
          </a:r>
          <a:r>
            <a:rPr lang="ko-KR" altLang="en-US" sz="2000" b="1">
              <a:solidFill>
                <a:srgbClr val="FF0000"/>
              </a:solidFill>
            </a:rPr>
            <a:t>만 있으므로</a:t>
          </a:r>
          <a:r>
            <a:rPr lang="en-US" altLang="ko-KR" sz="2000" b="1">
              <a:solidFill>
                <a:srgbClr val="FF0000"/>
              </a:solidFill>
            </a:rPr>
            <a:t>, </a:t>
          </a:r>
          <a:r>
            <a:rPr lang="en-US" altLang="ko-KR" sz="2000" b="1" baseline="0">
              <a:solidFill>
                <a:srgbClr val="FF0000"/>
              </a:solidFill>
            </a:rPr>
            <a:t> </a:t>
          </a:r>
          <a:r>
            <a:rPr lang="en-US" altLang="zh-CN" sz="2000" b="1">
              <a:solidFill>
                <a:srgbClr val="FF0000"/>
              </a:solidFill>
            </a:rPr>
            <a:t>SELEC</a:t>
          </a:r>
          <a:r>
            <a:rPr lang="en-US" altLang="zh-CN" sz="2000" b="1" baseline="0">
              <a:solidFill>
                <a:srgbClr val="FF0000"/>
              </a:solidFill>
            </a:rPr>
            <a:t>T = 0</a:t>
          </a:r>
          <a:endParaRPr lang="en-US" altLang="zh-CN" sz="2000" b="1">
            <a:solidFill>
              <a:srgbClr val="FF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333375</xdr:colOff>
      <xdr:row>17</xdr:row>
      <xdr:rowOff>133350</xdr:rowOff>
    </xdr:from>
    <xdr:to>
      <xdr:col>31</xdr:col>
      <xdr:colOff>266700</xdr:colOff>
      <xdr:row>40</xdr:row>
      <xdr:rowOff>60513</xdr:rowOff>
    </xdr:to>
    <xdr:pic>
      <xdr:nvPicPr>
        <xdr:cNvPr id="5" name="그림 3">
          <a:extLst>
            <a:ext uri="{FF2B5EF4-FFF2-40B4-BE49-F238E27FC236}">
              <a16:creationId xmlns:a16="http://schemas.microsoft.com/office/drawing/2014/main" id="{683EE2C8-D333-471D-804E-FEFDDF00B0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526"/>
        <a:stretch/>
      </xdr:blipFill>
      <xdr:spPr>
        <a:xfrm>
          <a:off x="10334625" y="3486150"/>
          <a:ext cx="5667375" cy="4413438"/>
        </a:xfrm>
        <a:prstGeom prst="rect">
          <a:avLst/>
        </a:prstGeom>
      </xdr:spPr>
    </xdr:pic>
    <xdr:clientData/>
  </xdr:twoCellAnchor>
  <xdr:twoCellAnchor editAs="oneCell">
    <xdr:from>
      <xdr:col>1</xdr:col>
      <xdr:colOff>598954</xdr:colOff>
      <xdr:row>24</xdr:row>
      <xdr:rowOff>118225</xdr:rowOff>
    </xdr:from>
    <xdr:to>
      <xdr:col>4</xdr:col>
      <xdr:colOff>1436645</xdr:colOff>
      <xdr:row>59</xdr:row>
      <xdr:rowOff>64611</xdr:rowOff>
    </xdr:to>
    <xdr:pic>
      <xdr:nvPicPr>
        <xdr:cNvPr id="7" name="그림 5">
          <a:extLst>
            <a:ext uri="{FF2B5EF4-FFF2-40B4-BE49-F238E27FC236}">
              <a16:creationId xmlns:a16="http://schemas.microsoft.com/office/drawing/2014/main" id="{2A9A08E3-3BFB-4CAF-8035-64E12CB41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704" y="4947400"/>
          <a:ext cx="4076191" cy="6394811"/>
        </a:xfrm>
        <a:prstGeom prst="rect">
          <a:avLst/>
        </a:prstGeom>
      </xdr:spPr>
    </xdr:pic>
    <xdr:clientData/>
  </xdr:twoCellAnchor>
  <xdr:twoCellAnchor editAs="oneCell">
    <xdr:from>
      <xdr:col>1</xdr:col>
      <xdr:colOff>675154</xdr:colOff>
      <xdr:row>15</xdr:row>
      <xdr:rowOff>173692</xdr:rowOff>
    </xdr:from>
    <xdr:to>
      <xdr:col>4</xdr:col>
      <xdr:colOff>1352550</xdr:colOff>
      <xdr:row>24</xdr:row>
      <xdr:rowOff>71119</xdr:rowOff>
    </xdr:to>
    <xdr:pic>
      <xdr:nvPicPr>
        <xdr:cNvPr id="8" name="그림 6">
          <a:extLst>
            <a:ext uri="{FF2B5EF4-FFF2-40B4-BE49-F238E27FC236}">
              <a16:creationId xmlns:a16="http://schemas.microsoft.com/office/drawing/2014/main" id="{492FFD20-F1D5-4876-A451-2BF662EB0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04" y="3059767"/>
          <a:ext cx="3915896" cy="17833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34</xdr:row>
      <xdr:rowOff>9525</xdr:rowOff>
    </xdr:from>
    <xdr:to>
      <xdr:col>4</xdr:col>
      <xdr:colOff>1657350</xdr:colOff>
      <xdr:row>43</xdr:row>
      <xdr:rowOff>142875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6ED2ADE1-C8A2-4273-AB22-A7B4B5AC728D}"/>
            </a:ext>
          </a:extLst>
        </xdr:cNvPr>
        <xdr:cNvSpPr txBox="1"/>
      </xdr:nvSpPr>
      <xdr:spPr>
        <a:xfrm>
          <a:off x="304800" y="6915150"/>
          <a:ext cx="4876800" cy="2047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600" b="1">
              <a:solidFill>
                <a:srgbClr val="0000FF"/>
              </a:solidFill>
            </a:rPr>
            <a:t>- SCAN</a:t>
          </a:r>
          <a:r>
            <a:rPr lang="en-US" altLang="zh-CN" sz="1600" b="1" baseline="0">
              <a:solidFill>
                <a:srgbClr val="0000FF"/>
              </a:solidFill>
            </a:rPr>
            <a:t> : scan the I2C slave address</a:t>
          </a:r>
        </a:p>
        <a:p>
          <a:r>
            <a:rPr lang="en-US" altLang="zh-CN" sz="1600" b="1" baseline="0">
              <a:solidFill>
                <a:srgbClr val="0000FF"/>
              </a:solidFill>
            </a:rPr>
            <a:t>  + CMD : SCAN, LTC.No</a:t>
          </a:r>
        </a:p>
        <a:p>
          <a:r>
            <a:rPr lang="en-US" altLang="zh-CN" sz="1600" b="1" baseline="0">
              <a:solidFill>
                <a:srgbClr val="0000FF"/>
              </a:solidFill>
            </a:rPr>
            <a:t>     - LTC.No : 0 ~ 4 for PPS, 5 ~ 9 for INA, 10 for VTT</a:t>
          </a:r>
        </a:p>
        <a:p>
          <a:r>
            <a:rPr lang="en-US" altLang="zh-CN" sz="1600" b="1" baseline="0">
              <a:solidFill>
                <a:srgbClr val="0000FF"/>
              </a:solidFill>
            </a:rPr>
            <a:t>  + RESULT : </a:t>
          </a:r>
        </a:p>
        <a:p>
          <a:r>
            <a:rPr lang="en-US" altLang="zh-CN" sz="1600" b="1">
              <a:solidFill>
                <a:srgbClr val="0000FF"/>
              </a:solidFill>
            </a:rPr>
            <a:t>     - RW.DATA.0</a:t>
          </a:r>
          <a:r>
            <a:rPr lang="en-US" altLang="zh-CN" sz="1600" b="1" baseline="0">
              <a:solidFill>
                <a:srgbClr val="0000FF"/>
              </a:solidFill>
            </a:rPr>
            <a:t> : slave address count</a:t>
          </a:r>
        </a:p>
        <a:p>
          <a:r>
            <a:rPr lang="en-US" altLang="zh-CN" sz="1600" b="1" baseline="0">
              <a:solidFill>
                <a:srgbClr val="0000FF"/>
              </a:solidFill>
            </a:rPr>
            <a:t>     - RW.DATA.1 : desired slave address</a:t>
          </a:r>
        </a:p>
        <a:p>
          <a:r>
            <a:rPr lang="en-US" altLang="zh-CN" sz="1600" b="1" baseline="0">
              <a:solidFill>
                <a:srgbClr val="0000FF"/>
              </a:solidFill>
            </a:rPr>
            <a:t>     - RW.DATA.2 ~ : scaned address.0 ~ N</a:t>
          </a:r>
          <a:endParaRPr lang="en-US" altLang="zh-CN" sz="1600" b="1">
            <a:solidFill>
              <a:srgbClr val="0000FF"/>
            </a:solidFill>
          </a:endParaRPr>
        </a:p>
      </xdr:txBody>
    </xdr:sp>
    <xdr:clientData/>
  </xdr:twoCellAnchor>
  <xdr:twoCellAnchor>
    <xdr:from>
      <xdr:col>0</xdr:col>
      <xdr:colOff>172009</xdr:colOff>
      <xdr:row>26</xdr:row>
      <xdr:rowOff>114300</xdr:rowOff>
    </xdr:from>
    <xdr:to>
      <xdr:col>7</xdr:col>
      <xdr:colOff>266700</xdr:colOff>
      <xdr:row>33</xdr:row>
      <xdr:rowOff>95810</xdr:rowOff>
    </xdr:to>
    <xdr:sp macro="" textlink="">
      <xdr:nvSpPr>
        <xdr:cNvPr id="7" name="文本框 3">
          <a:extLst>
            <a:ext uri="{FF2B5EF4-FFF2-40B4-BE49-F238E27FC236}">
              <a16:creationId xmlns:a16="http://schemas.microsoft.com/office/drawing/2014/main" id="{F0733831-DB30-4239-2976-A3B96A8B6D28}"/>
            </a:ext>
          </a:extLst>
        </xdr:cNvPr>
        <xdr:cNvSpPr txBox="1"/>
      </xdr:nvSpPr>
      <xdr:spPr>
        <a:xfrm>
          <a:off x="172009" y="5324475"/>
          <a:ext cx="6000191" cy="14674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rgbClr val="FF0000"/>
              </a:solidFill>
            </a:rPr>
            <a:t>RUN</a:t>
          </a:r>
          <a:r>
            <a:rPr lang="en-US" altLang="ko-KR" sz="2000" b="1" baseline="0">
              <a:solidFill>
                <a:srgbClr val="FF0000"/>
              </a:solidFill>
            </a:rPr>
            <a:t> signal = RUN &amp; nALERT</a:t>
          </a:r>
          <a:endParaRPr lang="en-US" altLang="zh-CN" sz="2000" b="1" baseline="0">
            <a:solidFill>
              <a:srgbClr val="FF0000"/>
            </a:solidFill>
          </a:endParaRPr>
        </a:p>
        <a:p>
          <a:pPr algn="l"/>
          <a:r>
            <a:rPr lang="en-US" altLang="zh-CN" sz="2000" b="1" baseline="0">
              <a:solidFill>
                <a:srgbClr val="FF0000"/>
              </a:solidFill>
            </a:rPr>
            <a:t>- RUN = 1</a:t>
          </a:r>
          <a:r>
            <a:rPr lang="ko-KR" altLang="en-US" sz="2000" b="1" baseline="0">
              <a:solidFill>
                <a:srgbClr val="FF0000"/>
              </a:solidFill>
            </a:rPr>
            <a:t>일 때 동작</a:t>
          </a:r>
          <a:endParaRPr lang="en-US" altLang="ko-KR" sz="2000" b="1" baseline="0">
            <a:solidFill>
              <a:srgbClr val="FF0000"/>
            </a:solidFill>
          </a:endParaRPr>
        </a:p>
        <a:p>
          <a:pPr algn="l"/>
          <a:r>
            <a:rPr lang="en-US" altLang="zh-CN" sz="2000" b="1" baseline="0">
              <a:solidFill>
                <a:srgbClr val="FF0000"/>
              </a:solidFill>
            </a:rPr>
            <a:t>- ALERT </a:t>
          </a:r>
          <a:r>
            <a:rPr lang="ko-KR" altLang="en-US" sz="2000" b="1" baseline="0">
              <a:solidFill>
                <a:srgbClr val="FF0000"/>
              </a:solidFill>
            </a:rPr>
            <a:t>가 발생하면 바로 </a:t>
          </a:r>
          <a:r>
            <a:rPr lang="en-US" altLang="ko-KR" sz="2000" b="1" baseline="0">
              <a:solidFill>
                <a:srgbClr val="FF0000"/>
              </a:solidFill>
            </a:rPr>
            <a:t>RUN = 0</a:t>
          </a:r>
          <a:r>
            <a:rPr lang="ko-KR" altLang="en-US" sz="2000" b="1" baseline="0">
              <a:solidFill>
                <a:srgbClr val="FF0000"/>
              </a:solidFill>
            </a:rPr>
            <a:t>으로 되어 </a:t>
          </a:r>
          <a:r>
            <a:rPr lang="en-US" altLang="ko-KR" sz="2000" b="1" baseline="0">
              <a:solidFill>
                <a:srgbClr val="FF0000"/>
              </a:solidFill>
            </a:rPr>
            <a:t>DPS OFF</a:t>
          </a:r>
          <a:endParaRPr lang="en-US" altLang="zh-CN" sz="2000" b="1">
            <a:solidFill>
              <a:srgbClr val="FF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123265</xdr:colOff>
      <xdr:row>26</xdr:row>
      <xdr:rowOff>190500</xdr:rowOff>
    </xdr:from>
    <xdr:to>
      <xdr:col>33</xdr:col>
      <xdr:colOff>341221</xdr:colOff>
      <xdr:row>33</xdr:row>
      <xdr:rowOff>194422</xdr:rowOff>
    </xdr:to>
    <xdr:sp macro="" textlink="">
      <xdr:nvSpPr>
        <xdr:cNvPr id="2" name="文本框 3">
          <a:extLst>
            <a:ext uri="{FF2B5EF4-FFF2-40B4-BE49-F238E27FC236}">
              <a16:creationId xmlns:a16="http://schemas.microsoft.com/office/drawing/2014/main" id="{50F25F02-5F7B-4C0E-BFBB-56D403B9E44D}"/>
            </a:ext>
          </a:extLst>
        </xdr:cNvPr>
        <xdr:cNvSpPr txBox="1"/>
      </xdr:nvSpPr>
      <xdr:spPr>
        <a:xfrm>
          <a:off x="10943665" y="5400675"/>
          <a:ext cx="5952006" cy="1470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2000" b="1">
              <a:solidFill>
                <a:srgbClr val="FF0000"/>
              </a:solidFill>
            </a:rPr>
            <a:t>ERASE : 1</a:t>
          </a:r>
          <a:r>
            <a:rPr lang="en-US" altLang="ko-KR" sz="2000" b="1" baseline="0">
              <a:solidFill>
                <a:srgbClr val="FF0000"/>
              </a:solidFill>
            </a:rPr>
            <a:t> sector( 64 KB size )</a:t>
          </a:r>
          <a:endParaRPr lang="en-US" altLang="zh-CN" sz="2000" b="1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145676</xdr:colOff>
      <xdr:row>24</xdr:row>
      <xdr:rowOff>112655</xdr:rowOff>
    </xdr:from>
    <xdr:to>
      <xdr:col>37</xdr:col>
      <xdr:colOff>287543</xdr:colOff>
      <xdr:row>52</xdr:row>
      <xdr:rowOff>159905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D11B4DD-A092-49D5-8547-893F88DFA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0323" y="4897567"/>
          <a:ext cx="6596455" cy="480975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19</xdr:row>
      <xdr:rowOff>100854</xdr:rowOff>
    </xdr:from>
    <xdr:to>
      <xdr:col>30</xdr:col>
      <xdr:colOff>190499</xdr:colOff>
      <xdr:row>37</xdr:row>
      <xdr:rowOff>33618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81E147C6-DA79-48F5-9D35-1922F53C7A99}"/>
            </a:ext>
          </a:extLst>
        </xdr:cNvPr>
        <xdr:cNvSpPr txBox="1"/>
      </xdr:nvSpPr>
      <xdr:spPr>
        <a:xfrm>
          <a:off x="6645088" y="3866030"/>
          <a:ext cx="9009529" cy="34402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Rev0.92 @ 220318 </a:t>
          </a:r>
          <a:r>
            <a:rPr lang="ko-KR" altLang="en-US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부터 </a:t>
          </a:r>
          <a:r>
            <a:rPr lang="en-US" altLang="ko-KR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DPS-ADC IP</a:t>
          </a:r>
          <a:r>
            <a:rPr lang="ko-KR" altLang="en-US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는 동작하지 않음</a:t>
          </a:r>
          <a:r>
            <a:rPr lang="en-US" altLang="zh-CN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zh-CN" sz="54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zoomScaleNormal="100" workbookViewId="0">
      <pane xSplit="5" ySplit="14" topLeftCell="F15" activePane="bottomRight" state="frozen"/>
      <selection pane="topRight" activeCell="F1" sqref="F1"/>
      <selection pane="bottomLeft" activeCell="A15" sqref="A15"/>
      <selection pane="bottomRight" activeCell="H13" sqref="H13"/>
    </sheetView>
  </sheetViews>
  <sheetFormatPr defaultRowHeight="14.25"/>
  <cols>
    <col min="1" max="1" width="3.625" style="12" customWidth="1"/>
    <col min="2" max="2" width="15.625" style="12" customWidth="1"/>
    <col min="3" max="3" width="21" style="12" customWidth="1"/>
    <col min="4" max="4" width="16.125" style="29" customWidth="1"/>
    <col min="5" max="5" width="88" customWidth="1"/>
    <col min="6" max="6" width="18.375" style="12" customWidth="1"/>
    <col min="7" max="7" width="19" style="12" customWidth="1"/>
    <col min="8" max="8" width="42.125" customWidth="1"/>
  </cols>
  <sheetData>
    <row r="1" spans="1:8" ht="15" thickBot="1"/>
    <row r="2" spans="1:8" ht="16.5" thickBot="1">
      <c r="B2" s="15" t="s">
        <v>10</v>
      </c>
      <c r="C2" s="15" t="s">
        <v>11</v>
      </c>
      <c r="D2" s="28" t="s">
        <v>12</v>
      </c>
      <c r="E2" s="15" t="s">
        <v>13</v>
      </c>
      <c r="F2" s="15" t="s">
        <v>31</v>
      </c>
      <c r="G2" s="15" t="s">
        <v>32</v>
      </c>
    </row>
    <row r="3" spans="1:8" ht="16.5">
      <c r="B3" s="142" t="s">
        <v>15</v>
      </c>
      <c r="C3" s="19" t="str">
        <f>C15</f>
        <v>BOARD-ID</v>
      </c>
      <c r="D3" s="29">
        <f>D15</f>
        <v>0.5</v>
      </c>
      <c r="E3" s="1" t="s">
        <v>362</v>
      </c>
      <c r="F3" s="32">
        <f>B15</f>
        <v>44454</v>
      </c>
      <c r="G3" s="32">
        <f>G15</f>
        <v>0</v>
      </c>
    </row>
    <row r="4" spans="1:8" ht="16.5">
      <c r="B4" s="142"/>
      <c r="C4" s="16" t="str">
        <f>C18</f>
        <v>CFGx8-C2X</v>
      </c>
      <c r="D4" s="29">
        <f>D18</f>
        <v>0.61</v>
      </c>
      <c r="E4" s="1" t="s">
        <v>172</v>
      </c>
      <c r="F4" s="33">
        <f>B18</f>
        <v>44789</v>
      </c>
      <c r="G4" s="33">
        <f>G18</f>
        <v>0</v>
      </c>
    </row>
    <row r="5" spans="1:8">
      <c r="B5" s="142"/>
      <c r="C5" s="16" t="str">
        <f>C23</f>
        <v>LBx8-C2P</v>
      </c>
      <c r="D5" s="29">
        <f>D23</f>
        <v>0.6</v>
      </c>
      <c r="E5" s="1" t="s">
        <v>173</v>
      </c>
      <c r="F5" s="33">
        <f>B23</f>
        <v>44789</v>
      </c>
      <c r="G5" s="33">
        <f>G23</f>
        <v>0</v>
      </c>
    </row>
    <row r="6" spans="1:8" ht="16.5">
      <c r="B6" s="142"/>
      <c r="C6" s="16" t="str">
        <f>C27</f>
        <v>LBx8-C2T</v>
      </c>
      <c r="D6" s="29">
        <f>D27</f>
        <v>0.6</v>
      </c>
      <c r="E6" s="1" t="s">
        <v>174</v>
      </c>
      <c r="F6" s="33">
        <f>B27</f>
        <v>44789</v>
      </c>
      <c r="G6" s="33">
        <f>G27</f>
        <v>0</v>
      </c>
    </row>
    <row r="7" spans="1:8" ht="16.5">
      <c r="B7" s="142"/>
      <c r="C7" s="16" t="str">
        <f>C31</f>
        <v>ADC-AD7606</v>
      </c>
      <c r="D7" s="29">
        <f>D31</f>
        <v>0.5</v>
      </c>
      <c r="E7" s="1" t="s">
        <v>177</v>
      </c>
      <c r="F7" s="33">
        <f>B31</f>
        <v>44455</v>
      </c>
      <c r="G7" s="33">
        <f>G31</f>
        <v>0</v>
      </c>
    </row>
    <row r="8" spans="1:8" ht="16.5">
      <c r="B8" s="142"/>
      <c r="C8" s="16" t="str">
        <f>C34</f>
        <v>DAC-AD5381</v>
      </c>
      <c r="D8" s="29">
        <f>D34</f>
        <v>0.5</v>
      </c>
      <c r="E8" s="1" t="s">
        <v>176</v>
      </c>
      <c r="F8" s="33">
        <f>B34</f>
        <v>44685</v>
      </c>
      <c r="G8" s="33">
        <f>G34</f>
        <v>0</v>
      </c>
    </row>
    <row r="9" spans="1:8" ht="16.5">
      <c r="B9" s="142"/>
      <c r="C9" s="16" t="str">
        <f>C37</f>
        <v>PPS</v>
      </c>
      <c r="D9" s="29">
        <f>D37</f>
        <v>0.52</v>
      </c>
      <c r="E9" s="1" t="s">
        <v>175</v>
      </c>
      <c r="F9" s="33">
        <f>B37</f>
        <v>44789</v>
      </c>
      <c r="G9" s="33">
        <f>G37</f>
        <v>0</v>
      </c>
    </row>
    <row r="10" spans="1:8">
      <c r="B10" s="142"/>
      <c r="C10" s="16" t="str">
        <f>C40</f>
        <v>CFG-PROM</v>
      </c>
      <c r="D10" s="29">
        <f>D40</f>
        <v>0.5</v>
      </c>
      <c r="E10" s="1" t="s">
        <v>478</v>
      </c>
      <c r="F10" s="33">
        <f>B40</f>
        <v>45091</v>
      </c>
      <c r="G10" s="33">
        <f>G40</f>
        <v>0</v>
      </c>
    </row>
    <row r="11" spans="1:8" ht="15" thickBot="1">
      <c r="B11" s="143"/>
      <c r="C11" s="17" t="str">
        <f>C43</f>
        <v>PJT-INFO</v>
      </c>
      <c r="D11" s="30">
        <f>D43</f>
        <v>0.5</v>
      </c>
      <c r="E11" s="11" t="s">
        <v>44</v>
      </c>
      <c r="F11" s="38">
        <f>B43</f>
        <v>44468</v>
      </c>
      <c r="G11" s="38">
        <f>G43</f>
        <v>0</v>
      </c>
    </row>
    <row r="14" spans="1:8" ht="15.75">
      <c r="A14" s="27" t="s">
        <v>29</v>
      </c>
      <c r="B14" s="27" t="s">
        <v>24</v>
      </c>
      <c r="C14" s="27" t="s">
        <v>11</v>
      </c>
      <c r="D14" s="31" t="s">
        <v>12</v>
      </c>
      <c r="E14" s="27" t="s">
        <v>26</v>
      </c>
      <c r="F14" s="27" t="s">
        <v>22</v>
      </c>
      <c r="G14" s="27" t="s">
        <v>23</v>
      </c>
      <c r="H14" s="27" t="s">
        <v>27</v>
      </c>
    </row>
    <row r="15" spans="1:8" s="40" customFormat="1" ht="16.5">
      <c r="A15" s="98" t="s">
        <v>338</v>
      </c>
      <c r="B15" s="39">
        <v>44454</v>
      </c>
      <c r="C15" s="70" t="s">
        <v>167</v>
      </c>
      <c r="D15" s="46">
        <v>0.5</v>
      </c>
      <c r="E15" s="47" t="s">
        <v>14</v>
      </c>
      <c r="F15" s="26" t="s">
        <v>25</v>
      </c>
      <c r="G15" s="39"/>
    </row>
    <row r="16" spans="1:8">
      <c r="B16" s="18"/>
    </row>
    <row r="18" spans="1:8" s="40" customFormat="1" ht="16.5">
      <c r="A18" s="70" t="s">
        <v>30</v>
      </c>
      <c r="B18" s="39">
        <v>44789</v>
      </c>
      <c r="C18" s="70" t="s">
        <v>170</v>
      </c>
      <c r="D18" s="46">
        <v>0.61</v>
      </c>
      <c r="E18" s="47" t="s">
        <v>348</v>
      </c>
      <c r="F18" s="26" t="s">
        <v>25</v>
      </c>
      <c r="G18" s="39"/>
    </row>
    <row r="19" spans="1:8" s="40" customFormat="1" ht="16.5">
      <c r="A19" s="70"/>
      <c r="B19" s="101">
        <v>44532</v>
      </c>
      <c r="C19" s="63" t="s">
        <v>170</v>
      </c>
      <c r="D19" s="87">
        <v>0.6</v>
      </c>
      <c r="E19" s="88" t="s">
        <v>349</v>
      </c>
      <c r="F19" s="26"/>
      <c r="G19" s="39"/>
    </row>
    <row r="20" spans="1:8" s="40" customFormat="1" ht="16.5">
      <c r="A20" s="70"/>
      <c r="B20" s="86">
        <v>44454</v>
      </c>
      <c r="C20" s="63" t="s">
        <v>170</v>
      </c>
      <c r="D20" s="87">
        <v>0.5</v>
      </c>
      <c r="E20" s="88" t="s">
        <v>14</v>
      </c>
      <c r="F20" s="26" t="s">
        <v>25</v>
      </c>
      <c r="G20" s="39"/>
    </row>
    <row r="23" spans="1:8" ht="16.5">
      <c r="A23" s="70" t="s">
        <v>30</v>
      </c>
      <c r="B23" s="39">
        <v>44789</v>
      </c>
      <c r="C23" s="70" t="s">
        <v>169</v>
      </c>
      <c r="D23" s="46">
        <v>0.6</v>
      </c>
      <c r="E23" s="47" t="s">
        <v>347</v>
      </c>
      <c r="F23" s="26" t="s">
        <v>25</v>
      </c>
      <c r="G23" s="39"/>
      <c r="H23" s="40"/>
    </row>
    <row r="24" spans="1:8" ht="16.5">
      <c r="A24" s="70"/>
      <c r="B24" s="101">
        <v>44455</v>
      </c>
      <c r="C24" s="63" t="s">
        <v>169</v>
      </c>
      <c r="D24" s="87">
        <v>0.5</v>
      </c>
      <c r="E24" s="88" t="s">
        <v>14</v>
      </c>
      <c r="F24" s="26"/>
      <c r="G24" s="39"/>
      <c r="H24" s="40"/>
    </row>
    <row r="25" spans="1:8">
      <c r="B25" s="18"/>
      <c r="F25" s="18"/>
      <c r="G25" s="18"/>
    </row>
    <row r="27" spans="1:8" s="40" customFormat="1" ht="16.5">
      <c r="A27" s="70" t="s">
        <v>30</v>
      </c>
      <c r="B27" s="39">
        <v>44789</v>
      </c>
      <c r="C27" s="70" t="s">
        <v>168</v>
      </c>
      <c r="D27" s="46">
        <v>0.6</v>
      </c>
      <c r="E27" s="47" t="s">
        <v>347</v>
      </c>
      <c r="F27" s="26" t="s">
        <v>25</v>
      </c>
      <c r="G27" s="39"/>
    </row>
    <row r="28" spans="1:8" s="40" customFormat="1" ht="16.5">
      <c r="A28" s="70"/>
      <c r="B28" s="101">
        <v>44455</v>
      </c>
      <c r="C28" s="63" t="s">
        <v>168</v>
      </c>
      <c r="D28" s="87">
        <v>0.5</v>
      </c>
      <c r="E28" s="88" t="s">
        <v>14</v>
      </c>
      <c r="F28" s="26"/>
      <c r="G28" s="39"/>
    </row>
    <row r="31" spans="1:8" s="40" customFormat="1" ht="16.5">
      <c r="A31" s="70" t="s">
        <v>30</v>
      </c>
      <c r="B31" s="39">
        <v>44455</v>
      </c>
      <c r="C31" s="70" t="s">
        <v>171</v>
      </c>
      <c r="D31" s="46">
        <v>0.5</v>
      </c>
      <c r="E31" s="47" t="s">
        <v>14</v>
      </c>
      <c r="F31" s="26" t="s">
        <v>25</v>
      </c>
      <c r="G31" s="39"/>
    </row>
    <row r="34" spans="1:7" s="40" customFormat="1" ht="16.5">
      <c r="A34" s="70" t="s">
        <v>338</v>
      </c>
      <c r="B34" s="39">
        <v>44685</v>
      </c>
      <c r="C34" s="70" t="s">
        <v>357</v>
      </c>
      <c r="D34" s="46">
        <v>0.5</v>
      </c>
      <c r="E34" s="47" t="s">
        <v>14</v>
      </c>
      <c r="F34" s="26" t="s">
        <v>25</v>
      </c>
      <c r="G34" s="39"/>
    </row>
    <row r="37" spans="1:7" s="40" customFormat="1" ht="16.5">
      <c r="A37" s="70" t="s">
        <v>338</v>
      </c>
      <c r="B37" s="39">
        <v>44789</v>
      </c>
      <c r="C37" s="70" t="s">
        <v>358</v>
      </c>
      <c r="D37" s="46">
        <v>0.52</v>
      </c>
      <c r="E37" s="118" t="s">
        <v>14</v>
      </c>
      <c r="F37" s="41" t="s">
        <v>25</v>
      </c>
      <c r="G37" s="39"/>
    </row>
    <row r="38" spans="1:7" s="40" customFormat="1" ht="16.5">
      <c r="A38" s="70"/>
      <c r="B38" s="39"/>
      <c r="C38" s="70"/>
      <c r="D38" s="46"/>
      <c r="E38" s="118"/>
      <c r="F38" s="41"/>
      <c r="G38" s="39"/>
    </row>
    <row r="39" spans="1:7" ht="16.5">
      <c r="A39" s="70"/>
      <c r="B39" s="39"/>
      <c r="C39" s="70"/>
      <c r="D39" s="46"/>
      <c r="E39" s="47"/>
      <c r="F39" s="41"/>
    </row>
    <row r="40" spans="1:7" ht="16.5">
      <c r="A40" s="70" t="s">
        <v>338</v>
      </c>
      <c r="B40" s="39">
        <v>45091</v>
      </c>
      <c r="C40" s="70" t="s">
        <v>473</v>
      </c>
      <c r="D40" s="46">
        <v>0.5</v>
      </c>
      <c r="E40" s="47" t="s">
        <v>477</v>
      </c>
      <c r="F40" s="41" t="s">
        <v>25</v>
      </c>
    </row>
    <row r="41" spans="1:7" ht="16.5">
      <c r="A41" s="70"/>
      <c r="B41" s="39"/>
      <c r="C41" s="70"/>
      <c r="D41" s="46"/>
      <c r="E41" s="47"/>
      <c r="F41" s="41"/>
    </row>
    <row r="42" spans="1:7" s="40" customFormat="1">
      <c r="A42" s="12"/>
      <c r="B42" s="12"/>
      <c r="C42" s="12"/>
      <c r="D42" s="29"/>
      <c r="E42"/>
      <c r="F42" s="12"/>
      <c r="G42" s="39"/>
    </row>
    <row r="43" spans="1:7" s="40" customFormat="1" ht="16.5">
      <c r="A43" s="70" t="s">
        <v>30</v>
      </c>
      <c r="B43" s="115">
        <v>44468</v>
      </c>
      <c r="C43" s="116" t="s">
        <v>77</v>
      </c>
      <c r="D43" s="117">
        <v>0.5</v>
      </c>
      <c r="E43" s="118" t="s">
        <v>14</v>
      </c>
      <c r="F43" s="41" t="s">
        <v>25</v>
      </c>
      <c r="G43" s="39"/>
    </row>
    <row r="44" spans="1:7" s="40" customFormat="1" ht="16.5">
      <c r="A44" s="70"/>
      <c r="B44" s="107"/>
      <c r="C44" s="108"/>
      <c r="D44" s="87"/>
      <c r="E44" s="88"/>
      <c r="F44" s="41"/>
      <c r="G44" s="39"/>
    </row>
    <row r="45" spans="1:7" s="40" customFormat="1" ht="16.5">
      <c r="A45" s="70"/>
      <c r="B45" s="104"/>
      <c r="C45" s="105"/>
      <c r="D45" s="87"/>
      <c r="E45" s="88"/>
      <c r="F45" s="106"/>
      <c r="G45" s="39"/>
    </row>
    <row r="46" spans="1:7" s="40" customFormat="1" ht="16.5">
      <c r="A46" s="70"/>
      <c r="B46" s="102"/>
      <c r="C46" s="103"/>
      <c r="D46" s="87"/>
      <c r="E46" s="88"/>
      <c r="F46" s="41"/>
      <c r="G46" s="39"/>
    </row>
    <row r="47" spans="1:7" s="40" customFormat="1" ht="16.5">
      <c r="A47" s="70"/>
      <c r="B47" s="102"/>
      <c r="C47" s="103"/>
      <c r="D47" s="87"/>
      <c r="E47" s="88"/>
      <c r="F47" s="41"/>
      <c r="G47" s="39"/>
    </row>
    <row r="48" spans="1:7" s="40" customFormat="1" ht="16.5">
      <c r="A48" s="70"/>
      <c r="B48" s="102"/>
      <c r="C48" s="103"/>
      <c r="D48" s="87"/>
      <c r="E48" s="88"/>
      <c r="F48" s="41"/>
      <c r="G48" s="39"/>
    </row>
    <row r="49" spans="1:7" s="40" customFormat="1" ht="16.5">
      <c r="A49" s="70"/>
      <c r="B49" s="102"/>
      <c r="C49" s="103"/>
      <c r="D49" s="87"/>
      <c r="E49" s="88"/>
      <c r="F49" s="41"/>
      <c r="G49" s="39"/>
    </row>
    <row r="50" spans="1:7" s="40" customFormat="1" ht="16.5">
      <c r="A50" s="70"/>
      <c r="B50" s="102"/>
      <c r="C50" s="103"/>
      <c r="D50" s="87"/>
      <c r="E50" s="88"/>
      <c r="F50" s="41"/>
      <c r="G50" s="39"/>
    </row>
    <row r="51" spans="1:7" s="40" customFormat="1" ht="16.5">
      <c r="A51" s="70"/>
      <c r="B51" s="102"/>
      <c r="C51" s="103"/>
      <c r="D51" s="87"/>
      <c r="E51" s="88"/>
      <c r="F51" s="41"/>
      <c r="G51" s="39"/>
    </row>
    <row r="52" spans="1:7" s="40" customFormat="1" ht="16.5">
      <c r="A52" s="70"/>
      <c r="B52" s="102"/>
      <c r="C52" s="103"/>
      <c r="D52" s="87"/>
      <c r="E52" s="88"/>
      <c r="F52" s="95"/>
      <c r="G52" s="39"/>
    </row>
    <row r="53" spans="1:7" s="40" customFormat="1" ht="16.5">
      <c r="A53" s="70"/>
      <c r="B53" s="102"/>
      <c r="C53" s="103"/>
      <c r="D53" s="87"/>
      <c r="E53" s="88"/>
      <c r="F53" s="95"/>
      <c r="G53" s="39"/>
    </row>
    <row r="54" spans="1:7" s="40" customFormat="1" ht="16.5">
      <c r="A54" s="70"/>
      <c r="B54" s="102"/>
      <c r="C54" s="103"/>
      <c r="D54" s="87"/>
      <c r="E54" s="88"/>
      <c r="F54" s="95"/>
      <c r="G54" s="39"/>
    </row>
    <row r="55" spans="1:7" s="40" customFormat="1" ht="16.5">
      <c r="A55" s="70"/>
      <c r="B55" s="102"/>
      <c r="C55" s="103"/>
      <c r="D55" s="87"/>
      <c r="E55" s="88"/>
      <c r="F55" s="95"/>
      <c r="G55" s="39"/>
    </row>
    <row r="56" spans="1:7">
      <c r="B56" s="90"/>
      <c r="C56" s="91"/>
      <c r="D56" s="92"/>
      <c r="E56" s="93"/>
      <c r="F56" s="94"/>
    </row>
    <row r="57" spans="1:7">
      <c r="B57" s="90"/>
      <c r="C57" s="91"/>
      <c r="D57" s="92"/>
      <c r="E57" s="93"/>
      <c r="F57" s="94"/>
    </row>
  </sheetData>
  <mergeCells count="1">
    <mergeCell ref="B3:B11"/>
  </mergeCells>
  <phoneticPr fontId="6" type="noConversion"/>
  <conditionalFormatting sqref="A1:A1048576">
    <cfRule type="cellIs" dxfId="11" priority="2" operator="equal">
      <formula>"N"</formula>
    </cfRule>
    <cfRule type="cellIs" dxfId="10" priority="3" operator="equal">
      <formula>"D"</formula>
    </cfRule>
    <cfRule type="cellIs" dxfId="9" priority="4" operator="equal">
      <formula>"P"</formula>
    </cfRule>
  </conditionalFormatting>
  <conditionalFormatting sqref="A39">
    <cfRule type="iconSet" priority="32">
      <iconSet iconSet="3Symbols">
        <cfvo type="percent" val="0"/>
        <cfvo type="percent" val="33"/>
        <cfvo type="percent" val="67"/>
      </iconSet>
    </cfRule>
  </conditionalFormatting>
  <conditionalFormatting sqref="A40">
    <cfRule type="iconSet" priority="16">
      <iconSet iconSet="3Symbols">
        <cfvo type="percent" val="0"/>
        <cfvo type="percent" val="33"/>
        <cfvo type="percent" val="67"/>
      </iconSet>
    </cfRule>
  </conditionalFormatting>
  <conditionalFormatting sqref="A41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A42">
    <cfRule type="iconSet" priority="12">
      <iconSet iconSet="3Symbols">
        <cfvo type="percent" val="0"/>
        <cfvo type="percent" val="33"/>
        <cfvo type="percent" val="67"/>
      </iconSet>
    </cfRule>
  </conditionalFormatting>
  <conditionalFormatting sqref="A43:A1048576 A1:A38">
    <cfRule type="iconSet" priority="98">
      <iconSet iconSet="3Symbols">
        <cfvo type="percent" val="0"/>
        <cfvo type="percent" val="33"/>
        <cfvo type="percent" val="67"/>
      </iconSet>
    </cfRule>
  </conditionalFormatting>
  <conditionalFormatting sqref="F15">
    <cfRule type="cellIs" dxfId="8" priority="78" operator="equal">
      <formula>"-"</formula>
    </cfRule>
  </conditionalFormatting>
  <conditionalFormatting sqref="F18:F20">
    <cfRule type="cellIs" dxfId="7" priority="39" operator="equal">
      <formula>"-"</formula>
    </cfRule>
  </conditionalFormatting>
  <conditionalFormatting sqref="F23:F24">
    <cfRule type="cellIs" dxfId="6" priority="80" operator="equal">
      <formula>"-"</formula>
    </cfRule>
  </conditionalFormatting>
  <conditionalFormatting sqref="F27:F28">
    <cfRule type="cellIs" dxfId="5" priority="81" operator="equal">
      <formula>"-"</formula>
    </cfRule>
  </conditionalFormatting>
  <conditionalFormatting sqref="F31">
    <cfRule type="cellIs" dxfId="4" priority="76" operator="equal">
      <formula>"-"</formula>
    </cfRule>
  </conditionalFormatting>
  <conditionalFormatting sqref="F34">
    <cfRule type="cellIs" dxfId="3" priority="77" operator="equal">
      <formula>"-"</formula>
    </cfRule>
  </conditionalFormatting>
  <conditionalFormatting sqref="F37:F41">
    <cfRule type="cellIs" dxfId="2" priority="1" operator="equal">
      <formula>"-"</formula>
    </cfRule>
  </conditionalFormatting>
  <conditionalFormatting sqref="F43:F57">
    <cfRule type="cellIs" dxfId="1" priority="25" operator="equal">
      <formula>"-"</formula>
    </cfRule>
  </conditionalFormatting>
  <conditionalFormatting sqref="G1:G1048576">
    <cfRule type="cellIs" dxfId="0" priority="6" operator="equal">
      <formula>"-"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J47" sqref="J47"/>
    </sheetView>
  </sheetViews>
  <sheetFormatPr defaultRowHeight="14.25"/>
  <sheetData/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8"/>
  <sheetViews>
    <sheetView zoomScaleNormal="100" workbookViewId="0">
      <pane xSplit="7" ySplit="18" topLeftCell="H19" activePane="bottomRight" state="frozen"/>
      <selection pane="topRight" activeCell="H1" sqref="H1"/>
      <selection pane="bottomLeft" activeCell="A18" sqref="A18"/>
      <selection pane="bottomRight" activeCell="G27" sqref="G27"/>
    </sheetView>
  </sheetViews>
  <sheetFormatPr defaultRowHeight="14.25"/>
  <cols>
    <col min="2" max="2" width="27.125" customWidth="1"/>
    <col min="3" max="3" width="18.625" customWidth="1"/>
    <col min="4" max="4" width="19.75" customWidth="1"/>
    <col min="5" max="5" width="11.375" customWidth="1"/>
    <col min="6" max="6" width="23.375" customWidth="1"/>
    <col min="7" max="7" width="28" customWidth="1"/>
    <col min="8" max="8" width="9" style="12"/>
  </cols>
  <sheetData>
    <row r="2" spans="2:7">
      <c r="B2" s="34" t="s">
        <v>45</v>
      </c>
      <c r="C2" s="34" t="s">
        <v>46</v>
      </c>
      <c r="D2" s="34" t="s">
        <v>47</v>
      </c>
      <c r="E2" s="34" t="s">
        <v>48</v>
      </c>
      <c r="F2" s="34" t="s">
        <v>49</v>
      </c>
      <c r="G2" s="146" t="s">
        <v>8</v>
      </c>
    </row>
    <row r="3" spans="2:7" ht="16.5">
      <c r="B3" s="144" t="s">
        <v>322</v>
      </c>
      <c r="C3" s="145" t="s">
        <v>50</v>
      </c>
      <c r="D3" s="145" t="s">
        <v>50</v>
      </c>
      <c r="E3" s="145" t="s">
        <v>50</v>
      </c>
      <c r="F3" s="145" t="s">
        <v>50</v>
      </c>
      <c r="G3" s="146"/>
    </row>
    <row r="4" spans="2:7" ht="16.5">
      <c r="B4" s="68" t="s">
        <v>167</v>
      </c>
      <c r="C4" s="36" t="s">
        <v>52</v>
      </c>
      <c r="D4" s="36" t="s">
        <v>143</v>
      </c>
      <c r="E4" s="36" t="s">
        <v>51</v>
      </c>
      <c r="F4" s="36" t="s">
        <v>144</v>
      </c>
    </row>
    <row r="5" spans="2:7" ht="16.5">
      <c r="B5" s="35" t="s">
        <v>186</v>
      </c>
      <c r="C5" s="36" t="s">
        <v>52</v>
      </c>
      <c r="D5" s="36" t="s">
        <v>142</v>
      </c>
      <c r="E5" s="36" t="s">
        <v>51</v>
      </c>
      <c r="F5" s="36" t="s">
        <v>145</v>
      </c>
    </row>
    <row r="6" spans="2:7" ht="16.5">
      <c r="B6" s="35" t="s">
        <v>187</v>
      </c>
      <c r="C6" s="36" t="s">
        <v>52</v>
      </c>
      <c r="D6" s="36" t="s">
        <v>141</v>
      </c>
      <c r="E6" s="36" t="s">
        <v>51</v>
      </c>
      <c r="F6" s="36" t="s">
        <v>146</v>
      </c>
    </row>
    <row r="7" spans="2:7" ht="16.5">
      <c r="B7" s="35" t="s">
        <v>188</v>
      </c>
      <c r="C7" s="126" t="s">
        <v>52</v>
      </c>
      <c r="D7" s="126" t="s">
        <v>140</v>
      </c>
      <c r="E7" s="126" t="s">
        <v>51</v>
      </c>
      <c r="F7" s="126" t="s">
        <v>147</v>
      </c>
      <c r="G7" s="70"/>
    </row>
    <row r="8" spans="2:7" ht="16.5">
      <c r="B8" s="35" t="s">
        <v>189</v>
      </c>
      <c r="C8" s="36" t="s">
        <v>52</v>
      </c>
      <c r="D8" s="36" t="s">
        <v>139</v>
      </c>
      <c r="E8" s="36" t="s">
        <v>51</v>
      </c>
      <c r="F8" s="36" t="s">
        <v>148</v>
      </c>
    </row>
    <row r="9" spans="2:7">
      <c r="B9" s="35"/>
      <c r="C9" s="36"/>
      <c r="D9" s="36"/>
      <c r="E9" s="36"/>
      <c r="F9" s="36"/>
    </row>
    <row r="10" spans="2:7" ht="16.5">
      <c r="B10" s="129" t="s">
        <v>431</v>
      </c>
      <c r="C10" s="130" t="s">
        <v>52</v>
      </c>
      <c r="D10" s="130" t="s">
        <v>445</v>
      </c>
      <c r="E10" s="130" t="s">
        <v>51</v>
      </c>
      <c r="F10" s="130" t="s">
        <v>450</v>
      </c>
    </row>
    <row r="11" spans="2:7" ht="16.5">
      <c r="B11" s="129" t="s">
        <v>358</v>
      </c>
      <c r="C11" s="130" t="s">
        <v>52</v>
      </c>
      <c r="D11" s="130" t="s">
        <v>446</v>
      </c>
      <c r="E11" s="130" t="s">
        <v>51</v>
      </c>
      <c r="F11" s="130" t="s">
        <v>451</v>
      </c>
    </row>
    <row r="12" spans="2:7">
      <c r="B12" s="35"/>
      <c r="C12" s="36"/>
      <c r="D12" s="36"/>
      <c r="E12" s="36"/>
      <c r="F12" s="36"/>
    </row>
    <row r="13" spans="2:7" ht="16.5">
      <c r="B13" s="135" t="s">
        <v>473</v>
      </c>
      <c r="C13" s="136" t="s">
        <v>474</v>
      </c>
      <c r="D13" s="136" t="s">
        <v>475</v>
      </c>
      <c r="E13" s="136" t="s">
        <v>51</v>
      </c>
      <c r="F13" s="136" t="s">
        <v>476</v>
      </c>
      <c r="G13" s="65"/>
    </row>
    <row r="14" spans="2:7" ht="16.5">
      <c r="B14" s="35" t="s">
        <v>190</v>
      </c>
      <c r="C14" s="36" t="s">
        <v>52</v>
      </c>
      <c r="D14" s="36" t="s">
        <v>137</v>
      </c>
      <c r="E14" s="36" t="s">
        <v>51</v>
      </c>
      <c r="F14" s="36" t="s">
        <v>138</v>
      </c>
    </row>
    <row r="15" spans="2:7">
      <c r="B15" s="35"/>
      <c r="C15" s="36"/>
      <c r="D15" s="36"/>
      <c r="E15" s="36"/>
      <c r="F15" s="36"/>
    </row>
    <row r="16" spans="2:7" ht="16.5">
      <c r="B16" s="35" t="s">
        <v>191</v>
      </c>
      <c r="C16" s="36" t="s">
        <v>52</v>
      </c>
      <c r="D16" s="36" t="s">
        <v>131</v>
      </c>
      <c r="E16" s="36" t="s">
        <v>53</v>
      </c>
      <c r="F16" s="36" t="s">
        <v>133</v>
      </c>
    </row>
    <row r="17" spans="2:6" ht="16.5">
      <c r="B17" s="35" t="s">
        <v>192</v>
      </c>
      <c r="C17" s="36" t="s">
        <v>52</v>
      </c>
      <c r="D17" s="36" t="s">
        <v>132</v>
      </c>
      <c r="E17" s="36" t="s">
        <v>53</v>
      </c>
      <c r="F17" s="36" t="s">
        <v>134</v>
      </c>
    </row>
    <row r="18" spans="2:6" ht="16.5">
      <c r="B18" s="35" t="s">
        <v>193</v>
      </c>
      <c r="C18" s="36" t="s">
        <v>52</v>
      </c>
      <c r="D18" s="36" t="s">
        <v>136</v>
      </c>
      <c r="E18" s="36" t="s">
        <v>53</v>
      </c>
      <c r="F18" s="36" t="s">
        <v>135</v>
      </c>
    </row>
  </sheetData>
  <mergeCells count="2">
    <mergeCell ref="B3:F3"/>
    <mergeCell ref="G2:G3"/>
  </mergeCells>
  <phoneticPr fontId="6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"/>
  <sheetViews>
    <sheetView zoomScaleNormal="100" workbookViewId="0">
      <pane xSplit="39" ySplit="10" topLeftCell="AN11" activePane="bottomRight" state="frozen"/>
      <selection pane="topRight" activeCell="AN1" sqref="AN1"/>
      <selection pane="bottomLeft" activeCell="A11" sqref="A11"/>
      <selection pane="bottomRight" activeCell="H7" sqref="H7:W7"/>
    </sheetView>
  </sheetViews>
  <sheetFormatPr defaultRowHeight="14.2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5" thickBot="1"/>
    <row r="2" spans="1:39" ht="1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0" t="s">
        <v>91</v>
      </c>
      <c r="C3" s="164" t="s">
        <v>104</v>
      </c>
      <c r="D3" s="44" t="str">
        <f>DEC2HEX(A3*4, 3)</f>
        <v>000</v>
      </c>
      <c r="E3" s="167" t="s">
        <v>0</v>
      </c>
      <c r="F3" s="45" t="s">
        <v>6</v>
      </c>
      <c r="G3" s="37"/>
      <c r="H3" s="155" t="s">
        <v>361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7"/>
    </row>
    <row r="4" spans="1:39">
      <c r="A4" s="12">
        <v>1</v>
      </c>
      <c r="B4" s="151"/>
      <c r="C4" s="165"/>
      <c r="D4" s="12" t="str">
        <f>DEC2HEX(A4*4, 3)</f>
        <v>004</v>
      </c>
      <c r="E4" s="168"/>
      <c r="F4" s="2" t="s">
        <v>6</v>
      </c>
      <c r="H4" s="158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60"/>
    </row>
    <row r="5" spans="1:39">
      <c r="A5" s="12">
        <v>2</v>
      </c>
      <c r="B5" s="151"/>
      <c r="C5" s="165"/>
      <c r="D5" s="12" t="str">
        <f t="shared" ref="D5:D9" si="1">DEC2HEX(A5*4, 3)</f>
        <v>008</v>
      </c>
      <c r="E5" s="168"/>
      <c r="F5" s="2" t="s">
        <v>6</v>
      </c>
      <c r="H5" s="158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60"/>
    </row>
    <row r="6" spans="1:39">
      <c r="A6" s="12">
        <v>3</v>
      </c>
      <c r="B6" s="151"/>
      <c r="C6" s="165"/>
      <c r="D6" s="12" t="str">
        <f t="shared" si="1"/>
        <v>00C</v>
      </c>
      <c r="E6" s="168"/>
      <c r="F6" s="2" t="s">
        <v>6</v>
      </c>
      <c r="H6" s="161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3"/>
    </row>
    <row r="7" spans="1:39">
      <c r="A7" s="12">
        <v>4</v>
      </c>
      <c r="B7" s="151"/>
      <c r="C7" s="165"/>
      <c r="D7" s="12" t="str">
        <f t="shared" si="1"/>
        <v>010</v>
      </c>
      <c r="E7" s="14" t="s">
        <v>106</v>
      </c>
      <c r="F7" s="2" t="s">
        <v>6</v>
      </c>
      <c r="H7" s="169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53" t="s">
        <v>54</v>
      </c>
      <c r="Y7" s="153"/>
      <c r="Z7" s="153"/>
      <c r="AA7" s="153"/>
      <c r="AB7" s="153"/>
      <c r="AC7" s="153"/>
      <c r="AD7" s="153"/>
      <c r="AE7" s="153"/>
      <c r="AF7" s="153" t="s">
        <v>55</v>
      </c>
      <c r="AG7" s="153"/>
      <c r="AH7" s="153"/>
      <c r="AI7" s="153"/>
      <c r="AJ7" s="153"/>
      <c r="AK7" s="153"/>
      <c r="AL7" s="153"/>
      <c r="AM7" s="154"/>
    </row>
    <row r="8" spans="1:39">
      <c r="A8" s="12">
        <v>5</v>
      </c>
      <c r="B8" s="151"/>
      <c r="C8" s="165"/>
      <c r="D8" s="12" t="str">
        <f t="shared" si="1"/>
        <v>014</v>
      </c>
      <c r="E8" s="14" t="s">
        <v>107</v>
      </c>
      <c r="F8" s="2" t="s">
        <v>6</v>
      </c>
      <c r="H8" s="171"/>
      <c r="I8" s="172"/>
      <c r="J8" s="172"/>
      <c r="K8" s="172"/>
      <c r="L8" s="172"/>
      <c r="M8" s="172"/>
      <c r="N8" s="172"/>
      <c r="O8" s="173"/>
      <c r="P8" s="174" t="s">
        <v>56</v>
      </c>
      <c r="Q8" s="174"/>
      <c r="R8" s="174"/>
      <c r="S8" s="174"/>
      <c r="T8" s="174"/>
      <c r="U8" s="174"/>
      <c r="V8" s="174"/>
      <c r="W8" s="174"/>
      <c r="X8" s="174" t="s">
        <v>76</v>
      </c>
      <c r="Y8" s="174"/>
      <c r="Z8" s="174"/>
      <c r="AA8" s="174"/>
      <c r="AB8" s="174"/>
      <c r="AC8" s="174"/>
      <c r="AD8" s="174"/>
      <c r="AE8" s="174"/>
      <c r="AF8" s="175" t="s">
        <v>57</v>
      </c>
      <c r="AG8" s="176"/>
      <c r="AH8" s="176"/>
      <c r="AI8" s="176"/>
      <c r="AJ8" s="176"/>
      <c r="AK8" s="176"/>
      <c r="AL8" s="176"/>
      <c r="AM8" s="177"/>
    </row>
    <row r="9" spans="1:39" ht="16.5">
      <c r="A9" s="12">
        <v>6</v>
      </c>
      <c r="B9" s="151"/>
      <c r="C9" s="165"/>
      <c r="D9" s="12" t="str">
        <f t="shared" si="1"/>
        <v>018</v>
      </c>
      <c r="E9" s="51" t="s">
        <v>105</v>
      </c>
      <c r="F9" s="53" t="s">
        <v>4</v>
      </c>
      <c r="H9" s="178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80"/>
    </row>
    <row r="10" spans="1:39" ht="17.25" thickBot="1">
      <c r="A10" s="12">
        <v>7</v>
      </c>
      <c r="B10" s="152"/>
      <c r="C10" s="166"/>
      <c r="D10" s="43" t="str">
        <f>DEC2HEX(A10*4, 3)</f>
        <v>01C</v>
      </c>
      <c r="E10" s="52" t="s">
        <v>105</v>
      </c>
      <c r="F10" s="54" t="s">
        <v>4</v>
      </c>
      <c r="G10" s="48"/>
      <c r="H10" s="147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9"/>
    </row>
  </sheetData>
  <mergeCells count="13">
    <mergeCell ref="H10:AM10"/>
    <mergeCell ref="B3:B10"/>
    <mergeCell ref="X7:AE7"/>
    <mergeCell ref="AF7:AM7"/>
    <mergeCell ref="H3:AM6"/>
    <mergeCell ref="C3:C10"/>
    <mergeCell ref="E3:E6"/>
    <mergeCell ref="H7:W7"/>
    <mergeCell ref="H8:O8"/>
    <mergeCell ref="P8:W8"/>
    <mergeCell ref="X8:AE8"/>
    <mergeCell ref="AF8:AM8"/>
    <mergeCell ref="H9:AM9"/>
  </mergeCells>
  <phoneticPr fontId="6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36"/>
  <sheetViews>
    <sheetView tabSelected="1" zoomScaleNormal="100" workbookViewId="0">
      <pane xSplit="39" ySplit="22" topLeftCell="AN23" activePane="bottomRight" state="frozen"/>
      <selection activeCell="V54" sqref="V54"/>
      <selection pane="topRight" activeCell="V54" sqref="V54"/>
      <selection pane="bottomLeft" activeCell="V54" sqref="V54"/>
      <selection pane="bottomRight" activeCell="M42" sqref="M42"/>
    </sheetView>
  </sheetViews>
  <sheetFormatPr defaultRowHeight="14.2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  <col min="40" max="40" width="14" customWidth="1"/>
  </cols>
  <sheetData>
    <row r="1" spans="1:40" ht="15" thickBot="1"/>
    <row r="2" spans="1:40" ht="15" thickBot="1">
      <c r="B2" s="8" t="s">
        <v>84</v>
      </c>
      <c r="C2" s="8" t="s">
        <v>85</v>
      </c>
      <c r="D2" s="9" t="s">
        <v>86</v>
      </c>
      <c r="E2" s="9" t="s">
        <v>87</v>
      </c>
      <c r="F2" s="7" t="s">
        <v>88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40" ht="16.5" customHeight="1">
      <c r="A3" s="12">
        <v>0</v>
      </c>
      <c r="B3" s="150" t="s">
        <v>108</v>
      </c>
      <c r="C3" s="155" t="s">
        <v>109</v>
      </c>
      <c r="D3" s="44" t="str">
        <f>DEC2HEX(A3*4, 3)</f>
        <v>000</v>
      </c>
      <c r="E3" s="167" t="s">
        <v>0</v>
      </c>
      <c r="F3" s="45" t="s">
        <v>6</v>
      </c>
      <c r="G3" s="37"/>
      <c r="H3" s="206" t="s">
        <v>110</v>
      </c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8"/>
    </row>
    <row r="4" spans="1:40">
      <c r="A4" s="12">
        <v>1</v>
      </c>
      <c r="B4" s="151"/>
      <c r="C4" s="165"/>
      <c r="D4" s="12" t="str">
        <f>DEC2HEX(A4*4, 3)</f>
        <v>004</v>
      </c>
      <c r="E4" s="168"/>
      <c r="F4" s="2" t="s">
        <v>6</v>
      </c>
      <c r="H4" s="209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1"/>
    </row>
    <row r="5" spans="1:40">
      <c r="A5" s="12">
        <v>2</v>
      </c>
      <c r="B5" s="151"/>
      <c r="C5" s="165"/>
      <c r="D5" s="12" t="str">
        <f t="shared" ref="D5:D22" si="1">DEC2HEX(A5*4, 3)</f>
        <v>008</v>
      </c>
      <c r="E5" s="168"/>
      <c r="F5" s="2" t="s">
        <v>6</v>
      </c>
      <c r="H5" s="209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1"/>
    </row>
    <row r="6" spans="1:40">
      <c r="A6" s="12">
        <v>3</v>
      </c>
      <c r="B6" s="151"/>
      <c r="C6" s="165"/>
      <c r="D6" s="12" t="str">
        <f t="shared" si="1"/>
        <v>00C</v>
      </c>
      <c r="E6" s="168"/>
      <c r="F6" s="2" t="s">
        <v>6</v>
      </c>
      <c r="H6" s="209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1"/>
    </row>
    <row r="7" spans="1:40">
      <c r="A7" s="12">
        <v>4</v>
      </c>
      <c r="B7" s="151"/>
      <c r="C7" s="165"/>
      <c r="D7" s="12" t="str">
        <f t="shared" si="1"/>
        <v>010</v>
      </c>
      <c r="E7" s="14" t="s">
        <v>106</v>
      </c>
      <c r="F7" s="2" t="s">
        <v>6</v>
      </c>
      <c r="H7" s="169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53" t="s">
        <v>54</v>
      </c>
      <c r="Y7" s="153"/>
      <c r="Z7" s="153"/>
      <c r="AA7" s="153"/>
      <c r="AB7" s="153"/>
      <c r="AC7" s="153"/>
      <c r="AD7" s="153"/>
      <c r="AE7" s="153"/>
      <c r="AF7" s="153" t="s">
        <v>55</v>
      </c>
      <c r="AG7" s="153"/>
      <c r="AH7" s="153"/>
      <c r="AI7" s="153"/>
      <c r="AJ7" s="153"/>
      <c r="AK7" s="153"/>
      <c r="AL7" s="153"/>
      <c r="AM7" s="154"/>
    </row>
    <row r="8" spans="1:40">
      <c r="A8" s="12">
        <v>5</v>
      </c>
      <c r="B8" s="151"/>
      <c r="C8" s="165"/>
      <c r="D8" s="12" t="str">
        <f t="shared" si="1"/>
        <v>014</v>
      </c>
      <c r="E8" s="14" t="s">
        <v>107</v>
      </c>
      <c r="F8" s="2" t="s">
        <v>6</v>
      </c>
      <c r="H8" s="169"/>
      <c r="I8" s="170"/>
      <c r="J8" s="170"/>
      <c r="K8" s="170"/>
      <c r="L8" s="170"/>
      <c r="M8" s="170"/>
      <c r="N8" s="170"/>
      <c r="O8" s="170"/>
      <c r="P8" s="153" t="s">
        <v>56</v>
      </c>
      <c r="Q8" s="153"/>
      <c r="R8" s="153"/>
      <c r="S8" s="153"/>
      <c r="T8" s="153"/>
      <c r="U8" s="153"/>
      <c r="V8" s="153"/>
      <c r="W8" s="153"/>
      <c r="X8" s="153" t="s">
        <v>76</v>
      </c>
      <c r="Y8" s="153"/>
      <c r="Z8" s="153"/>
      <c r="AA8" s="153"/>
      <c r="AB8" s="153"/>
      <c r="AC8" s="153"/>
      <c r="AD8" s="153"/>
      <c r="AE8" s="153"/>
      <c r="AF8" s="153" t="s">
        <v>57</v>
      </c>
      <c r="AG8" s="153"/>
      <c r="AH8" s="153"/>
      <c r="AI8" s="153"/>
      <c r="AJ8" s="153"/>
      <c r="AK8" s="153"/>
      <c r="AL8" s="153"/>
      <c r="AM8" s="154"/>
    </row>
    <row r="9" spans="1:40" ht="16.5">
      <c r="A9" s="12">
        <v>6</v>
      </c>
      <c r="B9" s="151"/>
      <c r="C9" s="165"/>
      <c r="D9" s="12" t="str">
        <f t="shared" si="1"/>
        <v>018</v>
      </c>
      <c r="E9" s="51" t="s">
        <v>105</v>
      </c>
      <c r="F9" s="2" t="s">
        <v>4</v>
      </c>
      <c r="H9" s="169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212"/>
    </row>
    <row r="10" spans="1:40" ht="16.5">
      <c r="A10" s="12">
        <v>7</v>
      </c>
      <c r="B10" s="151"/>
      <c r="C10" s="165"/>
      <c r="D10" s="12" t="str">
        <f t="shared" si="1"/>
        <v>01C</v>
      </c>
      <c r="E10" s="120" t="s">
        <v>484</v>
      </c>
      <c r="F10" s="53" t="s">
        <v>6</v>
      </c>
      <c r="H10" s="181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39" t="s">
        <v>485</v>
      </c>
    </row>
    <row r="11" spans="1:40">
      <c r="A11" s="12">
        <v>8</v>
      </c>
      <c r="B11" s="151"/>
      <c r="C11" s="165"/>
      <c r="D11" s="12" t="str">
        <f t="shared" si="1"/>
        <v>020</v>
      </c>
      <c r="E11" s="14" t="s">
        <v>112</v>
      </c>
      <c r="F11" s="2" t="s">
        <v>6</v>
      </c>
      <c r="H11" s="181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90"/>
      <c r="AM11" s="49" t="s">
        <v>114</v>
      </c>
      <c r="AN11" s="12"/>
    </row>
    <row r="12" spans="1:40" ht="16.5">
      <c r="A12" s="12">
        <v>9</v>
      </c>
      <c r="B12" s="151"/>
      <c r="C12" s="165"/>
      <c r="D12" s="12" t="str">
        <f t="shared" si="1"/>
        <v>024</v>
      </c>
      <c r="E12" s="14" t="s">
        <v>111</v>
      </c>
      <c r="F12" s="97" t="s">
        <v>4</v>
      </c>
      <c r="H12" s="181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90"/>
      <c r="AJ12" s="191" t="s">
        <v>342</v>
      </c>
      <c r="AK12" s="192"/>
      <c r="AL12" s="192"/>
      <c r="AM12" s="193"/>
    </row>
    <row r="13" spans="1:40" ht="16.5">
      <c r="A13" s="12">
        <v>10</v>
      </c>
      <c r="B13" s="151"/>
      <c r="C13" s="165"/>
      <c r="D13" s="12" t="str">
        <f t="shared" si="1"/>
        <v>028</v>
      </c>
      <c r="E13" s="14" t="s">
        <v>113</v>
      </c>
      <c r="F13" s="97" t="s">
        <v>6</v>
      </c>
      <c r="H13" s="181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90"/>
      <c r="AF13" s="191" t="s">
        <v>343</v>
      </c>
      <c r="AG13" s="192"/>
      <c r="AH13" s="192"/>
      <c r="AI13" s="192"/>
      <c r="AJ13" s="192"/>
      <c r="AK13" s="192"/>
      <c r="AL13" s="192"/>
      <c r="AM13" s="193"/>
    </row>
    <row r="14" spans="1:40" ht="15" thickBot="1">
      <c r="A14" s="12">
        <v>11</v>
      </c>
      <c r="B14" s="151"/>
      <c r="C14" s="165"/>
      <c r="D14" s="12" t="str">
        <f t="shared" si="1"/>
        <v>02C</v>
      </c>
      <c r="E14" s="131" t="s">
        <v>447</v>
      </c>
      <c r="F14" s="132" t="s">
        <v>6</v>
      </c>
      <c r="H14" s="112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96" t="s">
        <v>448</v>
      </c>
      <c r="AG14" s="197"/>
      <c r="AH14" s="197"/>
      <c r="AI14" s="197"/>
      <c r="AJ14" s="197"/>
      <c r="AK14" s="197"/>
      <c r="AL14" s="197"/>
      <c r="AM14" s="198"/>
    </row>
    <row r="15" spans="1:40" ht="16.5">
      <c r="A15" s="12">
        <v>12</v>
      </c>
      <c r="B15" s="151"/>
      <c r="C15" s="165"/>
      <c r="D15" s="12" t="str">
        <f t="shared" si="1"/>
        <v>030</v>
      </c>
      <c r="E15" s="51" t="s">
        <v>372</v>
      </c>
      <c r="F15" s="97" t="s">
        <v>4</v>
      </c>
      <c r="H15" s="181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14" t="s">
        <v>482</v>
      </c>
      <c r="AF15" s="199"/>
      <c r="AG15" s="200"/>
      <c r="AH15" s="200"/>
      <c r="AI15" s="200"/>
      <c r="AJ15" s="200"/>
      <c r="AK15" s="200"/>
      <c r="AL15" s="200"/>
      <c r="AM15" s="111" t="s">
        <v>481</v>
      </c>
    </row>
    <row r="16" spans="1:40" ht="16.5">
      <c r="A16" s="12">
        <v>13</v>
      </c>
      <c r="B16" s="151"/>
      <c r="C16" s="165"/>
      <c r="D16" s="12" t="str">
        <f t="shared" si="1"/>
        <v>034</v>
      </c>
      <c r="E16" s="51"/>
      <c r="F16" s="97"/>
      <c r="H16" s="112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4"/>
      <c r="AE16" s="110"/>
      <c r="AF16" s="113"/>
      <c r="AG16" s="113"/>
      <c r="AH16" s="113"/>
      <c r="AI16" s="113"/>
      <c r="AJ16" s="113"/>
      <c r="AK16" s="113"/>
      <c r="AL16" s="114"/>
      <c r="AM16" s="111"/>
    </row>
    <row r="17" spans="1:39" ht="16.5">
      <c r="A17" s="12">
        <v>14</v>
      </c>
      <c r="B17" s="151"/>
      <c r="C17" s="165"/>
      <c r="D17" s="12" t="str">
        <f t="shared" si="1"/>
        <v>038</v>
      </c>
      <c r="E17" s="51"/>
      <c r="F17" s="97"/>
      <c r="H17" s="112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4"/>
      <c r="AE17" s="110"/>
      <c r="AF17" s="113"/>
      <c r="AG17" s="113"/>
      <c r="AH17" s="113"/>
      <c r="AI17" s="113"/>
      <c r="AJ17" s="113"/>
      <c r="AK17" s="113"/>
      <c r="AL17" s="114"/>
      <c r="AM17" s="111"/>
    </row>
    <row r="18" spans="1:39" ht="16.5">
      <c r="A18" s="12">
        <v>15</v>
      </c>
      <c r="B18" s="151"/>
      <c r="C18" s="165"/>
      <c r="D18" s="12" t="str">
        <f t="shared" si="1"/>
        <v>03C</v>
      </c>
      <c r="E18" s="51"/>
      <c r="F18" s="97"/>
      <c r="H18" s="112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4"/>
      <c r="AE18" s="110"/>
      <c r="AF18" s="113"/>
      <c r="AG18" s="113"/>
      <c r="AH18" s="113"/>
      <c r="AI18" s="113"/>
      <c r="AJ18" s="113"/>
      <c r="AK18" s="113"/>
      <c r="AL18" s="114"/>
      <c r="AM18" s="111"/>
    </row>
    <row r="19" spans="1:39" ht="16.5">
      <c r="A19" s="12">
        <v>16</v>
      </c>
      <c r="B19" s="151"/>
      <c r="C19" s="165"/>
      <c r="D19" s="12" t="str">
        <f t="shared" si="1"/>
        <v>040</v>
      </c>
      <c r="E19" s="218" t="s">
        <v>367</v>
      </c>
      <c r="F19" s="97" t="s">
        <v>6</v>
      </c>
      <c r="H19" s="195" t="s">
        <v>364</v>
      </c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3"/>
      <c r="X19" s="194" t="s">
        <v>363</v>
      </c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3"/>
    </row>
    <row r="20" spans="1:39" ht="16.5">
      <c r="A20" s="12">
        <v>17</v>
      </c>
      <c r="B20" s="151"/>
      <c r="C20" s="165"/>
      <c r="D20" s="12" t="str">
        <f t="shared" si="1"/>
        <v>044</v>
      </c>
      <c r="E20" s="165"/>
      <c r="F20" s="97" t="s">
        <v>6</v>
      </c>
      <c r="H20" s="195" t="s">
        <v>366</v>
      </c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3"/>
      <c r="X20" s="194" t="s">
        <v>365</v>
      </c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3"/>
    </row>
    <row r="21" spans="1:39" ht="16.5">
      <c r="A21" s="12">
        <v>18</v>
      </c>
      <c r="B21" s="151"/>
      <c r="C21" s="165"/>
      <c r="D21" s="12" t="str">
        <f t="shared" si="1"/>
        <v>048</v>
      </c>
      <c r="E21" s="165"/>
      <c r="F21" s="97" t="s">
        <v>6</v>
      </c>
      <c r="H21" s="195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3"/>
      <c r="X21" s="194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3"/>
    </row>
    <row r="22" spans="1:39" ht="17.25" thickBot="1">
      <c r="A22" s="12">
        <v>19</v>
      </c>
      <c r="B22" s="152"/>
      <c r="C22" s="166"/>
      <c r="D22" s="43" t="str">
        <f t="shared" si="1"/>
        <v>04C</v>
      </c>
      <c r="E22" s="166"/>
      <c r="F22" s="119" t="s">
        <v>6</v>
      </c>
      <c r="H22" s="228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7"/>
      <c r="X22" s="225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7"/>
    </row>
    <row r="23" spans="1:39" ht="15" thickBot="1"/>
    <row r="24" spans="1:39" ht="17.25" thickBot="1">
      <c r="I24" s="213" t="s">
        <v>486</v>
      </c>
      <c r="J24" s="214"/>
      <c r="K24" s="214"/>
      <c r="L24" s="214"/>
      <c r="M24" s="214"/>
      <c r="N24" s="214"/>
      <c r="O24" s="214"/>
      <c r="P24" s="214"/>
      <c r="Q24" s="215"/>
      <c r="S24" s="219" t="s">
        <v>235</v>
      </c>
      <c r="T24" s="220"/>
      <c r="U24" s="220"/>
      <c r="V24" s="220"/>
      <c r="W24" s="220"/>
      <c r="X24" s="220"/>
      <c r="Y24" s="220"/>
      <c r="Z24" s="220"/>
      <c r="AA24" s="221"/>
    </row>
    <row r="25" spans="1:39" ht="17.25" thickBot="1">
      <c r="I25" s="216" t="s">
        <v>487</v>
      </c>
      <c r="J25" s="217"/>
      <c r="K25" s="204" t="s">
        <v>488</v>
      </c>
      <c r="L25" s="204"/>
      <c r="M25" s="204"/>
      <c r="N25" s="204"/>
      <c r="O25" s="204"/>
      <c r="P25" s="204"/>
      <c r="Q25" s="205"/>
      <c r="R25" s="121"/>
      <c r="S25" s="222" t="s">
        <v>114</v>
      </c>
      <c r="T25" s="223"/>
      <c r="U25" s="201" t="s">
        <v>236</v>
      </c>
      <c r="V25" s="202"/>
      <c r="W25" s="202"/>
      <c r="X25" s="202"/>
      <c r="Y25" s="202"/>
      <c r="Z25" s="202"/>
      <c r="AA25" s="203"/>
    </row>
    <row r="26" spans="1:39" ht="15" thickBot="1"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216"/>
      <c r="T26" s="224"/>
      <c r="U26" s="204"/>
      <c r="V26" s="204"/>
      <c r="W26" s="204"/>
      <c r="X26" s="204"/>
      <c r="Y26" s="204"/>
      <c r="Z26" s="204"/>
      <c r="AA26" s="205"/>
    </row>
    <row r="27" spans="1:39" ht="15" thickBot="1"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</row>
    <row r="28" spans="1:39" ht="17.25" customHeight="1" thickBot="1">
      <c r="I28" s="183" t="s">
        <v>370</v>
      </c>
      <c r="J28" s="184"/>
      <c r="K28" s="184"/>
      <c r="L28" s="184"/>
      <c r="M28" s="184"/>
      <c r="N28" s="184"/>
      <c r="O28" s="184"/>
      <c r="P28" s="184"/>
      <c r="Q28" s="185"/>
      <c r="R28" s="121"/>
      <c r="S28" s="183" t="s">
        <v>371</v>
      </c>
      <c r="T28" s="184"/>
      <c r="U28" s="184"/>
      <c r="V28" s="184"/>
      <c r="W28" s="184"/>
      <c r="X28" s="184"/>
      <c r="Y28" s="184"/>
      <c r="Z28" s="184"/>
      <c r="AA28" s="185"/>
    </row>
    <row r="29" spans="1:39" ht="16.5" customHeight="1" thickBot="1">
      <c r="I29" s="216" t="s">
        <v>345</v>
      </c>
      <c r="J29" s="217"/>
      <c r="K29" s="204" t="s">
        <v>346</v>
      </c>
      <c r="L29" s="204"/>
      <c r="M29" s="204"/>
      <c r="N29" s="204"/>
      <c r="O29" s="204"/>
      <c r="P29" s="204"/>
      <c r="Q29" s="205"/>
      <c r="R29" s="121"/>
      <c r="S29" s="216" t="s">
        <v>111</v>
      </c>
      <c r="T29" s="217"/>
      <c r="U29" s="204" t="s">
        <v>344</v>
      </c>
      <c r="V29" s="204"/>
      <c r="W29" s="204"/>
      <c r="X29" s="204"/>
      <c r="Y29" s="204"/>
      <c r="Z29" s="204"/>
      <c r="AA29" s="205"/>
    </row>
    <row r="30" spans="1:39" ht="15" thickBot="1"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1:39" ht="17.25" thickBot="1">
      <c r="I31" s="183" t="s">
        <v>449</v>
      </c>
      <c r="J31" s="184"/>
      <c r="K31" s="184"/>
      <c r="L31" s="184"/>
      <c r="M31" s="184"/>
      <c r="N31" s="184"/>
      <c r="O31" s="184"/>
      <c r="P31" s="184"/>
      <c r="Q31" s="185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1:39" ht="17.25" thickBot="1">
      <c r="I32" s="186" t="s">
        <v>483</v>
      </c>
      <c r="J32" s="187"/>
      <c r="K32" s="188" t="s">
        <v>272</v>
      </c>
      <c r="L32" s="188"/>
      <c r="M32" s="188"/>
      <c r="N32" s="188"/>
      <c r="O32" s="188"/>
      <c r="P32" s="188"/>
      <c r="Q32" s="189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9:17" ht="17.25" thickBot="1">
      <c r="I33" s="186" t="s">
        <v>480</v>
      </c>
      <c r="J33" s="187"/>
      <c r="K33" s="188" t="s">
        <v>272</v>
      </c>
      <c r="L33" s="188"/>
      <c r="M33" s="188"/>
      <c r="N33" s="188"/>
      <c r="O33" s="188"/>
      <c r="P33" s="188"/>
      <c r="Q33" s="189"/>
    </row>
    <row r="34" spans="9:17" ht="15" thickBot="1"/>
    <row r="35" spans="9:17" ht="17.25" thickBot="1">
      <c r="I35" s="183" t="s">
        <v>490</v>
      </c>
      <c r="J35" s="184"/>
      <c r="K35" s="184"/>
      <c r="L35" s="184"/>
      <c r="M35" s="184"/>
      <c r="N35" s="184"/>
      <c r="O35" s="184"/>
      <c r="P35" s="184"/>
      <c r="Q35" s="185"/>
    </row>
    <row r="36" spans="9:17" ht="17.25" thickBot="1">
      <c r="I36" s="186" t="s">
        <v>368</v>
      </c>
      <c r="J36" s="187"/>
      <c r="K36" s="188" t="s">
        <v>369</v>
      </c>
      <c r="L36" s="188"/>
      <c r="M36" s="188"/>
      <c r="N36" s="188"/>
      <c r="O36" s="188"/>
      <c r="P36" s="188"/>
      <c r="Q36" s="189"/>
    </row>
  </sheetData>
  <mergeCells count="50">
    <mergeCell ref="E19:E22"/>
    <mergeCell ref="B3:B22"/>
    <mergeCell ref="C3:C22"/>
    <mergeCell ref="H8:O8"/>
    <mergeCell ref="P8:W8"/>
    <mergeCell ref="H20:W20"/>
    <mergeCell ref="H21:W21"/>
    <mergeCell ref="H22:W22"/>
    <mergeCell ref="K25:Q25"/>
    <mergeCell ref="AJ12:AM12"/>
    <mergeCell ref="I35:Q35"/>
    <mergeCell ref="I36:J36"/>
    <mergeCell ref="K36:Q36"/>
    <mergeCell ref="U29:AA29"/>
    <mergeCell ref="I28:Q28"/>
    <mergeCell ref="I29:J29"/>
    <mergeCell ref="K29:Q29"/>
    <mergeCell ref="S24:AA24"/>
    <mergeCell ref="S25:T26"/>
    <mergeCell ref="S29:T29"/>
    <mergeCell ref="S28:AA28"/>
    <mergeCell ref="X22:AM22"/>
    <mergeCell ref="X20:AM20"/>
    <mergeCell ref="X21:AM21"/>
    <mergeCell ref="X8:AE8"/>
    <mergeCell ref="AF8:AM8"/>
    <mergeCell ref="H9:AM9"/>
    <mergeCell ref="H11:AL11"/>
    <mergeCell ref="I24:Q24"/>
    <mergeCell ref="AF7:AM7"/>
    <mergeCell ref="E3:E6"/>
    <mergeCell ref="H3:AM6"/>
    <mergeCell ref="H7:W7"/>
    <mergeCell ref="X7:AE7"/>
    <mergeCell ref="H10:AL10"/>
    <mergeCell ref="I31:Q31"/>
    <mergeCell ref="I32:J32"/>
    <mergeCell ref="K32:Q32"/>
    <mergeCell ref="I33:J33"/>
    <mergeCell ref="K33:Q33"/>
    <mergeCell ref="H12:AI12"/>
    <mergeCell ref="H13:AE13"/>
    <mergeCell ref="AF13:AM13"/>
    <mergeCell ref="X19:AM19"/>
    <mergeCell ref="H19:W19"/>
    <mergeCell ref="AF14:AM14"/>
    <mergeCell ref="H15:AD15"/>
    <mergeCell ref="AF15:AL15"/>
    <mergeCell ref="U25:AA26"/>
    <mergeCell ref="I25:J25"/>
  </mergeCells>
  <phoneticPr fontId="6" type="noConversion"/>
  <pageMargins left="0.7" right="0.7" top="0.75" bottom="0.75" header="0.3" footer="0.3"/>
  <pageSetup paperSize="9" orientation="portrait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A592-9BCE-4056-9955-5A35900FF0AD}">
  <dimension ref="A1:AM27"/>
  <sheetViews>
    <sheetView zoomScaleNormal="100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O43" sqref="O43"/>
    </sheetView>
  </sheetViews>
  <sheetFormatPr defaultRowHeight="14.25"/>
  <cols>
    <col min="1" max="1" width="3.75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5" thickBot="1">
      <c r="H1" s="229">
        <v>3</v>
      </c>
      <c r="I1" s="229"/>
      <c r="J1" s="229"/>
      <c r="K1" s="229"/>
      <c r="L1" s="229"/>
      <c r="M1" s="229"/>
      <c r="N1" s="229"/>
      <c r="O1" s="229"/>
      <c r="P1" s="229">
        <v>2</v>
      </c>
      <c r="Q1" s="229"/>
      <c r="R1" s="229"/>
      <c r="S1" s="229"/>
      <c r="T1" s="229"/>
      <c r="U1" s="229"/>
      <c r="V1" s="229"/>
      <c r="W1" s="229"/>
      <c r="X1" s="229">
        <v>1</v>
      </c>
      <c r="Y1" s="229"/>
      <c r="Z1" s="229"/>
      <c r="AA1" s="229"/>
      <c r="AB1" s="229"/>
      <c r="AC1" s="229"/>
      <c r="AD1" s="229"/>
      <c r="AE1" s="229"/>
      <c r="AF1" s="229">
        <v>0</v>
      </c>
      <c r="AG1" s="229"/>
      <c r="AH1" s="229"/>
      <c r="AI1" s="229"/>
      <c r="AJ1" s="229"/>
      <c r="AK1" s="229"/>
      <c r="AL1" s="229"/>
      <c r="AM1" s="229"/>
    </row>
    <row r="2" spans="1:39" ht="1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230" t="s">
        <v>95</v>
      </c>
      <c r="C3" s="233" t="s">
        <v>115</v>
      </c>
      <c r="D3" s="44" t="str">
        <f>DEC2HEX(A3*4, 3)</f>
        <v>000</v>
      </c>
      <c r="E3" s="167" t="s">
        <v>0</v>
      </c>
      <c r="F3" s="45" t="s">
        <v>6</v>
      </c>
      <c r="G3" s="37"/>
      <c r="H3" s="206" t="s">
        <v>94</v>
      </c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8"/>
    </row>
    <row r="4" spans="1:39">
      <c r="A4" s="12">
        <v>1</v>
      </c>
      <c r="B4" s="231"/>
      <c r="C4" s="234"/>
      <c r="D4" s="12" t="str">
        <f>DEC2HEX(A4*4, 3)</f>
        <v>004</v>
      </c>
      <c r="E4" s="168"/>
      <c r="F4" s="2" t="s">
        <v>6</v>
      </c>
      <c r="H4" s="209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1"/>
    </row>
    <row r="5" spans="1:39">
      <c r="A5" s="12">
        <v>2</v>
      </c>
      <c r="B5" s="231"/>
      <c r="C5" s="234"/>
      <c r="D5" s="12" t="str">
        <f t="shared" ref="D5:D14" si="1">DEC2HEX(A5*4, 3)</f>
        <v>008</v>
      </c>
      <c r="E5" s="168"/>
      <c r="F5" s="2" t="s">
        <v>6</v>
      </c>
      <c r="H5" s="209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1"/>
    </row>
    <row r="6" spans="1:39">
      <c r="A6" s="12">
        <v>3</v>
      </c>
      <c r="B6" s="231"/>
      <c r="C6" s="234"/>
      <c r="D6" s="12" t="str">
        <f t="shared" si="1"/>
        <v>00C</v>
      </c>
      <c r="E6" s="168"/>
      <c r="F6" s="2" t="s">
        <v>6</v>
      </c>
      <c r="H6" s="209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1"/>
    </row>
    <row r="7" spans="1:39">
      <c r="A7" s="12">
        <v>4</v>
      </c>
      <c r="B7" s="231"/>
      <c r="C7" s="234"/>
      <c r="D7" s="12" t="str">
        <f t="shared" si="1"/>
        <v>010</v>
      </c>
      <c r="E7" s="14" t="s">
        <v>106</v>
      </c>
      <c r="F7" s="2" t="s">
        <v>6</v>
      </c>
      <c r="H7" s="169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53" t="s">
        <v>54</v>
      </c>
      <c r="Y7" s="153"/>
      <c r="Z7" s="153"/>
      <c r="AA7" s="153"/>
      <c r="AB7" s="153"/>
      <c r="AC7" s="153"/>
      <c r="AD7" s="153"/>
      <c r="AE7" s="153"/>
      <c r="AF7" s="153" t="s">
        <v>55</v>
      </c>
      <c r="AG7" s="153"/>
      <c r="AH7" s="153"/>
      <c r="AI7" s="153"/>
      <c r="AJ7" s="153"/>
      <c r="AK7" s="153"/>
      <c r="AL7" s="153"/>
      <c r="AM7" s="154"/>
    </row>
    <row r="8" spans="1:39">
      <c r="A8" s="12">
        <v>5</v>
      </c>
      <c r="B8" s="231"/>
      <c r="C8" s="234"/>
      <c r="D8" s="12" t="str">
        <f t="shared" si="1"/>
        <v>014</v>
      </c>
      <c r="E8" s="14" t="s">
        <v>107</v>
      </c>
      <c r="F8" s="2" t="s">
        <v>6</v>
      </c>
      <c r="H8" s="169"/>
      <c r="I8" s="170"/>
      <c r="J8" s="170"/>
      <c r="K8" s="170"/>
      <c r="L8" s="170"/>
      <c r="M8" s="170"/>
      <c r="N8" s="170"/>
      <c r="O8" s="170"/>
      <c r="P8" s="153" t="s">
        <v>56</v>
      </c>
      <c r="Q8" s="153"/>
      <c r="R8" s="153"/>
      <c r="S8" s="153"/>
      <c r="T8" s="153"/>
      <c r="U8" s="153"/>
      <c r="V8" s="153"/>
      <c r="W8" s="153"/>
      <c r="X8" s="153" t="s">
        <v>76</v>
      </c>
      <c r="Y8" s="153"/>
      <c r="Z8" s="153"/>
      <c r="AA8" s="153"/>
      <c r="AB8" s="153"/>
      <c r="AC8" s="153"/>
      <c r="AD8" s="153"/>
      <c r="AE8" s="153"/>
      <c r="AF8" s="153" t="s">
        <v>57</v>
      </c>
      <c r="AG8" s="153"/>
      <c r="AH8" s="153"/>
      <c r="AI8" s="153"/>
      <c r="AJ8" s="153"/>
      <c r="AK8" s="153"/>
      <c r="AL8" s="153"/>
      <c r="AM8" s="154"/>
    </row>
    <row r="9" spans="1:39" ht="16.5">
      <c r="A9" s="12">
        <v>6</v>
      </c>
      <c r="B9" s="231"/>
      <c r="C9" s="234"/>
      <c r="D9" s="12" t="str">
        <f t="shared" si="1"/>
        <v>018</v>
      </c>
      <c r="E9" s="51" t="s">
        <v>105</v>
      </c>
      <c r="F9" s="2" t="s">
        <v>4</v>
      </c>
      <c r="H9" s="169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212"/>
    </row>
    <row r="10" spans="1:39" ht="16.5">
      <c r="A10" s="12">
        <v>7</v>
      </c>
      <c r="B10" s="231"/>
      <c r="C10" s="234"/>
      <c r="D10" s="12" t="str">
        <f t="shared" si="1"/>
        <v>01C</v>
      </c>
      <c r="E10" s="51" t="s">
        <v>105</v>
      </c>
      <c r="F10" s="2" t="s">
        <v>4</v>
      </c>
      <c r="H10" s="169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212"/>
    </row>
    <row r="11" spans="1:39" ht="16.5">
      <c r="A11" s="12">
        <v>8</v>
      </c>
      <c r="B11" s="231"/>
      <c r="C11" s="234"/>
      <c r="D11" s="12" t="str">
        <f t="shared" si="1"/>
        <v>020</v>
      </c>
      <c r="E11" s="14" t="s">
        <v>89</v>
      </c>
      <c r="F11" s="2" t="s">
        <v>4</v>
      </c>
      <c r="H11" s="57" t="s">
        <v>78</v>
      </c>
      <c r="I11" s="170"/>
      <c r="J11" s="170"/>
      <c r="K11" s="170"/>
      <c r="L11" s="170"/>
      <c r="M11" s="170"/>
      <c r="N11" s="55" t="s">
        <v>34</v>
      </c>
      <c r="O11" s="55" t="s">
        <v>35</v>
      </c>
      <c r="P11" s="55" t="s">
        <v>36</v>
      </c>
      <c r="Q11" s="55" t="s">
        <v>37</v>
      </c>
      <c r="R11" s="55" t="s">
        <v>38</v>
      </c>
      <c r="S11" s="55" t="s">
        <v>39</v>
      </c>
      <c r="T11" s="170"/>
      <c r="U11" s="170"/>
      <c r="V11" s="55" t="s">
        <v>40</v>
      </c>
      <c r="W11" s="55" t="s">
        <v>41</v>
      </c>
      <c r="X11" s="153" t="s">
        <v>197</v>
      </c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4"/>
    </row>
    <row r="12" spans="1:39">
      <c r="A12" s="12">
        <v>9</v>
      </c>
      <c r="B12" s="231"/>
      <c r="C12" s="234"/>
      <c r="D12" s="12" t="str">
        <f t="shared" si="1"/>
        <v>024</v>
      </c>
      <c r="E12" s="14"/>
      <c r="F12" s="2"/>
      <c r="H12" s="169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212"/>
    </row>
    <row r="13" spans="1:39" ht="16.5" customHeight="1">
      <c r="A13" s="12">
        <v>10</v>
      </c>
      <c r="B13" s="231"/>
      <c r="C13" s="234"/>
      <c r="D13" s="12" t="str">
        <f t="shared" si="1"/>
        <v>028</v>
      </c>
      <c r="E13" s="14"/>
      <c r="F13" s="2"/>
      <c r="H13" s="169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212"/>
    </row>
    <row r="14" spans="1:39">
      <c r="A14" s="12">
        <v>11</v>
      </c>
      <c r="B14" s="231"/>
      <c r="C14" s="234"/>
      <c r="D14" s="12" t="str">
        <f t="shared" si="1"/>
        <v>02C</v>
      </c>
      <c r="E14" s="13"/>
      <c r="F14" s="2"/>
      <c r="H14" s="169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212"/>
    </row>
    <row r="15" spans="1:39" ht="17.25" thickBot="1">
      <c r="A15" s="12">
        <v>12</v>
      </c>
      <c r="B15" s="232"/>
      <c r="C15" s="235"/>
      <c r="D15" s="43" t="str">
        <f>DEC2HEX(A15*4, 3)</f>
        <v>030</v>
      </c>
      <c r="E15" s="42" t="s">
        <v>90</v>
      </c>
      <c r="F15" s="54" t="s">
        <v>6</v>
      </c>
      <c r="G15" s="48"/>
      <c r="H15" s="236"/>
      <c r="I15" s="237"/>
      <c r="J15" s="237"/>
      <c r="K15" s="237"/>
      <c r="L15" s="237"/>
      <c r="M15" s="237"/>
      <c r="N15" s="237"/>
      <c r="O15" s="50" t="s">
        <v>97</v>
      </c>
      <c r="P15" s="50" t="s">
        <v>98</v>
      </c>
      <c r="Q15" s="50" t="s">
        <v>99</v>
      </c>
      <c r="R15" s="50" t="s">
        <v>100</v>
      </c>
      <c r="S15" s="50" t="s">
        <v>101</v>
      </c>
      <c r="T15" s="237"/>
      <c r="U15" s="237"/>
      <c r="V15" s="50" t="s">
        <v>102</v>
      </c>
      <c r="W15" s="50" t="s">
        <v>103</v>
      </c>
      <c r="X15" s="237"/>
      <c r="Y15" s="237"/>
      <c r="Z15" s="237"/>
      <c r="AA15" s="237"/>
      <c r="AB15" s="237"/>
      <c r="AC15" s="237"/>
      <c r="AD15" s="237"/>
      <c r="AE15" s="237"/>
      <c r="AF15" s="58" t="s">
        <v>92</v>
      </c>
      <c r="AG15" s="58" t="s">
        <v>42</v>
      </c>
      <c r="AH15" s="58" t="s">
        <v>58</v>
      </c>
      <c r="AI15" s="58" t="s">
        <v>59</v>
      </c>
      <c r="AJ15" s="58" t="s">
        <v>43</v>
      </c>
      <c r="AK15" s="58"/>
      <c r="AL15" s="58"/>
      <c r="AM15" s="59" t="s">
        <v>60</v>
      </c>
    </row>
    <row r="16" spans="1:39" ht="15" thickBot="1">
      <c r="A16" s="12"/>
      <c r="B16"/>
    </row>
    <row r="17" spans="9:36" ht="17.25" thickBot="1">
      <c r="I17" s="213" t="s">
        <v>214</v>
      </c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5"/>
    </row>
    <row r="18" spans="9:36" ht="16.5" customHeight="1">
      <c r="I18" s="245" t="s">
        <v>198</v>
      </c>
      <c r="J18" s="246"/>
      <c r="K18" s="248" t="s">
        <v>278</v>
      </c>
      <c r="L18" s="248"/>
      <c r="M18" s="248"/>
      <c r="N18" s="248"/>
      <c r="O18" s="248"/>
      <c r="P18" s="248"/>
      <c r="Q18" s="248"/>
      <c r="R18" s="249"/>
      <c r="T18" s="258" t="s">
        <v>202</v>
      </c>
      <c r="U18" s="259"/>
      <c r="V18" s="259"/>
      <c r="W18" s="240" t="s">
        <v>207</v>
      </c>
      <c r="X18" s="240"/>
      <c r="Y18" s="240"/>
      <c r="Z18" s="240"/>
      <c r="AA18" s="266"/>
      <c r="AC18" s="262" t="s">
        <v>203</v>
      </c>
      <c r="AD18" s="263"/>
      <c r="AE18" s="240" t="s">
        <v>237</v>
      </c>
      <c r="AF18" s="241"/>
      <c r="AG18" s="241"/>
      <c r="AH18" s="241"/>
      <c r="AI18" s="241"/>
      <c r="AJ18" s="242"/>
    </row>
    <row r="19" spans="9:36" ht="16.5" customHeight="1" thickBot="1">
      <c r="I19" s="250" t="s">
        <v>199</v>
      </c>
      <c r="J19" s="251"/>
      <c r="K19" s="253" t="s">
        <v>280</v>
      </c>
      <c r="L19" s="253"/>
      <c r="M19" s="253"/>
      <c r="N19" s="253"/>
      <c r="O19" s="253"/>
      <c r="P19" s="253"/>
      <c r="Q19" s="253"/>
      <c r="R19" s="254"/>
      <c r="T19" s="260" t="s">
        <v>201</v>
      </c>
      <c r="U19" s="261"/>
      <c r="V19" s="261"/>
      <c r="W19" s="267" t="s">
        <v>208</v>
      </c>
      <c r="X19" s="267"/>
      <c r="Y19" s="267"/>
      <c r="Z19" s="267"/>
      <c r="AA19" s="268"/>
      <c r="AC19" s="264"/>
      <c r="AD19" s="265"/>
      <c r="AE19" s="243"/>
      <c r="AF19" s="243"/>
      <c r="AG19" s="243"/>
      <c r="AH19" s="243"/>
      <c r="AI19" s="243"/>
      <c r="AJ19" s="244"/>
    </row>
    <row r="20" spans="9:36" ht="16.5" customHeight="1">
      <c r="I20" s="250" t="s">
        <v>200</v>
      </c>
      <c r="J20" s="251"/>
      <c r="K20" s="269" t="s">
        <v>281</v>
      </c>
      <c r="L20" s="269"/>
      <c r="M20" s="269"/>
      <c r="N20" s="269"/>
      <c r="O20" s="269"/>
      <c r="P20" s="269"/>
      <c r="Q20" s="269"/>
      <c r="R20" s="270"/>
    </row>
    <row r="21" spans="9:36" ht="15" thickBot="1">
      <c r="I21" s="238"/>
      <c r="J21" s="239"/>
      <c r="K21" s="243"/>
      <c r="L21" s="243"/>
      <c r="M21" s="243"/>
      <c r="N21" s="243"/>
      <c r="O21" s="243"/>
      <c r="P21" s="243"/>
      <c r="Q21" s="243"/>
      <c r="R21" s="244"/>
    </row>
    <row r="22" spans="9:36" ht="15" thickBot="1"/>
    <row r="23" spans="9:36" ht="17.25" thickBot="1">
      <c r="I23" s="255" t="s">
        <v>215</v>
      </c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7"/>
    </row>
    <row r="24" spans="9:36" ht="16.5">
      <c r="I24" s="245" t="s">
        <v>204</v>
      </c>
      <c r="J24" s="246"/>
      <c r="K24" s="247" t="s">
        <v>211</v>
      </c>
      <c r="L24" s="248"/>
      <c r="M24" s="248"/>
      <c r="N24" s="248"/>
      <c r="O24" s="248"/>
      <c r="P24" s="249"/>
      <c r="R24" s="245" t="s">
        <v>93</v>
      </c>
      <c r="S24" s="246"/>
      <c r="T24" s="248" t="s">
        <v>282</v>
      </c>
      <c r="U24" s="248"/>
      <c r="V24" s="248"/>
      <c r="W24" s="248"/>
      <c r="X24" s="248"/>
      <c r="Y24" s="249"/>
      <c r="AA24" s="245" t="s">
        <v>64</v>
      </c>
      <c r="AB24" s="246"/>
      <c r="AC24" s="247" t="s">
        <v>277</v>
      </c>
      <c r="AD24" s="248"/>
      <c r="AE24" s="248"/>
      <c r="AF24" s="248"/>
      <c r="AG24" s="248"/>
      <c r="AH24" s="249"/>
    </row>
    <row r="25" spans="9:36" ht="17.25" thickBot="1">
      <c r="I25" s="250" t="s">
        <v>205</v>
      </c>
      <c r="J25" s="251"/>
      <c r="K25" s="252" t="s">
        <v>212</v>
      </c>
      <c r="L25" s="253"/>
      <c r="M25" s="253"/>
      <c r="N25" s="253"/>
      <c r="O25" s="253"/>
      <c r="P25" s="254"/>
      <c r="R25" s="250" t="s">
        <v>61</v>
      </c>
      <c r="S25" s="251"/>
      <c r="T25" s="253" t="s">
        <v>283</v>
      </c>
      <c r="U25" s="253"/>
      <c r="V25" s="253"/>
      <c r="W25" s="253"/>
      <c r="X25" s="253"/>
      <c r="Y25" s="254"/>
      <c r="AA25" s="238" t="s">
        <v>65</v>
      </c>
      <c r="AB25" s="239"/>
      <c r="AC25" s="273" t="s">
        <v>238</v>
      </c>
      <c r="AD25" s="273"/>
      <c r="AE25" s="273"/>
      <c r="AF25" s="273"/>
      <c r="AG25" s="273"/>
      <c r="AH25" s="274"/>
    </row>
    <row r="26" spans="9:36" ht="14.25" customHeight="1" thickBot="1">
      <c r="I26" s="271" t="s">
        <v>206</v>
      </c>
      <c r="J26" s="272"/>
      <c r="K26" s="267" t="s">
        <v>213</v>
      </c>
      <c r="L26" s="243"/>
      <c r="M26" s="243"/>
      <c r="N26" s="243"/>
      <c r="O26" s="243"/>
      <c r="P26" s="244"/>
      <c r="R26" s="250" t="s">
        <v>62</v>
      </c>
      <c r="S26" s="251"/>
      <c r="T26" s="253" t="s">
        <v>209</v>
      </c>
      <c r="U26" s="253"/>
      <c r="V26" s="253"/>
      <c r="W26" s="253"/>
      <c r="X26" s="253"/>
      <c r="Y26" s="254"/>
    </row>
    <row r="27" spans="9:36" ht="17.25" thickBot="1">
      <c r="R27" s="238" t="s">
        <v>63</v>
      </c>
      <c r="S27" s="239"/>
      <c r="T27" s="273" t="s">
        <v>210</v>
      </c>
      <c r="U27" s="273"/>
      <c r="V27" s="273"/>
      <c r="W27" s="273"/>
      <c r="X27" s="273"/>
      <c r="Y27" s="274"/>
    </row>
  </sheetData>
  <mergeCells count="58">
    <mergeCell ref="T27:Y27"/>
    <mergeCell ref="AA24:AB24"/>
    <mergeCell ref="AA25:AB25"/>
    <mergeCell ref="AC24:AH24"/>
    <mergeCell ref="AC25:AH25"/>
    <mergeCell ref="T15:U15"/>
    <mergeCell ref="R24:S24"/>
    <mergeCell ref="R25:S25"/>
    <mergeCell ref="R26:S26"/>
    <mergeCell ref="T26:Y26"/>
    <mergeCell ref="W19:AA19"/>
    <mergeCell ref="K19:R19"/>
    <mergeCell ref="K20:R21"/>
    <mergeCell ref="K18:R18"/>
    <mergeCell ref="I17:AJ17"/>
    <mergeCell ref="I18:J18"/>
    <mergeCell ref="I19:J19"/>
    <mergeCell ref="I20:J21"/>
    <mergeCell ref="K26:P26"/>
    <mergeCell ref="I26:J26"/>
    <mergeCell ref="H14:AM14"/>
    <mergeCell ref="H15:N15"/>
    <mergeCell ref="X15:AE15"/>
    <mergeCell ref="R27:S27"/>
    <mergeCell ref="AE18:AJ19"/>
    <mergeCell ref="I24:J24"/>
    <mergeCell ref="K24:P24"/>
    <mergeCell ref="I25:J25"/>
    <mergeCell ref="K25:P25"/>
    <mergeCell ref="T24:Y24"/>
    <mergeCell ref="T25:Y25"/>
    <mergeCell ref="I23:AH23"/>
    <mergeCell ref="T18:V18"/>
    <mergeCell ref="T19:V19"/>
    <mergeCell ref="AC18:AD19"/>
    <mergeCell ref="W18:AA18"/>
    <mergeCell ref="X8:AE8"/>
    <mergeCell ref="AF8:AM8"/>
    <mergeCell ref="H9:AM9"/>
    <mergeCell ref="H12:AM12"/>
    <mergeCell ref="I11:M11"/>
    <mergeCell ref="T11:U11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  <mergeCell ref="H10:AM10"/>
    <mergeCell ref="H13:AM13"/>
    <mergeCell ref="X11:AM11"/>
    <mergeCell ref="AF7:AM7"/>
    <mergeCell ref="H8:O8"/>
    <mergeCell ref="P8:W8"/>
  </mergeCells>
  <phoneticPr fontId="24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515B-AFA7-4FBE-902F-C2C6FDDBD703}">
  <sheetPr>
    <pageSetUpPr fitToPage="1"/>
  </sheetPr>
  <dimension ref="A1:AM50"/>
  <sheetViews>
    <sheetView zoomScaleNormal="100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AE38" sqref="AE38"/>
    </sheetView>
  </sheetViews>
  <sheetFormatPr defaultRowHeight="14.25"/>
  <cols>
    <col min="1" max="1" width="3.75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5" thickBot="1">
      <c r="H1" s="229">
        <v>3</v>
      </c>
      <c r="I1" s="229"/>
      <c r="J1" s="229"/>
      <c r="K1" s="229"/>
      <c r="L1" s="229"/>
      <c r="M1" s="229"/>
      <c r="N1" s="229"/>
      <c r="O1" s="229"/>
      <c r="P1" s="229">
        <v>2</v>
      </c>
      <c r="Q1" s="229"/>
      <c r="R1" s="229"/>
      <c r="S1" s="229"/>
      <c r="T1" s="229"/>
      <c r="U1" s="229"/>
      <c r="V1" s="229"/>
      <c r="W1" s="229"/>
      <c r="X1" s="229">
        <v>1</v>
      </c>
      <c r="Y1" s="229"/>
      <c r="Z1" s="229"/>
      <c r="AA1" s="229"/>
      <c r="AB1" s="229"/>
      <c r="AC1" s="229"/>
      <c r="AD1" s="229"/>
      <c r="AE1" s="229"/>
      <c r="AF1" s="229">
        <v>0</v>
      </c>
      <c r="AG1" s="229"/>
      <c r="AH1" s="229"/>
      <c r="AI1" s="229"/>
      <c r="AJ1" s="229"/>
      <c r="AK1" s="229"/>
      <c r="AL1" s="229"/>
      <c r="AM1" s="229"/>
    </row>
    <row r="2" spans="1:39" ht="1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67" t="s">
        <v>9</v>
      </c>
      <c r="C3" s="286" t="s">
        <v>117</v>
      </c>
      <c r="D3" s="56" t="str">
        <f>DEC2HEX(A3*4, 3)</f>
        <v>000</v>
      </c>
      <c r="E3" s="167" t="s">
        <v>0</v>
      </c>
      <c r="F3" s="45" t="s">
        <v>6</v>
      </c>
      <c r="G3" s="37"/>
      <c r="H3" s="206" t="s">
        <v>96</v>
      </c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8"/>
    </row>
    <row r="4" spans="1:39">
      <c r="A4" s="12">
        <v>1</v>
      </c>
      <c r="B4" s="168"/>
      <c r="C4" s="287"/>
      <c r="D4" s="14" t="str">
        <f>DEC2HEX(A4*4, 3)</f>
        <v>004</v>
      </c>
      <c r="E4" s="168"/>
      <c r="F4" s="2" t="s">
        <v>6</v>
      </c>
      <c r="H4" s="209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1"/>
    </row>
    <row r="5" spans="1:39">
      <c r="A5" s="12">
        <v>2</v>
      </c>
      <c r="B5" s="168"/>
      <c r="C5" s="287"/>
      <c r="D5" s="14" t="str">
        <f t="shared" ref="D5:D14" si="1">DEC2HEX(A5*4, 3)</f>
        <v>008</v>
      </c>
      <c r="E5" s="168"/>
      <c r="F5" s="2" t="s">
        <v>6</v>
      </c>
      <c r="H5" s="209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1"/>
    </row>
    <row r="6" spans="1:39">
      <c r="A6" s="12">
        <v>3</v>
      </c>
      <c r="B6" s="168"/>
      <c r="C6" s="287"/>
      <c r="D6" s="14" t="str">
        <f t="shared" si="1"/>
        <v>00C</v>
      </c>
      <c r="E6" s="168"/>
      <c r="F6" s="2" t="s">
        <v>6</v>
      </c>
      <c r="H6" s="209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1"/>
    </row>
    <row r="7" spans="1:39">
      <c r="A7" s="12">
        <v>4</v>
      </c>
      <c r="B7" s="168"/>
      <c r="C7" s="287"/>
      <c r="D7" s="14" t="str">
        <f t="shared" si="1"/>
        <v>010</v>
      </c>
      <c r="E7" s="14" t="s">
        <v>106</v>
      </c>
      <c r="F7" s="2" t="s">
        <v>6</v>
      </c>
      <c r="H7" s="169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53" t="s">
        <v>54</v>
      </c>
      <c r="Y7" s="153"/>
      <c r="Z7" s="153"/>
      <c r="AA7" s="153"/>
      <c r="AB7" s="153"/>
      <c r="AC7" s="153"/>
      <c r="AD7" s="153"/>
      <c r="AE7" s="153"/>
      <c r="AF7" s="153" t="s">
        <v>55</v>
      </c>
      <c r="AG7" s="153"/>
      <c r="AH7" s="153"/>
      <c r="AI7" s="153"/>
      <c r="AJ7" s="153"/>
      <c r="AK7" s="153"/>
      <c r="AL7" s="153"/>
      <c r="AM7" s="154"/>
    </row>
    <row r="8" spans="1:39">
      <c r="A8" s="12">
        <v>5</v>
      </c>
      <c r="B8" s="168"/>
      <c r="C8" s="287"/>
      <c r="D8" s="14" t="str">
        <f t="shared" si="1"/>
        <v>014</v>
      </c>
      <c r="E8" s="14" t="s">
        <v>107</v>
      </c>
      <c r="F8" s="2" t="s">
        <v>6</v>
      </c>
      <c r="H8" s="169"/>
      <c r="I8" s="170"/>
      <c r="J8" s="170"/>
      <c r="K8" s="170"/>
      <c r="L8" s="170"/>
      <c r="M8" s="170"/>
      <c r="N8" s="170"/>
      <c r="O8" s="170"/>
      <c r="P8" s="153" t="s">
        <v>56</v>
      </c>
      <c r="Q8" s="153"/>
      <c r="R8" s="153"/>
      <c r="S8" s="153"/>
      <c r="T8" s="153"/>
      <c r="U8" s="153"/>
      <c r="V8" s="153"/>
      <c r="W8" s="153"/>
      <c r="X8" s="153" t="s">
        <v>76</v>
      </c>
      <c r="Y8" s="153"/>
      <c r="Z8" s="153"/>
      <c r="AA8" s="153"/>
      <c r="AB8" s="153"/>
      <c r="AC8" s="153"/>
      <c r="AD8" s="153"/>
      <c r="AE8" s="153"/>
      <c r="AF8" s="153" t="s">
        <v>57</v>
      </c>
      <c r="AG8" s="153"/>
      <c r="AH8" s="153"/>
      <c r="AI8" s="153"/>
      <c r="AJ8" s="153"/>
      <c r="AK8" s="153"/>
      <c r="AL8" s="153"/>
      <c r="AM8" s="154"/>
    </row>
    <row r="9" spans="1:39" ht="16.5">
      <c r="A9" s="12">
        <v>6</v>
      </c>
      <c r="B9" s="168"/>
      <c r="C9" s="287"/>
      <c r="D9" s="14" t="str">
        <f t="shared" si="1"/>
        <v>018</v>
      </c>
      <c r="E9" s="51" t="s">
        <v>105</v>
      </c>
      <c r="F9" s="2" t="s">
        <v>4</v>
      </c>
      <c r="H9" s="169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212"/>
    </row>
    <row r="10" spans="1:39" ht="16.5">
      <c r="A10" s="12">
        <v>7</v>
      </c>
      <c r="B10" s="168"/>
      <c r="C10" s="287"/>
      <c r="D10" s="14" t="str">
        <f t="shared" si="1"/>
        <v>01C</v>
      </c>
      <c r="E10" s="51" t="s">
        <v>105</v>
      </c>
      <c r="F10" s="53" t="s">
        <v>4</v>
      </c>
      <c r="H10" s="169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212"/>
    </row>
    <row r="11" spans="1:39" ht="16.5">
      <c r="A11" s="12">
        <v>8</v>
      </c>
      <c r="B11" s="168"/>
      <c r="C11" s="287"/>
      <c r="D11" s="14" t="str">
        <f t="shared" si="1"/>
        <v>020</v>
      </c>
      <c r="E11" s="51" t="s">
        <v>118</v>
      </c>
      <c r="F11" s="53" t="s">
        <v>4</v>
      </c>
      <c r="H11" s="294" t="s">
        <v>5</v>
      </c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6"/>
    </row>
    <row r="12" spans="1:39" ht="16.5">
      <c r="A12" s="12">
        <v>9</v>
      </c>
      <c r="B12" s="168"/>
      <c r="C12" s="287"/>
      <c r="D12" s="14" t="str">
        <f t="shared" si="1"/>
        <v>024</v>
      </c>
      <c r="E12" s="14" t="s">
        <v>89</v>
      </c>
      <c r="F12" s="2" t="s">
        <v>4</v>
      </c>
      <c r="H12" s="57" t="s">
        <v>78</v>
      </c>
      <c r="I12" s="298"/>
      <c r="J12" s="190"/>
      <c r="K12" s="79" t="s">
        <v>122</v>
      </c>
      <c r="L12" s="306" t="s">
        <v>290</v>
      </c>
      <c r="M12" s="307"/>
      <c r="N12" s="55" t="s">
        <v>66</v>
      </c>
      <c r="O12" s="62" t="s">
        <v>67</v>
      </c>
      <c r="P12" s="298"/>
      <c r="Q12" s="182"/>
      <c r="R12" s="182"/>
      <c r="S12" s="190"/>
      <c r="T12" s="140" t="s">
        <v>36</v>
      </c>
      <c r="U12" s="141" t="s">
        <v>37</v>
      </c>
      <c r="V12" s="55" t="s">
        <v>38</v>
      </c>
      <c r="W12" s="62" t="s">
        <v>39</v>
      </c>
      <c r="X12" s="297" t="s">
        <v>197</v>
      </c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4"/>
    </row>
    <row r="13" spans="1:39">
      <c r="A13" s="12">
        <v>10</v>
      </c>
      <c r="B13" s="168"/>
      <c r="C13" s="287"/>
      <c r="D13" s="14" t="str">
        <f t="shared" si="1"/>
        <v>028</v>
      </c>
      <c r="E13" s="14" t="s">
        <v>350</v>
      </c>
      <c r="F13" s="2" t="s">
        <v>351</v>
      </c>
      <c r="H13" s="299" t="s">
        <v>350</v>
      </c>
      <c r="I13" s="300"/>
      <c r="J13" s="300"/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0"/>
      <c r="AD13" s="300"/>
      <c r="AE13" s="300"/>
      <c r="AF13" s="300"/>
      <c r="AG13" s="300"/>
      <c r="AH13" s="300"/>
      <c r="AI13" s="300"/>
      <c r="AJ13" s="300"/>
      <c r="AK13" s="300"/>
      <c r="AL13" s="300"/>
      <c r="AM13" s="301"/>
    </row>
    <row r="14" spans="1:39" ht="16.5">
      <c r="A14" s="12">
        <v>11</v>
      </c>
      <c r="B14" s="168"/>
      <c r="C14" s="287"/>
      <c r="D14" s="14" t="str">
        <f t="shared" si="1"/>
        <v>02C</v>
      </c>
      <c r="E14" s="51" t="s">
        <v>119</v>
      </c>
      <c r="F14" s="53" t="s">
        <v>4</v>
      </c>
      <c r="H14" s="169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53" t="s">
        <v>120</v>
      </c>
      <c r="AG14" s="153"/>
      <c r="AH14" s="153"/>
      <c r="AI14" s="153"/>
      <c r="AJ14" s="153"/>
      <c r="AK14" s="153"/>
      <c r="AL14" s="153"/>
      <c r="AM14" s="154"/>
    </row>
    <row r="15" spans="1:39" ht="17.25" thickBot="1">
      <c r="A15" s="12">
        <v>12</v>
      </c>
      <c r="B15" s="285"/>
      <c r="C15" s="288"/>
      <c r="D15" s="42" t="str">
        <f>DEC2HEX(A15*4, 3)</f>
        <v>030</v>
      </c>
      <c r="E15" s="42" t="s">
        <v>90</v>
      </c>
      <c r="F15" s="54" t="s">
        <v>6</v>
      </c>
      <c r="G15" s="48"/>
      <c r="H15" s="293" t="s">
        <v>299</v>
      </c>
      <c r="I15" s="292"/>
      <c r="J15" s="292"/>
      <c r="K15" s="292"/>
      <c r="L15" s="292"/>
      <c r="M15" s="292"/>
      <c r="N15" s="292"/>
      <c r="O15" s="292"/>
      <c r="P15" s="291" t="s">
        <v>300</v>
      </c>
      <c r="Q15" s="292"/>
      <c r="R15" s="292"/>
      <c r="S15" s="292"/>
      <c r="T15" s="292"/>
      <c r="U15" s="292"/>
      <c r="V15" s="292"/>
      <c r="W15" s="292"/>
      <c r="X15" s="289" t="s">
        <v>298</v>
      </c>
      <c r="Y15" s="290"/>
      <c r="Z15" s="290"/>
      <c r="AA15" s="290"/>
      <c r="AB15" s="290"/>
      <c r="AC15" s="290"/>
      <c r="AD15" s="290"/>
      <c r="AE15" s="290"/>
      <c r="AF15" s="58" t="s">
        <v>68</v>
      </c>
      <c r="AG15" s="58" t="s">
        <v>69</v>
      </c>
      <c r="AH15" s="58" t="s">
        <v>70</v>
      </c>
      <c r="AI15" s="58" t="s">
        <v>71</v>
      </c>
      <c r="AJ15" s="58" t="s">
        <v>43</v>
      </c>
      <c r="AK15" s="58"/>
      <c r="AL15" s="58"/>
      <c r="AM15" s="59" t="s">
        <v>60</v>
      </c>
    </row>
    <row r="16" spans="1:39" ht="15" thickBot="1"/>
    <row r="17" spans="1:34" ht="17.25" thickBot="1">
      <c r="I17" s="255" t="s">
        <v>228</v>
      </c>
      <c r="J17" s="256"/>
      <c r="K17" s="256"/>
      <c r="L17" s="256"/>
      <c r="M17" s="256"/>
      <c r="N17" s="256"/>
      <c r="O17" s="256"/>
      <c r="P17" s="257"/>
    </row>
    <row r="18" spans="1:34" ht="17.25" thickBot="1">
      <c r="I18" s="308" t="s">
        <v>226</v>
      </c>
      <c r="J18" s="309"/>
      <c r="K18" s="310" t="s">
        <v>227</v>
      </c>
      <c r="L18" s="310"/>
      <c r="M18" s="310"/>
      <c r="N18" s="310"/>
      <c r="O18" s="310"/>
      <c r="P18" s="311"/>
    </row>
    <row r="19" spans="1:34" ht="15" thickBot="1"/>
    <row r="20" spans="1:34" ht="17.25" thickBot="1">
      <c r="I20" s="213" t="s">
        <v>216</v>
      </c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5"/>
    </row>
    <row r="21" spans="1:34" ht="17.25" thickBot="1">
      <c r="I21" s="245" t="s">
        <v>198</v>
      </c>
      <c r="J21" s="246"/>
      <c r="K21" s="247" t="s">
        <v>279</v>
      </c>
      <c r="L21" s="248"/>
      <c r="M21" s="248"/>
      <c r="N21" s="248"/>
      <c r="O21" s="248"/>
      <c r="P21" s="249"/>
      <c r="R21" s="308" t="s">
        <v>219</v>
      </c>
      <c r="S21" s="314"/>
      <c r="T21" s="314"/>
      <c r="U21" s="315" t="s">
        <v>207</v>
      </c>
      <c r="V21" s="315"/>
      <c r="W21" s="315"/>
      <c r="X21" s="315"/>
      <c r="Y21" s="316"/>
      <c r="AA21" s="262" t="s">
        <v>203</v>
      </c>
      <c r="AB21" s="263"/>
      <c r="AC21" s="240" t="s">
        <v>297</v>
      </c>
      <c r="AD21" s="241"/>
      <c r="AE21" s="241"/>
      <c r="AF21" s="241"/>
      <c r="AG21" s="241"/>
      <c r="AH21" s="242"/>
    </row>
    <row r="22" spans="1:34" ht="17.25" thickBot="1">
      <c r="I22" s="317" t="s">
        <v>295</v>
      </c>
      <c r="J22" s="251"/>
      <c r="K22" s="252" t="s">
        <v>296</v>
      </c>
      <c r="L22" s="253"/>
      <c r="M22" s="253"/>
      <c r="N22" s="253"/>
      <c r="O22" s="253"/>
      <c r="P22" s="254"/>
      <c r="AA22" s="264"/>
      <c r="AB22" s="265"/>
      <c r="AC22" s="243"/>
      <c r="AD22" s="243"/>
      <c r="AE22" s="243"/>
      <c r="AF22" s="243"/>
      <c r="AG22" s="243"/>
      <c r="AH22" s="244"/>
    </row>
    <row r="23" spans="1:34" ht="17.25" thickBot="1">
      <c r="I23" s="250" t="s">
        <v>217</v>
      </c>
      <c r="J23" s="251"/>
      <c r="K23" s="252" t="s">
        <v>284</v>
      </c>
      <c r="L23" s="253"/>
      <c r="M23" s="253"/>
      <c r="N23" s="253"/>
      <c r="O23" s="253"/>
      <c r="P23" s="254"/>
      <c r="R23" s="81" t="s">
        <v>122</v>
      </c>
      <c r="S23" s="312" t="s">
        <v>290</v>
      </c>
      <c r="T23" s="313"/>
      <c r="U23" s="71" t="s">
        <v>66</v>
      </c>
      <c r="V23" s="72" t="s">
        <v>67</v>
      </c>
    </row>
    <row r="24" spans="1:34" ht="17.25" thickBot="1">
      <c r="I24" s="238" t="s">
        <v>218</v>
      </c>
      <c r="J24" s="239"/>
      <c r="K24" s="305" t="s">
        <v>285</v>
      </c>
      <c r="L24" s="273"/>
      <c r="M24" s="273"/>
      <c r="N24" s="273"/>
      <c r="O24" s="273"/>
      <c r="P24" s="274"/>
      <c r="R24" s="60">
        <v>0</v>
      </c>
      <c r="S24" s="80" t="s">
        <v>28</v>
      </c>
      <c r="T24" s="80" t="s">
        <v>196</v>
      </c>
      <c r="U24" s="61">
        <v>1</v>
      </c>
      <c r="V24" s="61">
        <v>0</v>
      </c>
      <c r="W24" s="318" t="s">
        <v>194</v>
      </c>
      <c r="X24" s="319"/>
      <c r="Y24" s="319"/>
      <c r="Z24" s="319"/>
      <c r="AA24" s="319"/>
      <c r="AB24" s="319"/>
      <c r="AC24" s="319"/>
      <c r="AD24" s="319"/>
      <c r="AE24" s="319"/>
      <c r="AF24" s="319"/>
      <c r="AG24" s="320"/>
    </row>
    <row r="25" spans="1:34" ht="17.25" thickBot="1">
      <c r="A25" s="65"/>
      <c r="K25" s="77"/>
      <c r="L25" s="78"/>
      <c r="M25" s="78"/>
      <c r="N25" s="78"/>
      <c r="O25" s="78"/>
      <c r="P25" s="78"/>
      <c r="R25" s="57">
        <v>0</v>
      </c>
      <c r="S25" s="66" t="s">
        <v>28</v>
      </c>
      <c r="T25" s="66" t="s">
        <v>196</v>
      </c>
      <c r="U25" s="55">
        <v>0</v>
      </c>
      <c r="V25" s="55">
        <v>1</v>
      </c>
      <c r="W25" s="321" t="s">
        <v>195</v>
      </c>
      <c r="X25" s="322"/>
      <c r="Y25" s="322"/>
      <c r="Z25" s="322"/>
      <c r="AA25" s="322"/>
      <c r="AB25" s="322"/>
      <c r="AC25" s="322"/>
      <c r="AD25" s="322"/>
      <c r="AE25" s="322"/>
      <c r="AF25" s="322"/>
      <c r="AG25" s="323"/>
    </row>
    <row r="26" spans="1:34" ht="16.5">
      <c r="I26" s="278" t="s">
        <v>352</v>
      </c>
      <c r="J26" s="279"/>
      <c r="K26" s="279"/>
      <c r="L26" s="279"/>
      <c r="M26" s="279"/>
      <c r="N26" s="279"/>
      <c r="O26" s="279"/>
      <c r="P26" s="280"/>
      <c r="R26" s="73">
        <v>1</v>
      </c>
      <c r="S26" s="74">
        <v>0</v>
      </c>
      <c r="T26" s="74">
        <v>0</v>
      </c>
      <c r="U26" s="74">
        <v>1</v>
      </c>
      <c r="V26" s="74">
        <v>0</v>
      </c>
      <c r="W26" s="324" t="s">
        <v>293</v>
      </c>
      <c r="X26" s="324"/>
      <c r="Y26" s="324"/>
      <c r="Z26" s="324"/>
      <c r="AA26" s="324"/>
      <c r="AB26" s="324"/>
      <c r="AC26" s="324"/>
      <c r="AD26" s="324"/>
      <c r="AE26" s="324"/>
      <c r="AF26" s="324"/>
      <c r="AG26" s="325"/>
    </row>
    <row r="27" spans="1:34" ht="17.25" customHeight="1">
      <c r="I27" s="275">
        <v>0</v>
      </c>
      <c r="J27" s="275"/>
      <c r="K27" s="281" t="s">
        <v>353</v>
      </c>
      <c r="L27" s="282"/>
      <c r="M27" s="282"/>
      <c r="N27" s="282"/>
      <c r="O27" s="282"/>
      <c r="P27" s="282"/>
      <c r="R27" s="73">
        <v>1</v>
      </c>
      <c r="S27" s="74">
        <v>0</v>
      </c>
      <c r="T27" s="74">
        <v>1</v>
      </c>
      <c r="U27" s="74">
        <v>0</v>
      </c>
      <c r="V27" s="74">
        <v>1</v>
      </c>
      <c r="W27" s="324" t="s">
        <v>291</v>
      </c>
      <c r="X27" s="324"/>
      <c r="Y27" s="324"/>
      <c r="Z27" s="324"/>
      <c r="AA27" s="324"/>
      <c r="AB27" s="324"/>
      <c r="AC27" s="324"/>
      <c r="AD27" s="324"/>
      <c r="AE27" s="324"/>
      <c r="AF27" s="324"/>
      <c r="AG27" s="325"/>
    </row>
    <row r="28" spans="1:34" ht="16.5" customHeight="1">
      <c r="I28" s="275">
        <v>1</v>
      </c>
      <c r="J28" s="275"/>
      <c r="K28" s="283" t="s">
        <v>356</v>
      </c>
      <c r="L28" s="284"/>
      <c r="M28" s="284"/>
      <c r="N28" s="284"/>
      <c r="O28" s="284"/>
      <c r="P28" s="284"/>
      <c r="R28" s="73">
        <v>1</v>
      </c>
      <c r="S28" s="74">
        <v>1</v>
      </c>
      <c r="T28" s="74">
        <v>0</v>
      </c>
      <c r="U28" s="74">
        <v>1</v>
      </c>
      <c r="V28" s="74">
        <v>0</v>
      </c>
      <c r="W28" s="324" t="s">
        <v>292</v>
      </c>
      <c r="X28" s="324"/>
      <c r="Y28" s="324"/>
      <c r="Z28" s="324"/>
      <c r="AA28" s="324"/>
      <c r="AB28" s="324"/>
      <c r="AC28" s="324"/>
      <c r="AD28" s="324"/>
      <c r="AE28" s="324"/>
      <c r="AF28" s="324"/>
      <c r="AG28" s="325"/>
    </row>
    <row r="29" spans="1:34" ht="17.25" thickBot="1">
      <c r="I29" s="275">
        <v>2</v>
      </c>
      <c r="J29" s="275"/>
      <c r="K29" s="276" t="s">
        <v>354</v>
      </c>
      <c r="L29" s="277"/>
      <c r="M29" s="277"/>
      <c r="N29" s="277"/>
      <c r="O29" s="277"/>
      <c r="P29" s="277"/>
      <c r="R29" s="75">
        <v>1</v>
      </c>
      <c r="S29" s="76">
        <v>1</v>
      </c>
      <c r="T29" s="76">
        <v>1</v>
      </c>
      <c r="U29" s="76">
        <v>0</v>
      </c>
      <c r="V29" s="76">
        <v>1</v>
      </c>
      <c r="W29" s="327" t="s">
        <v>294</v>
      </c>
      <c r="X29" s="327"/>
      <c r="Y29" s="327"/>
      <c r="Z29" s="327"/>
      <c r="AA29" s="327"/>
      <c r="AB29" s="327"/>
      <c r="AC29" s="327"/>
      <c r="AD29" s="327"/>
      <c r="AE29" s="327"/>
      <c r="AF29" s="327"/>
      <c r="AG29" s="328"/>
    </row>
    <row r="30" spans="1:34" ht="16.5">
      <c r="I30" s="275">
        <v>3</v>
      </c>
      <c r="J30" s="275"/>
      <c r="K30" s="276" t="s">
        <v>355</v>
      </c>
      <c r="L30" s="277"/>
      <c r="M30" s="277"/>
      <c r="N30" s="277"/>
      <c r="O30" s="277"/>
      <c r="P30" s="277"/>
    </row>
    <row r="31" spans="1:34" ht="15" thickBot="1"/>
    <row r="32" spans="1:34" ht="16.5" customHeight="1" thickBot="1">
      <c r="A32" s="65"/>
      <c r="I32" s="278" t="s">
        <v>220</v>
      </c>
      <c r="J32" s="279"/>
      <c r="K32" s="279"/>
      <c r="L32" s="279"/>
      <c r="M32" s="279"/>
      <c r="N32" s="279"/>
      <c r="O32" s="279"/>
      <c r="P32" s="280"/>
    </row>
    <row r="33" spans="1:39" ht="16.5">
      <c r="A33" s="65"/>
      <c r="I33" s="245" t="s">
        <v>221</v>
      </c>
      <c r="J33" s="246"/>
      <c r="K33" s="329" t="s">
        <v>239</v>
      </c>
      <c r="L33" s="330"/>
      <c r="M33" s="330"/>
      <c r="N33" s="330"/>
      <c r="O33" s="330"/>
      <c r="P33" s="331"/>
    </row>
    <row r="34" spans="1:39" ht="17.25" thickBot="1">
      <c r="I34" s="238"/>
      <c r="J34" s="239"/>
      <c r="K34" s="302" t="s">
        <v>302</v>
      </c>
      <c r="L34" s="303"/>
      <c r="M34" s="303"/>
      <c r="N34" s="303"/>
      <c r="O34" s="303"/>
      <c r="P34" s="304"/>
    </row>
    <row r="35" spans="1:39" ht="15" thickBot="1"/>
    <row r="36" spans="1:39" ht="17.25" thickBot="1">
      <c r="I36" s="255" t="s">
        <v>234</v>
      </c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7"/>
    </row>
    <row r="37" spans="1:39" ht="16.5">
      <c r="I37" s="245" t="s">
        <v>72</v>
      </c>
      <c r="J37" s="246"/>
      <c r="K37" s="247" t="s">
        <v>222</v>
      </c>
      <c r="L37" s="248"/>
      <c r="M37" s="248"/>
      <c r="N37" s="248"/>
      <c r="O37" s="248"/>
      <c r="P37" s="249"/>
      <c r="R37" s="245" t="s">
        <v>64</v>
      </c>
      <c r="S37" s="246"/>
      <c r="T37" s="247" t="s">
        <v>277</v>
      </c>
      <c r="U37" s="248"/>
      <c r="V37" s="248"/>
      <c r="W37" s="248"/>
      <c r="X37" s="248"/>
      <c r="Y37" s="249"/>
    </row>
    <row r="38" spans="1:39" ht="17.25" thickBot="1">
      <c r="I38" s="250" t="s">
        <v>73</v>
      </c>
      <c r="J38" s="251"/>
      <c r="K38" s="252" t="s">
        <v>224</v>
      </c>
      <c r="L38" s="253"/>
      <c r="M38" s="253"/>
      <c r="N38" s="253"/>
      <c r="O38" s="253"/>
      <c r="P38" s="254"/>
      <c r="R38" s="238" t="s">
        <v>65</v>
      </c>
      <c r="S38" s="239"/>
      <c r="T38" s="273" t="s">
        <v>238</v>
      </c>
      <c r="U38" s="273"/>
      <c r="V38" s="273"/>
      <c r="W38" s="273"/>
      <c r="X38" s="273"/>
      <c r="Y38" s="274"/>
      <c r="AM38"/>
    </row>
    <row r="39" spans="1:39">
      <c r="I39" s="250" t="s">
        <v>74</v>
      </c>
      <c r="J39" s="251"/>
      <c r="K39" s="326" t="s">
        <v>223</v>
      </c>
      <c r="L39" s="269"/>
      <c r="M39" s="269"/>
      <c r="N39" s="269"/>
      <c r="O39" s="269"/>
      <c r="P39" s="270"/>
      <c r="AM39"/>
    </row>
    <row r="40" spans="1:39" ht="15" thickBot="1">
      <c r="I40" s="238" t="s">
        <v>75</v>
      </c>
      <c r="J40" s="239"/>
      <c r="K40" s="267" t="s">
        <v>225</v>
      </c>
      <c r="L40" s="243"/>
      <c r="M40" s="243"/>
      <c r="N40" s="243"/>
      <c r="O40" s="243"/>
      <c r="P40" s="244"/>
      <c r="AM40"/>
    </row>
    <row r="41" spans="1:39">
      <c r="AM41"/>
    </row>
    <row r="42" spans="1:39">
      <c r="AM42"/>
    </row>
    <row r="43" spans="1:39">
      <c r="AM43"/>
    </row>
    <row r="44" spans="1:39">
      <c r="AM44"/>
    </row>
    <row r="45" spans="1:39">
      <c r="AM45"/>
    </row>
    <row r="46" spans="1:39">
      <c r="AM46"/>
    </row>
    <row r="47" spans="1:39">
      <c r="AM47"/>
    </row>
    <row r="48" spans="1:39">
      <c r="AM48"/>
    </row>
    <row r="49" spans="39:39">
      <c r="AM49"/>
    </row>
    <row r="50" spans="39:39">
      <c r="AM50"/>
    </row>
  </sheetData>
  <mergeCells count="77">
    <mergeCell ref="W24:AG24"/>
    <mergeCell ref="W25:AG25"/>
    <mergeCell ref="W26:AG26"/>
    <mergeCell ref="W27:AG27"/>
    <mergeCell ref="I40:J40"/>
    <mergeCell ref="K40:P40"/>
    <mergeCell ref="I36:Y36"/>
    <mergeCell ref="I32:P32"/>
    <mergeCell ref="I33:J34"/>
    <mergeCell ref="I39:J39"/>
    <mergeCell ref="K39:P39"/>
    <mergeCell ref="I38:J38"/>
    <mergeCell ref="K38:P38"/>
    <mergeCell ref="W28:AG28"/>
    <mergeCell ref="W29:AG29"/>
    <mergeCell ref="K33:P33"/>
    <mergeCell ref="I20:AH20"/>
    <mergeCell ref="I21:J21"/>
    <mergeCell ref="K21:P21"/>
    <mergeCell ref="R21:T21"/>
    <mergeCell ref="U21:Y21"/>
    <mergeCell ref="AA21:AB22"/>
    <mergeCell ref="AC21:AH22"/>
    <mergeCell ref="I22:J22"/>
    <mergeCell ref="K22:P22"/>
    <mergeCell ref="R38:S38"/>
    <mergeCell ref="T38:Y38"/>
    <mergeCell ref="I37:J37"/>
    <mergeCell ref="K37:P37"/>
    <mergeCell ref="R37:S37"/>
    <mergeCell ref="T37:Y37"/>
    <mergeCell ref="X12:AM12"/>
    <mergeCell ref="P12:S12"/>
    <mergeCell ref="H13:AM13"/>
    <mergeCell ref="K34:P34"/>
    <mergeCell ref="H14:AE14"/>
    <mergeCell ref="AF14:AM14"/>
    <mergeCell ref="I17:P17"/>
    <mergeCell ref="I12:J12"/>
    <mergeCell ref="I23:J23"/>
    <mergeCell ref="K23:P23"/>
    <mergeCell ref="I24:J24"/>
    <mergeCell ref="K24:P24"/>
    <mergeCell ref="L12:M12"/>
    <mergeCell ref="I18:J18"/>
    <mergeCell ref="K18:P18"/>
    <mergeCell ref="S23:T23"/>
    <mergeCell ref="P8:W8"/>
    <mergeCell ref="X8:AE8"/>
    <mergeCell ref="AF8:AM8"/>
    <mergeCell ref="H9:AM9"/>
    <mergeCell ref="H11:AM11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  <mergeCell ref="X15:AE15"/>
    <mergeCell ref="P15:W15"/>
    <mergeCell ref="H15:O15"/>
    <mergeCell ref="H10:AM10"/>
    <mergeCell ref="AF7:AM7"/>
    <mergeCell ref="H8:O8"/>
    <mergeCell ref="I29:J29"/>
    <mergeCell ref="K29:P29"/>
    <mergeCell ref="I30:J30"/>
    <mergeCell ref="K30:P30"/>
    <mergeCell ref="I26:P26"/>
    <mergeCell ref="K27:P27"/>
    <mergeCell ref="K28:P28"/>
    <mergeCell ref="I27:J27"/>
    <mergeCell ref="I28:J28"/>
  </mergeCells>
  <phoneticPr fontId="24" type="noConversion"/>
  <pageMargins left="0.7" right="0.7" top="0.75" bottom="0.75" header="0.3" footer="0.3"/>
  <pageSetup paperSize="9" scale="48" orientation="landscape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2DCD-114E-4810-B1F9-A578C0A301B4}">
  <sheetPr>
    <pageSetUpPr fitToPage="1"/>
  </sheetPr>
  <dimension ref="A1:AM34"/>
  <sheetViews>
    <sheetView zoomScaleNormal="100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B17" sqref="B17"/>
    </sheetView>
  </sheetViews>
  <sheetFormatPr defaultRowHeight="14.25"/>
  <cols>
    <col min="1" max="1" width="3.75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5" thickBot="1">
      <c r="H1" s="229">
        <v>3</v>
      </c>
      <c r="I1" s="229"/>
      <c r="J1" s="229"/>
      <c r="K1" s="229"/>
      <c r="L1" s="229"/>
      <c r="M1" s="229"/>
      <c r="N1" s="229"/>
      <c r="O1" s="229"/>
      <c r="P1" s="229">
        <v>2</v>
      </c>
      <c r="Q1" s="229"/>
      <c r="R1" s="229"/>
      <c r="S1" s="229"/>
      <c r="T1" s="229"/>
      <c r="U1" s="229"/>
      <c r="V1" s="229"/>
      <c r="W1" s="229"/>
      <c r="X1" s="229">
        <v>1</v>
      </c>
      <c r="Y1" s="229"/>
      <c r="Z1" s="229"/>
      <c r="AA1" s="229"/>
      <c r="AB1" s="229"/>
      <c r="AC1" s="229"/>
      <c r="AD1" s="229"/>
      <c r="AE1" s="229"/>
      <c r="AF1" s="229">
        <v>0</v>
      </c>
      <c r="AG1" s="229"/>
      <c r="AH1" s="229"/>
      <c r="AI1" s="229"/>
      <c r="AJ1" s="229"/>
      <c r="AK1" s="229"/>
      <c r="AL1" s="229"/>
      <c r="AM1" s="229"/>
    </row>
    <row r="2" spans="1:39" ht="1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67" t="s">
        <v>181</v>
      </c>
      <c r="C3" s="286" t="s">
        <v>182</v>
      </c>
      <c r="D3" s="56" t="str">
        <f>DEC2HEX(A3*4, 3)</f>
        <v>000</v>
      </c>
      <c r="E3" s="167" t="s">
        <v>0</v>
      </c>
      <c r="F3" s="45" t="s">
        <v>6</v>
      </c>
      <c r="G3" s="37"/>
      <c r="H3" s="206" t="s">
        <v>183</v>
      </c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8"/>
    </row>
    <row r="4" spans="1:39">
      <c r="A4" s="12">
        <v>1</v>
      </c>
      <c r="B4" s="168"/>
      <c r="C4" s="287"/>
      <c r="D4" s="14" t="str">
        <f>DEC2HEX(A4*4, 3)</f>
        <v>004</v>
      </c>
      <c r="E4" s="168"/>
      <c r="F4" s="2" t="s">
        <v>6</v>
      </c>
      <c r="H4" s="209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1"/>
    </row>
    <row r="5" spans="1:39">
      <c r="A5" s="12">
        <v>2</v>
      </c>
      <c r="B5" s="168"/>
      <c r="C5" s="287"/>
      <c r="D5" s="14" t="str">
        <f t="shared" ref="D5:D14" si="1">DEC2HEX(A5*4, 3)</f>
        <v>008</v>
      </c>
      <c r="E5" s="168"/>
      <c r="F5" s="2" t="s">
        <v>6</v>
      </c>
      <c r="H5" s="209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1"/>
    </row>
    <row r="6" spans="1:39">
      <c r="A6" s="12">
        <v>3</v>
      </c>
      <c r="B6" s="168"/>
      <c r="C6" s="287"/>
      <c r="D6" s="14" t="str">
        <f t="shared" si="1"/>
        <v>00C</v>
      </c>
      <c r="E6" s="168"/>
      <c r="F6" s="2" t="s">
        <v>6</v>
      </c>
      <c r="H6" s="209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1"/>
    </row>
    <row r="7" spans="1:39">
      <c r="A7" s="12">
        <v>4</v>
      </c>
      <c r="B7" s="168"/>
      <c r="C7" s="287"/>
      <c r="D7" s="14" t="str">
        <f t="shared" si="1"/>
        <v>010</v>
      </c>
      <c r="E7" s="14" t="s">
        <v>106</v>
      </c>
      <c r="F7" s="2" t="s">
        <v>6</v>
      </c>
      <c r="H7" s="169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53" t="s">
        <v>54</v>
      </c>
      <c r="Y7" s="153"/>
      <c r="Z7" s="153"/>
      <c r="AA7" s="153"/>
      <c r="AB7" s="153"/>
      <c r="AC7" s="153"/>
      <c r="AD7" s="153"/>
      <c r="AE7" s="153"/>
      <c r="AF7" s="153" t="s">
        <v>55</v>
      </c>
      <c r="AG7" s="153"/>
      <c r="AH7" s="153"/>
      <c r="AI7" s="153"/>
      <c r="AJ7" s="153"/>
      <c r="AK7" s="153"/>
      <c r="AL7" s="153"/>
      <c r="AM7" s="154"/>
    </row>
    <row r="8" spans="1:39">
      <c r="A8" s="12">
        <v>5</v>
      </c>
      <c r="B8" s="168"/>
      <c r="C8" s="287"/>
      <c r="D8" s="14" t="str">
        <f t="shared" si="1"/>
        <v>014</v>
      </c>
      <c r="E8" s="14" t="s">
        <v>107</v>
      </c>
      <c r="F8" s="2" t="s">
        <v>6</v>
      </c>
      <c r="H8" s="169"/>
      <c r="I8" s="170"/>
      <c r="J8" s="170"/>
      <c r="K8" s="170"/>
      <c r="L8" s="170"/>
      <c r="M8" s="170"/>
      <c r="N8" s="170"/>
      <c r="O8" s="170"/>
      <c r="P8" s="153" t="s">
        <v>56</v>
      </c>
      <c r="Q8" s="153"/>
      <c r="R8" s="153"/>
      <c r="S8" s="153"/>
      <c r="T8" s="153"/>
      <c r="U8" s="153"/>
      <c r="V8" s="153"/>
      <c r="W8" s="153"/>
      <c r="X8" s="153" t="s">
        <v>76</v>
      </c>
      <c r="Y8" s="153"/>
      <c r="Z8" s="153"/>
      <c r="AA8" s="153"/>
      <c r="AB8" s="153"/>
      <c r="AC8" s="153"/>
      <c r="AD8" s="153"/>
      <c r="AE8" s="153"/>
      <c r="AF8" s="153" t="s">
        <v>57</v>
      </c>
      <c r="AG8" s="153"/>
      <c r="AH8" s="153"/>
      <c r="AI8" s="153"/>
      <c r="AJ8" s="153"/>
      <c r="AK8" s="153"/>
      <c r="AL8" s="153"/>
      <c r="AM8" s="154"/>
    </row>
    <row r="9" spans="1:39" ht="16.5">
      <c r="A9" s="12">
        <v>6</v>
      </c>
      <c r="B9" s="168"/>
      <c r="C9" s="287"/>
      <c r="D9" s="14" t="str">
        <f t="shared" si="1"/>
        <v>018</v>
      </c>
      <c r="E9" s="51" t="s">
        <v>105</v>
      </c>
      <c r="F9" s="2" t="s">
        <v>4</v>
      </c>
      <c r="H9" s="169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212"/>
    </row>
    <row r="10" spans="1:39" ht="16.5">
      <c r="A10" s="12">
        <v>7</v>
      </c>
      <c r="B10" s="168"/>
      <c r="C10" s="287"/>
      <c r="D10" s="14" t="str">
        <f t="shared" si="1"/>
        <v>01C</v>
      </c>
      <c r="E10" s="51" t="s">
        <v>105</v>
      </c>
      <c r="F10" s="53" t="s">
        <v>4</v>
      </c>
      <c r="H10" s="169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212"/>
    </row>
    <row r="11" spans="1:39" ht="16.5">
      <c r="A11" s="12">
        <v>8</v>
      </c>
      <c r="B11" s="168"/>
      <c r="C11" s="287"/>
      <c r="D11" s="14" t="str">
        <f t="shared" si="1"/>
        <v>020</v>
      </c>
      <c r="E11" s="51" t="s">
        <v>118</v>
      </c>
      <c r="F11" s="53" t="s">
        <v>4</v>
      </c>
      <c r="H11" s="294" t="s">
        <v>5</v>
      </c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6"/>
    </row>
    <row r="12" spans="1:39" ht="16.5">
      <c r="A12" s="12">
        <v>9</v>
      </c>
      <c r="B12" s="168"/>
      <c r="C12" s="287"/>
      <c r="D12" s="14" t="str">
        <f t="shared" si="1"/>
        <v>024</v>
      </c>
      <c r="E12" s="14" t="s">
        <v>89</v>
      </c>
      <c r="F12" s="2" t="s">
        <v>4</v>
      </c>
      <c r="H12" s="57" t="s">
        <v>78</v>
      </c>
      <c r="I12" s="298"/>
      <c r="J12" s="182"/>
      <c r="K12" s="182"/>
      <c r="L12" s="182"/>
      <c r="M12" s="190"/>
      <c r="N12" s="55" t="s">
        <v>66</v>
      </c>
      <c r="O12" s="62" t="s">
        <v>67</v>
      </c>
      <c r="P12" s="181"/>
      <c r="Q12" s="182"/>
      <c r="R12" s="182"/>
      <c r="S12" s="182"/>
      <c r="T12" s="182"/>
      <c r="U12" s="190"/>
      <c r="V12" s="55" t="s">
        <v>185</v>
      </c>
      <c r="W12" s="62" t="s">
        <v>184</v>
      </c>
      <c r="X12" s="297" t="s">
        <v>197</v>
      </c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4"/>
    </row>
    <row r="13" spans="1:39">
      <c r="A13" s="12">
        <v>10</v>
      </c>
      <c r="B13" s="168"/>
      <c r="C13" s="287"/>
      <c r="D13" s="14" t="str">
        <f t="shared" si="1"/>
        <v>028</v>
      </c>
      <c r="E13" s="14" t="s">
        <v>350</v>
      </c>
      <c r="F13" s="2" t="s">
        <v>351</v>
      </c>
      <c r="H13" s="299" t="s">
        <v>350</v>
      </c>
      <c r="I13" s="300"/>
      <c r="J13" s="300"/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0"/>
      <c r="AD13" s="300"/>
      <c r="AE13" s="300"/>
      <c r="AF13" s="300"/>
      <c r="AG13" s="300"/>
      <c r="AH13" s="300"/>
      <c r="AI13" s="300"/>
      <c r="AJ13" s="300"/>
      <c r="AK13" s="300"/>
      <c r="AL13" s="300"/>
      <c r="AM13" s="301"/>
    </row>
    <row r="14" spans="1:39" ht="16.5">
      <c r="A14" s="12">
        <v>11</v>
      </c>
      <c r="B14" s="168"/>
      <c r="C14" s="287"/>
      <c r="D14" s="14" t="str">
        <f t="shared" si="1"/>
        <v>02C</v>
      </c>
      <c r="E14" s="51" t="s">
        <v>119</v>
      </c>
      <c r="F14" s="53" t="s">
        <v>4</v>
      </c>
      <c r="H14" s="169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53" t="s">
        <v>120</v>
      </c>
      <c r="AG14" s="153"/>
      <c r="AH14" s="153"/>
      <c r="AI14" s="153"/>
      <c r="AJ14" s="153"/>
      <c r="AK14" s="153"/>
      <c r="AL14" s="153"/>
      <c r="AM14" s="154"/>
    </row>
    <row r="15" spans="1:39" ht="17.25" thickBot="1">
      <c r="A15" s="12">
        <v>12</v>
      </c>
      <c r="B15" s="285"/>
      <c r="C15" s="288"/>
      <c r="D15" s="42" t="str">
        <f>DEC2HEX(A15*4, 3)</f>
        <v>030</v>
      </c>
      <c r="E15" s="42" t="s">
        <v>90</v>
      </c>
      <c r="F15" s="54" t="s">
        <v>6</v>
      </c>
      <c r="G15" s="48"/>
      <c r="H15" s="82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289" t="s">
        <v>301</v>
      </c>
      <c r="Y15" s="290"/>
      <c r="Z15" s="290"/>
      <c r="AA15" s="290"/>
      <c r="AB15" s="290"/>
      <c r="AC15" s="290"/>
      <c r="AD15" s="290"/>
      <c r="AE15" s="290"/>
      <c r="AF15" s="58" t="s">
        <v>68</v>
      </c>
      <c r="AG15" s="58" t="s">
        <v>69</v>
      </c>
      <c r="AH15" s="58" t="s">
        <v>70</v>
      </c>
      <c r="AI15" s="58" t="s">
        <v>71</v>
      </c>
      <c r="AJ15" s="58" t="s">
        <v>43</v>
      </c>
      <c r="AK15" s="58"/>
      <c r="AL15" s="58"/>
      <c r="AM15" s="59" t="s">
        <v>60</v>
      </c>
    </row>
    <row r="16" spans="1:39" ht="15" thickBot="1"/>
    <row r="17" spans="1:34" ht="17.25" thickBot="1">
      <c r="I17" s="255" t="s">
        <v>230</v>
      </c>
      <c r="J17" s="256"/>
      <c r="K17" s="256"/>
      <c r="L17" s="256"/>
      <c r="M17" s="256"/>
      <c r="N17" s="256"/>
      <c r="O17" s="256"/>
      <c r="P17" s="257"/>
    </row>
    <row r="18" spans="1:34" ht="17.25" thickBot="1">
      <c r="I18" s="308" t="s">
        <v>226</v>
      </c>
      <c r="J18" s="309"/>
      <c r="K18" s="310" t="s">
        <v>229</v>
      </c>
      <c r="L18" s="310"/>
      <c r="M18" s="310"/>
      <c r="N18" s="310"/>
      <c r="O18" s="310"/>
      <c r="P18" s="311"/>
    </row>
    <row r="19" spans="1:34" ht="15" thickBot="1"/>
    <row r="20" spans="1:34" ht="17.25" thickBot="1">
      <c r="I20" s="213" t="s">
        <v>231</v>
      </c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5"/>
    </row>
    <row r="21" spans="1:34" ht="17.25" thickBot="1">
      <c r="I21" s="245" t="s">
        <v>198</v>
      </c>
      <c r="J21" s="246"/>
      <c r="K21" s="247" t="s">
        <v>279</v>
      </c>
      <c r="L21" s="248"/>
      <c r="M21" s="248"/>
      <c r="N21" s="248"/>
      <c r="O21" s="248"/>
      <c r="P21" s="249"/>
      <c r="R21" s="308" t="s">
        <v>201</v>
      </c>
      <c r="S21" s="314"/>
      <c r="T21" s="314"/>
      <c r="U21" s="315" t="s">
        <v>208</v>
      </c>
      <c r="V21" s="315"/>
      <c r="W21" s="315"/>
      <c r="X21" s="315"/>
      <c r="Y21" s="316"/>
      <c r="AA21" s="262" t="s">
        <v>203</v>
      </c>
      <c r="AB21" s="263"/>
      <c r="AC21" s="240" t="s">
        <v>237</v>
      </c>
      <c r="AD21" s="241"/>
      <c r="AE21" s="241"/>
      <c r="AF21" s="241"/>
      <c r="AG21" s="241"/>
      <c r="AH21" s="242"/>
    </row>
    <row r="22" spans="1:34" ht="17.25" thickBot="1">
      <c r="I22" s="250" t="s">
        <v>217</v>
      </c>
      <c r="J22" s="251"/>
      <c r="K22" s="252" t="s">
        <v>284</v>
      </c>
      <c r="L22" s="253"/>
      <c r="M22" s="253"/>
      <c r="N22" s="253"/>
      <c r="O22" s="253"/>
      <c r="P22" s="254"/>
      <c r="AA22" s="264"/>
      <c r="AB22" s="265"/>
      <c r="AC22" s="243"/>
      <c r="AD22" s="243"/>
      <c r="AE22" s="243"/>
      <c r="AF22" s="243"/>
      <c r="AG22" s="243"/>
      <c r="AH22" s="244"/>
    </row>
    <row r="23" spans="1:34" ht="17.25" thickBot="1">
      <c r="I23" s="238" t="s">
        <v>218</v>
      </c>
      <c r="J23" s="239"/>
      <c r="K23" s="305" t="s">
        <v>285</v>
      </c>
      <c r="L23" s="273"/>
      <c r="M23" s="273"/>
      <c r="N23" s="273"/>
      <c r="O23" s="273"/>
      <c r="P23" s="274"/>
    </row>
    <row r="24" spans="1:34" ht="17.25" thickBot="1">
      <c r="A24" s="65"/>
      <c r="K24" s="77"/>
      <c r="L24" s="78"/>
      <c r="M24" s="78"/>
      <c r="N24" s="78"/>
      <c r="O24" s="78"/>
      <c r="P24" s="78"/>
    </row>
    <row r="25" spans="1:34" ht="17.25" thickBot="1">
      <c r="I25" s="278" t="s">
        <v>232</v>
      </c>
      <c r="J25" s="279"/>
      <c r="K25" s="279"/>
      <c r="L25" s="279"/>
      <c r="M25" s="279"/>
      <c r="N25" s="279"/>
      <c r="O25" s="279"/>
      <c r="P25" s="280"/>
    </row>
    <row r="26" spans="1:34" ht="17.25" customHeight="1">
      <c r="I26" s="245" t="s">
        <v>221</v>
      </c>
      <c r="J26" s="246"/>
      <c r="K26" s="329" t="s">
        <v>239</v>
      </c>
      <c r="L26" s="330"/>
      <c r="M26" s="330"/>
      <c r="N26" s="330"/>
      <c r="O26" s="330"/>
      <c r="P26" s="331"/>
    </row>
    <row r="27" spans="1:34" ht="16.5" customHeight="1" thickBot="1">
      <c r="I27" s="238"/>
      <c r="J27" s="239"/>
      <c r="K27" s="302" t="s">
        <v>302</v>
      </c>
      <c r="L27" s="303"/>
      <c r="M27" s="303"/>
      <c r="N27" s="303"/>
      <c r="O27" s="303"/>
      <c r="P27" s="304"/>
    </row>
    <row r="28" spans="1:34" ht="16.5">
      <c r="K28" s="77"/>
      <c r="L28" s="78"/>
      <c r="M28" s="78"/>
      <c r="N28" s="78"/>
      <c r="O28" s="78"/>
      <c r="P28" s="78"/>
    </row>
    <row r="29" spans="1:34" ht="17.25" thickBot="1">
      <c r="K29" s="77"/>
      <c r="L29" s="78"/>
      <c r="M29" s="78"/>
      <c r="N29" s="78"/>
      <c r="O29" s="78"/>
      <c r="P29" s="78"/>
    </row>
    <row r="30" spans="1:34" ht="17.25" thickBot="1">
      <c r="I30" s="255" t="s">
        <v>233</v>
      </c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7"/>
    </row>
    <row r="31" spans="1:34" ht="16.5" customHeight="1">
      <c r="A31" s="65"/>
      <c r="I31" s="245" t="s">
        <v>72</v>
      </c>
      <c r="J31" s="246"/>
      <c r="K31" s="247" t="s">
        <v>222</v>
      </c>
      <c r="L31" s="248"/>
      <c r="M31" s="248"/>
      <c r="N31" s="248"/>
      <c r="O31" s="248"/>
      <c r="P31" s="249"/>
      <c r="R31" s="245" t="s">
        <v>64</v>
      </c>
      <c r="S31" s="246"/>
      <c r="T31" s="247" t="s">
        <v>277</v>
      </c>
      <c r="U31" s="248"/>
      <c r="V31" s="248"/>
      <c r="W31" s="248"/>
      <c r="X31" s="248"/>
      <c r="Y31" s="249"/>
    </row>
    <row r="32" spans="1:34" ht="17.25" thickBot="1">
      <c r="A32" s="65"/>
      <c r="I32" s="250" t="s">
        <v>73</v>
      </c>
      <c r="J32" s="251"/>
      <c r="K32" s="252" t="s">
        <v>224</v>
      </c>
      <c r="L32" s="253"/>
      <c r="M32" s="253"/>
      <c r="N32" s="253"/>
      <c r="O32" s="253"/>
      <c r="P32" s="254"/>
      <c r="R32" s="238" t="s">
        <v>65</v>
      </c>
      <c r="S32" s="239"/>
      <c r="T32" s="273" t="s">
        <v>238</v>
      </c>
      <c r="U32" s="273"/>
      <c r="V32" s="273"/>
      <c r="W32" s="273"/>
      <c r="X32" s="273"/>
      <c r="Y32" s="274"/>
    </row>
    <row r="33" spans="9:16">
      <c r="I33" s="250" t="s">
        <v>74</v>
      </c>
      <c r="J33" s="251"/>
      <c r="K33" s="326" t="s">
        <v>223</v>
      </c>
      <c r="L33" s="269"/>
      <c r="M33" s="269"/>
      <c r="N33" s="269"/>
      <c r="O33" s="269"/>
      <c r="P33" s="270"/>
    </row>
    <row r="34" spans="9:16" ht="15" thickBot="1">
      <c r="I34" s="238" t="s">
        <v>75</v>
      </c>
      <c r="J34" s="239"/>
      <c r="K34" s="267" t="s">
        <v>225</v>
      </c>
      <c r="L34" s="243"/>
      <c r="M34" s="243"/>
      <c r="N34" s="243"/>
      <c r="O34" s="243"/>
      <c r="P34" s="244"/>
    </row>
  </sheetData>
  <mergeCells count="56">
    <mergeCell ref="I34:J34"/>
    <mergeCell ref="K34:P34"/>
    <mergeCell ref="P12:U12"/>
    <mergeCell ref="I12:M12"/>
    <mergeCell ref="K26:P26"/>
    <mergeCell ref="K27:P27"/>
    <mergeCell ref="I32:J32"/>
    <mergeCell ref="K32:P32"/>
    <mergeCell ref="R32:S32"/>
    <mergeCell ref="T32:Y32"/>
    <mergeCell ref="I33:J33"/>
    <mergeCell ref="K33:P33"/>
    <mergeCell ref="I30:Y30"/>
    <mergeCell ref="I31:J31"/>
    <mergeCell ref="K31:P31"/>
    <mergeCell ref="R31:S31"/>
    <mergeCell ref="T31:Y31"/>
    <mergeCell ref="I25:P25"/>
    <mergeCell ref="I26:J27"/>
    <mergeCell ref="I23:J23"/>
    <mergeCell ref="K23:P23"/>
    <mergeCell ref="I20:AH20"/>
    <mergeCell ref="I21:J21"/>
    <mergeCell ref="K21:P21"/>
    <mergeCell ref="R21:T21"/>
    <mergeCell ref="U21:Y21"/>
    <mergeCell ref="AA21:AB22"/>
    <mergeCell ref="AC21:AH22"/>
    <mergeCell ref="I22:J22"/>
    <mergeCell ref="K22:P22"/>
    <mergeCell ref="I18:J18"/>
    <mergeCell ref="K18:P18"/>
    <mergeCell ref="H10:AM10"/>
    <mergeCell ref="H11:AM11"/>
    <mergeCell ref="X12:AM12"/>
    <mergeCell ref="H13:AM13"/>
    <mergeCell ref="H14:AE14"/>
    <mergeCell ref="AF14:AM14"/>
    <mergeCell ref="I17:P17"/>
    <mergeCell ref="H1:O1"/>
    <mergeCell ref="P1:W1"/>
    <mergeCell ref="X1:AE1"/>
    <mergeCell ref="AF1:AM1"/>
    <mergeCell ref="AF7:AM7"/>
    <mergeCell ref="B3:B15"/>
    <mergeCell ref="C3:C15"/>
    <mergeCell ref="E3:E6"/>
    <mergeCell ref="H3:AM6"/>
    <mergeCell ref="H7:W7"/>
    <mergeCell ref="X7:AE7"/>
    <mergeCell ref="X15:AE15"/>
    <mergeCell ref="H9:AM9"/>
    <mergeCell ref="H8:O8"/>
    <mergeCell ref="P8:W8"/>
    <mergeCell ref="X8:AE8"/>
    <mergeCell ref="AF8:AM8"/>
  </mergeCells>
  <phoneticPr fontId="24" type="noConversion"/>
  <pageMargins left="0.7" right="0.7" top="0.75" bottom="0.75" header="0.3" footer="0.3"/>
  <pageSetup paperSize="9" scale="48" orientation="landscape" horizontalDpi="4294967293" vertic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43"/>
  <sheetViews>
    <sheetView zoomScaleNormal="100" workbookViewId="0">
      <pane xSplit="39" ySplit="21" topLeftCell="AN22" activePane="bottomRight" state="frozen"/>
      <selection pane="topRight" activeCell="AN1" sqref="AN1"/>
      <selection pane="bottomLeft" activeCell="A22" sqref="A22"/>
      <selection pane="bottomRight" activeCell="E35" sqref="E35"/>
    </sheetView>
  </sheetViews>
  <sheetFormatPr defaultRowHeight="14.25"/>
  <cols>
    <col min="1" max="1" width="3.75" style="12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5" thickBot="1">
      <c r="H1" s="229">
        <v>3</v>
      </c>
      <c r="I1" s="229"/>
      <c r="J1" s="229"/>
      <c r="K1" s="229"/>
      <c r="L1" s="229"/>
      <c r="M1" s="229"/>
      <c r="N1" s="229"/>
      <c r="O1" s="229"/>
      <c r="P1" s="229">
        <v>2</v>
      </c>
      <c r="Q1" s="229"/>
      <c r="R1" s="229"/>
      <c r="S1" s="229"/>
      <c r="T1" s="229"/>
      <c r="U1" s="229"/>
      <c r="V1" s="229"/>
      <c r="W1" s="229"/>
      <c r="X1" s="229">
        <v>1</v>
      </c>
      <c r="Y1" s="229"/>
      <c r="Z1" s="229"/>
      <c r="AA1" s="229"/>
      <c r="AB1" s="229"/>
      <c r="AC1" s="229"/>
      <c r="AD1" s="229"/>
      <c r="AE1" s="229"/>
      <c r="AF1" s="229">
        <v>0</v>
      </c>
      <c r="AG1" s="229"/>
      <c r="AH1" s="229"/>
      <c r="AI1" s="229"/>
      <c r="AJ1" s="229"/>
      <c r="AK1" s="229"/>
      <c r="AL1" s="229"/>
      <c r="AM1" s="229"/>
    </row>
    <row r="2" spans="1:39" ht="15" thickBot="1">
      <c r="B2" s="8" t="s">
        <v>3</v>
      </c>
      <c r="C2" s="8" t="s">
        <v>2</v>
      </c>
      <c r="D2" s="9" t="s">
        <v>16</v>
      </c>
      <c r="E2" s="9" t="s">
        <v>0</v>
      </c>
      <c r="F2" s="7" t="s">
        <v>17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0" t="s">
        <v>123</v>
      </c>
      <c r="C3" s="164" t="s">
        <v>125</v>
      </c>
      <c r="D3" s="45" t="str">
        <f>DEC2HEX(A3*4, 3)</f>
        <v>000</v>
      </c>
      <c r="E3" s="167" t="s">
        <v>0</v>
      </c>
      <c r="F3" s="45" t="s">
        <v>6</v>
      </c>
      <c r="G3" s="10"/>
      <c r="H3" s="206" t="s">
        <v>124</v>
      </c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8"/>
    </row>
    <row r="4" spans="1:39">
      <c r="A4" s="12">
        <v>1</v>
      </c>
      <c r="B4" s="151"/>
      <c r="C4" s="165"/>
      <c r="D4" s="2" t="str">
        <f>DEC2HEX(A4*4, 3)</f>
        <v>004</v>
      </c>
      <c r="E4" s="168"/>
      <c r="F4" s="2" t="s">
        <v>6</v>
      </c>
      <c r="G4" s="1"/>
      <c r="H4" s="209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1"/>
    </row>
    <row r="5" spans="1:39">
      <c r="A5" s="12">
        <v>2</v>
      </c>
      <c r="B5" s="151"/>
      <c r="C5" s="165"/>
      <c r="D5" s="2" t="str">
        <f t="shared" ref="D5:D21" si="1">DEC2HEX(A5*4, 3)</f>
        <v>008</v>
      </c>
      <c r="E5" s="168"/>
      <c r="F5" s="2" t="s">
        <v>6</v>
      </c>
      <c r="G5" s="1"/>
      <c r="H5" s="209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1"/>
    </row>
    <row r="6" spans="1:39">
      <c r="A6" s="12">
        <v>3</v>
      </c>
      <c r="B6" s="151"/>
      <c r="C6" s="165"/>
      <c r="D6" s="2" t="str">
        <f t="shared" si="1"/>
        <v>00C</v>
      </c>
      <c r="E6" s="168"/>
      <c r="F6" s="2" t="s">
        <v>6</v>
      </c>
      <c r="G6" s="1"/>
      <c r="H6" s="209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1"/>
    </row>
    <row r="7" spans="1:39">
      <c r="A7" s="12">
        <v>4</v>
      </c>
      <c r="B7" s="151"/>
      <c r="C7" s="165"/>
      <c r="D7" s="2" t="str">
        <f t="shared" si="1"/>
        <v>010</v>
      </c>
      <c r="E7" s="14" t="s">
        <v>106</v>
      </c>
      <c r="F7" s="2" t="s">
        <v>6</v>
      </c>
      <c r="G7" s="1"/>
      <c r="H7" s="169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53" t="s">
        <v>54</v>
      </c>
      <c r="Y7" s="153"/>
      <c r="Z7" s="153"/>
      <c r="AA7" s="153"/>
      <c r="AB7" s="153"/>
      <c r="AC7" s="153"/>
      <c r="AD7" s="153"/>
      <c r="AE7" s="153"/>
      <c r="AF7" s="153" t="s">
        <v>55</v>
      </c>
      <c r="AG7" s="153"/>
      <c r="AH7" s="153"/>
      <c r="AI7" s="153"/>
      <c r="AJ7" s="153"/>
      <c r="AK7" s="153"/>
      <c r="AL7" s="153"/>
      <c r="AM7" s="154"/>
    </row>
    <row r="8" spans="1:39">
      <c r="A8" s="12">
        <v>5</v>
      </c>
      <c r="B8" s="151"/>
      <c r="C8" s="165"/>
      <c r="D8" s="2" t="str">
        <f t="shared" si="1"/>
        <v>014</v>
      </c>
      <c r="E8" s="14" t="s">
        <v>107</v>
      </c>
      <c r="F8" s="2" t="s">
        <v>6</v>
      </c>
      <c r="G8" s="1"/>
      <c r="H8" s="169"/>
      <c r="I8" s="170"/>
      <c r="J8" s="170"/>
      <c r="K8" s="170"/>
      <c r="L8" s="170"/>
      <c r="M8" s="170"/>
      <c r="N8" s="170"/>
      <c r="O8" s="170"/>
      <c r="P8" s="153" t="s">
        <v>56</v>
      </c>
      <c r="Q8" s="153"/>
      <c r="R8" s="153"/>
      <c r="S8" s="153"/>
      <c r="T8" s="153"/>
      <c r="U8" s="153"/>
      <c r="V8" s="153"/>
      <c r="W8" s="153"/>
      <c r="X8" s="153" t="s">
        <v>76</v>
      </c>
      <c r="Y8" s="153"/>
      <c r="Z8" s="153"/>
      <c r="AA8" s="153"/>
      <c r="AB8" s="153"/>
      <c r="AC8" s="153"/>
      <c r="AD8" s="153"/>
      <c r="AE8" s="153"/>
      <c r="AF8" s="153" t="s">
        <v>57</v>
      </c>
      <c r="AG8" s="153"/>
      <c r="AH8" s="153"/>
      <c r="AI8" s="153"/>
      <c r="AJ8" s="153"/>
      <c r="AK8" s="153"/>
      <c r="AL8" s="153"/>
      <c r="AM8" s="154"/>
    </row>
    <row r="9" spans="1:39" ht="16.5">
      <c r="A9" s="12">
        <v>6</v>
      </c>
      <c r="B9" s="151"/>
      <c r="C9" s="165"/>
      <c r="D9" s="2" t="str">
        <f t="shared" si="1"/>
        <v>018</v>
      </c>
      <c r="E9" s="51" t="s">
        <v>105</v>
      </c>
      <c r="F9" s="2" t="s">
        <v>4</v>
      </c>
      <c r="G9" s="1"/>
      <c r="H9" s="169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212"/>
    </row>
    <row r="10" spans="1:39" ht="16.5">
      <c r="A10" s="12">
        <v>7</v>
      </c>
      <c r="B10" s="151"/>
      <c r="C10" s="165"/>
      <c r="D10" s="2" t="str">
        <f t="shared" si="1"/>
        <v>01C</v>
      </c>
      <c r="E10" s="51" t="s">
        <v>105</v>
      </c>
      <c r="F10" s="53" t="s">
        <v>4</v>
      </c>
      <c r="G10" s="1"/>
      <c r="H10" s="169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212"/>
    </row>
    <row r="11" spans="1:39" ht="16.5">
      <c r="A11" s="12">
        <v>8</v>
      </c>
      <c r="B11" s="151"/>
      <c r="C11" s="165"/>
      <c r="D11" s="2" t="str">
        <f t="shared" si="1"/>
        <v>020</v>
      </c>
      <c r="E11" s="51" t="s">
        <v>89</v>
      </c>
      <c r="F11" s="53" t="s">
        <v>4</v>
      </c>
      <c r="G11" s="1"/>
      <c r="H11" s="181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90"/>
      <c r="AE11" s="66" t="s">
        <v>78</v>
      </c>
      <c r="AF11" s="333" t="s">
        <v>116</v>
      </c>
      <c r="AG11" s="334"/>
      <c r="AH11" s="66" t="s">
        <v>33</v>
      </c>
      <c r="AI11" s="55" t="s">
        <v>18</v>
      </c>
      <c r="AJ11" s="191" t="s">
        <v>359</v>
      </c>
      <c r="AK11" s="192"/>
      <c r="AL11" s="192"/>
      <c r="AM11" s="193"/>
    </row>
    <row r="12" spans="1:39" ht="16.5">
      <c r="A12" s="12">
        <v>9</v>
      </c>
      <c r="B12" s="151"/>
      <c r="C12" s="165"/>
      <c r="D12" s="2" t="str">
        <f t="shared" si="1"/>
        <v>024</v>
      </c>
      <c r="E12" s="51" t="s">
        <v>126</v>
      </c>
      <c r="F12" s="53" t="s">
        <v>4</v>
      </c>
      <c r="G12" s="1"/>
      <c r="H12" s="234" t="s">
        <v>248</v>
      </c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3"/>
    </row>
    <row r="13" spans="1:39" ht="16.5">
      <c r="A13" s="12">
        <v>10</v>
      </c>
      <c r="B13" s="151"/>
      <c r="C13" s="165"/>
      <c r="D13" s="2" t="str">
        <f t="shared" si="1"/>
        <v>028</v>
      </c>
      <c r="E13" s="51" t="s">
        <v>127</v>
      </c>
      <c r="F13" s="53" t="s">
        <v>4</v>
      </c>
      <c r="G13" s="1"/>
      <c r="H13" s="181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90"/>
      <c r="AL13" s="122" t="s">
        <v>254</v>
      </c>
      <c r="AM13" s="67" t="s">
        <v>255</v>
      </c>
    </row>
    <row r="14" spans="1:39" ht="16.5">
      <c r="A14" s="12">
        <v>11</v>
      </c>
      <c r="B14" s="151"/>
      <c r="C14" s="165"/>
      <c r="D14" s="2" t="str">
        <f t="shared" si="1"/>
        <v>02C</v>
      </c>
      <c r="E14" s="51" t="s">
        <v>128</v>
      </c>
      <c r="F14" s="53" t="s">
        <v>4</v>
      </c>
      <c r="G14" s="1"/>
      <c r="H14" s="181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90"/>
      <c r="AG14" s="333" t="s">
        <v>130</v>
      </c>
      <c r="AH14" s="335"/>
      <c r="AI14" s="334"/>
      <c r="AJ14" s="64"/>
      <c r="AK14" s="306" t="s">
        <v>129</v>
      </c>
      <c r="AL14" s="192"/>
      <c r="AM14" s="193"/>
    </row>
    <row r="15" spans="1:39" ht="16.5">
      <c r="A15" s="12">
        <v>12</v>
      </c>
      <c r="B15" s="151"/>
      <c r="C15" s="165"/>
      <c r="D15" s="2" t="str">
        <f t="shared" si="1"/>
        <v>030</v>
      </c>
      <c r="E15" s="51" t="s">
        <v>90</v>
      </c>
      <c r="F15" s="2" t="s">
        <v>6</v>
      </c>
      <c r="G15" s="1"/>
      <c r="H15" s="181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90"/>
      <c r="AE15" s="66" t="s">
        <v>43</v>
      </c>
      <c r="AF15" s="306" t="s">
        <v>116</v>
      </c>
      <c r="AG15" s="307"/>
      <c r="AH15" s="66" t="s">
        <v>33</v>
      </c>
      <c r="AI15" s="55" t="s">
        <v>18</v>
      </c>
      <c r="AJ15" s="191" t="s">
        <v>359</v>
      </c>
      <c r="AK15" s="192"/>
      <c r="AL15" s="192"/>
      <c r="AM15" s="193"/>
    </row>
    <row r="16" spans="1:39">
      <c r="A16" s="20"/>
      <c r="B16" s="151"/>
      <c r="C16" s="165"/>
      <c r="D16" s="21"/>
      <c r="E16" s="22"/>
      <c r="F16" s="23"/>
      <c r="G16" s="24"/>
      <c r="H16" s="22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3"/>
    </row>
    <row r="17" spans="1:39">
      <c r="A17" s="20"/>
      <c r="B17" s="151"/>
      <c r="C17" s="165"/>
      <c r="D17" s="21"/>
      <c r="E17" s="22"/>
      <c r="F17" s="23"/>
      <c r="G17" s="24"/>
      <c r="H17" s="2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3"/>
    </row>
    <row r="18" spans="1:39" ht="16.5">
      <c r="A18" s="12">
        <v>16</v>
      </c>
      <c r="B18" s="151"/>
      <c r="C18" s="165"/>
      <c r="D18" s="2" t="str">
        <f t="shared" si="1"/>
        <v>040</v>
      </c>
      <c r="E18" s="165" t="s">
        <v>303</v>
      </c>
      <c r="F18" s="2" t="s">
        <v>7</v>
      </c>
      <c r="G18" s="1"/>
      <c r="H18" s="165" t="s">
        <v>304</v>
      </c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 t="s">
        <v>308</v>
      </c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341"/>
    </row>
    <row r="19" spans="1:39">
      <c r="A19" s="12">
        <v>17</v>
      </c>
      <c r="B19" s="151"/>
      <c r="C19" s="165"/>
      <c r="D19" s="2" t="str">
        <f t="shared" si="1"/>
        <v>044</v>
      </c>
      <c r="E19" s="165"/>
      <c r="F19" s="2" t="s">
        <v>19</v>
      </c>
      <c r="G19" s="1"/>
      <c r="H19" s="165" t="s">
        <v>305</v>
      </c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 t="s">
        <v>309</v>
      </c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  <c r="AM19" s="341"/>
    </row>
    <row r="20" spans="1:39">
      <c r="A20" s="12">
        <v>18</v>
      </c>
      <c r="B20" s="151"/>
      <c r="C20" s="165"/>
      <c r="D20" s="2" t="str">
        <f t="shared" si="1"/>
        <v>048</v>
      </c>
      <c r="E20" s="165"/>
      <c r="F20" s="2" t="s">
        <v>20</v>
      </c>
      <c r="G20" s="1"/>
      <c r="H20" s="165" t="s">
        <v>306</v>
      </c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 t="s">
        <v>310</v>
      </c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  <c r="AI20" s="287"/>
      <c r="AJ20" s="287"/>
      <c r="AK20" s="287"/>
      <c r="AL20" s="287"/>
      <c r="AM20" s="341"/>
    </row>
    <row r="21" spans="1:39" ht="15" thickBot="1">
      <c r="A21" s="12">
        <v>19</v>
      </c>
      <c r="B21" s="152"/>
      <c r="C21" s="166"/>
      <c r="D21" s="3" t="str">
        <f t="shared" si="1"/>
        <v>04C</v>
      </c>
      <c r="E21" s="166"/>
      <c r="F21" s="3" t="s">
        <v>20</v>
      </c>
      <c r="G21" s="11"/>
      <c r="H21" s="166" t="s">
        <v>307</v>
      </c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 t="s">
        <v>311</v>
      </c>
      <c r="Y21" s="288"/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332"/>
    </row>
    <row r="22" spans="1:39" ht="15" thickBot="1">
      <c r="B22" s="84"/>
      <c r="C22" s="12"/>
      <c r="D22" s="12"/>
      <c r="E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9" ht="17.25" thickBot="1">
      <c r="B23" s="84"/>
      <c r="C23" s="12"/>
      <c r="D23" s="12"/>
      <c r="E23" s="12"/>
      <c r="H23" s="12"/>
      <c r="I23" s="255" t="s">
        <v>312</v>
      </c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7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9" ht="17.25" customHeight="1">
      <c r="I24" s="364" t="s">
        <v>121</v>
      </c>
      <c r="J24" s="365"/>
      <c r="K24" s="366" t="s">
        <v>279</v>
      </c>
      <c r="L24" s="367"/>
      <c r="M24" s="367"/>
      <c r="N24" s="367"/>
      <c r="O24" s="367"/>
      <c r="P24" s="368"/>
      <c r="R24" s="258" t="s">
        <v>360</v>
      </c>
      <c r="S24" s="259"/>
      <c r="T24" s="247" t="s">
        <v>373</v>
      </c>
      <c r="U24" s="248"/>
      <c r="V24" s="248"/>
      <c r="W24" s="248"/>
      <c r="X24" s="248"/>
      <c r="Y24" s="248"/>
      <c r="Z24" s="249"/>
    </row>
    <row r="25" spans="1:39" ht="17.25" thickBot="1">
      <c r="C25" s="89"/>
      <c r="I25" s="336" t="s">
        <v>241</v>
      </c>
      <c r="J25" s="337"/>
      <c r="K25" s="338" t="s">
        <v>240</v>
      </c>
      <c r="L25" s="339"/>
      <c r="M25" s="339"/>
      <c r="N25" s="339"/>
      <c r="O25" s="339"/>
      <c r="P25" s="340"/>
      <c r="R25" s="260"/>
      <c r="S25" s="261"/>
      <c r="T25" s="305"/>
      <c r="U25" s="273"/>
      <c r="V25" s="273"/>
      <c r="W25" s="273"/>
      <c r="X25" s="273"/>
      <c r="Y25" s="273"/>
      <c r="Z25" s="274"/>
    </row>
    <row r="26" spans="1:39" ht="16.5">
      <c r="C26" s="89"/>
      <c r="I26" s="317" t="s">
        <v>242</v>
      </c>
      <c r="J26" s="251"/>
      <c r="K26" s="252" t="s">
        <v>286</v>
      </c>
      <c r="L26" s="253"/>
      <c r="M26" s="253"/>
      <c r="N26" s="253"/>
      <c r="O26" s="253"/>
      <c r="P26" s="254"/>
    </row>
    <row r="27" spans="1:39" ht="17.25" thickBot="1">
      <c r="I27" s="260" t="s">
        <v>178</v>
      </c>
      <c r="J27" s="239"/>
      <c r="K27" s="305" t="s">
        <v>287</v>
      </c>
      <c r="L27" s="273"/>
      <c r="M27" s="273"/>
      <c r="N27" s="273"/>
      <c r="O27" s="273"/>
      <c r="P27" s="274"/>
    </row>
    <row r="28" spans="1:39" ht="17.25" thickBot="1">
      <c r="C28" s="89"/>
    </row>
    <row r="29" spans="1:39" ht="17.25" thickBot="1">
      <c r="C29" s="89"/>
      <c r="I29" s="255" t="s">
        <v>245</v>
      </c>
      <c r="J29" s="256"/>
      <c r="K29" s="256"/>
      <c r="L29" s="256"/>
      <c r="M29" s="256"/>
      <c r="N29" s="256"/>
      <c r="O29" s="256"/>
      <c r="P29" s="256"/>
      <c r="Q29" s="256"/>
      <c r="R29" s="257"/>
    </row>
    <row r="30" spans="1:39" ht="17.25" thickBot="1">
      <c r="I30" s="308" t="s">
        <v>126</v>
      </c>
      <c r="J30" s="309"/>
      <c r="K30" s="346" t="s">
        <v>246</v>
      </c>
      <c r="L30" s="347"/>
      <c r="M30" s="347"/>
      <c r="N30" s="347"/>
      <c r="O30" s="347"/>
      <c r="P30" s="347"/>
      <c r="Q30" s="347"/>
      <c r="R30" s="348"/>
    </row>
    <row r="31" spans="1:39" ht="15" thickBot="1"/>
    <row r="32" spans="1:39" ht="17.25" thickBot="1">
      <c r="I32" s="278" t="s">
        <v>247</v>
      </c>
      <c r="J32" s="279"/>
      <c r="K32" s="279"/>
      <c r="L32" s="279"/>
      <c r="M32" s="279"/>
      <c r="N32" s="279"/>
      <c r="O32" s="279"/>
      <c r="P32" s="279"/>
      <c r="Q32" s="279"/>
      <c r="R32" s="280"/>
    </row>
    <row r="33" spans="1:25" ht="16.5">
      <c r="A33" s="63"/>
      <c r="I33" s="358" t="s">
        <v>256</v>
      </c>
      <c r="J33" s="359"/>
      <c r="K33" s="361" t="s">
        <v>249</v>
      </c>
      <c r="L33" s="361"/>
      <c r="M33" s="361"/>
      <c r="N33" s="361"/>
      <c r="O33" s="361"/>
      <c r="P33" s="361"/>
      <c r="Q33" s="361"/>
      <c r="R33" s="362"/>
    </row>
    <row r="34" spans="1:25" ht="16.5">
      <c r="A34" s="63"/>
      <c r="I34" s="336"/>
      <c r="J34" s="360"/>
      <c r="K34" s="338" t="s">
        <v>250</v>
      </c>
      <c r="L34" s="338"/>
      <c r="M34" s="338"/>
      <c r="N34" s="338"/>
      <c r="O34" s="338"/>
      <c r="P34" s="338"/>
      <c r="Q34" s="338"/>
      <c r="R34" s="363"/>
    </row>
    <row r="35" spans="1:25">
      <c r="I35" s="317" t="s">
        <v>257</v>
      </c>
      <c r="J35" s="349"/>
      <c r="K35" s="350" t="s">
        <v>251</v>
      </c>
      <c r="L35" s="350"/>
      <c r="M35" s="350"/>
      <c r="N35" s="350"/>
      <c r="O35" s="350"/>
      <c r="P35" s="350"/>
      <c r="Q35" s="350"/>
      <c r="R35" s="351"/>
    </row>
    <row r="36" spans="1:25" ht="17.25" thickBot="1">
      <c r="A36" s="63"/>
      <c r="I36" s="260"/>
      <c r="J36" s="261"/>
      <c r="K36" s="305" t="s">
        <v>252</v>
      </c>
      <c r="L36" s="305"/>
      <c r="M36" s="305"/>
      <c r="N36" s="305"/>
      <c r="O36" s="305"/>
      <c r="P36" s="305"/>
      <c r="Q36" s="305"/>
      <c r="R36" s="352"/>
    </row>
    <row r="37" spans="1:25" ht="15" thickBot="1"/>
    <row r="38" spans="1:25" ht="17.25" thickBot="1">
      <c r="A38" s="63"/>
      <c r="I38" s="255" t="s">
        <v>253</v>
      </c>
      <c r="J38" s="256"/>
      <c r="K38" s="256"/>
      <c r="L38" s="256"/>
      <c r="M38" s="256"/>
      <c r="N38" s="256"/>
      <c r="O38" s="256"/>
      <c r="P38" s="256"/>
      <c r="Q38" s="256"/>
      <c r="R38" s="257"/>
    </row>
    <row r="39" spans="1:25" ht="17.25" thickBot="1">
      <c r="I39" s="353" t="s">
        <v>130</v>
      </c>
      <c r="J39" s="354"/>
      <c r="K39" s="355" t="s">
        <v>258</v>
      </c>
      <c r="L39" s="356"/>
      <c r="M39" s="356"/>
      <c r="N39" s="356"/>
      <c r="O39" s="356"/>
      <c r="P39" s="356"/>
      <c r="Q39" s="356"/>
      <c r="R39" s="357"/>
    </row>
    <row r="40" spans="1:25" ht="17.25" thickBot="1">
      <c r="I40" s="308" t="s">
        <v>129</v>
      </c>
      <c r="J40" s="309"/>
      <c r="K40" s="346" t="s">
        <v>259</v>
      </c>
      <c r="L40" s="347"/>
      <c r="M40" s="347"/>
      <c r="N40" s="347"/>
      <c r="O40" s="347"/>
      <c r="P40" s="347"/>
      <c r="Q40" s="347"/>
      <c r="R40" s="348"/>
    </row>
    <row r="41" spans="1:25" ht="15" thickBot="1"/>
    <row r="42" spans="1:25" ht="17.25" thickBot="1">
      <c r="I42" s="255" t="s">
        <v>243</v>
      </c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7"/>
    </row>
    <row r="43" spans="1:25" ht="17.25" thickBot="1">
      <c r="I43" s="342" t="s">
        <v>179</v>
      </c>
      <c r="J43" s="309"/>
      <c r="K43" s="343" t="s">
        <v>277</v>
      </c>
      <c r="L43" s="310"/>
      <c r="M43" s="310"/>
      <c r="N43" s="310"/>
      <c r="O43" s="310"/>
      <c r="P43" s="311"/>
      <c r="R43" s="344" t="s">
        <v>180</v>
      </c>
      <c r="S43" s="345"/>
      <c r="T43" s="343" t="s">
        <v>244</v>
      </c>
      <c r="U43" s="310"/>
      <c r="V43" s="310"/>
      <c r="W43" s="310"/>
      <c r="X43" s="310"/>
      <c r="Y43" s="311"/>
    </row>
  </sheetData>
  <mergeCells count="69">
    <mergeCell ref="AJ11:AM11"/>
    <mergeCell ref="AJ15:AM15"/>
    <mergeCell ref="I32:R32"/>
    <mergeCell ref="I33:J34"/>
    <mergeCell ref="K33:R33"/>
    <mergeCell ref="K34:R34"/>
    <mergeCell ref="R24:S25"/>
    <mergeCell ref="T24:Z24"/>
    <mergeCell ref="T25:Z25"/>
    <mergeCell ref="K30:R30"/>
    <mergeCell ref="I26:J26"/>
    <mergeCell ref="K26:P26"/>
    <mergeCell ref="I27:J27"/>
    <mergeCell ref="K27:P27"/>
    <mergeCell ref="I24:J24"/>
    <mergeCell ref="K24:P24"/>
    <mergeCell ref="I40:J40"/>
    <mergeCell ref="K40:R40"/>
    <mergeCell ref="I35:J36"/>
    <mergeCell ref="K35:R35"/>
    <mergeCell ref="K36:R36"/>
    <mergeCell ref="I38:R38"/>
    <mergeCell ref="I39:J39"/>
    <mergeCell ref="K39:R39"/>
    <mergeCell ref="I42:Y42"/>
    <mergeCell ref="I43:J43"/>
    <mergeCell ref="K43:P43"/>
    <mergeCell ref="R43:S43"/>
    <mergeCell ref="T43:Y43"/>
    <mergeCell ref="AF15:AG15"/>
    <mergeCell ref="I25:J25"/>
    <mergeCell ref="K25:P25"/>
    <mergeCell ref="I30:J30"/>
    <mergeCell ref="I29:R29"/>
    <mergeCell ref="X18:AM18"/>
    <mergeCell ref="H18:W18"/>
    <mergeCell ref="H19:W19"/>
    <mergeCell ref="X19:AM19"/>
    <mergeCell ref="H20:W20"/>
    <mergeCell ref="X20:AM20"/>
    <mergeCell ref="I23:Z23"/>
    <mergeCell ref="H12:AM12"/>
    <mergeCell ref="H13:AK13"/>
    <mergeCell ref="AG14:AI14"/>
    <mergeCell ref="H14:AF14"/>
    <mergeCell ref="AK14:AM14"/>
    <mergeCell ref="AF1:AM1"/>
    <mergeCell ref="X1:AE1"/>
    <mergeCell ref="P1:W1"/>
    <mergeCell ref="H1:O1"/>
    <mergeCell ref="H7:W7"/>
    <mergeCell ref="X7:AE7"/>
    <mergeCell ref="AF7:AM7"/>
    <mergeCell ref="B3:B21"/>
    <mergeCell ref="C3:C21"/>
    <mergeCell ref="H21:W21"/>
    <mergeCell ref="X21:AM21"/>
    <mergeCell ref="E18:E21"/>
    <mergeCell ref="E3:E6"/>
    <mergeCell ref="H3:AM6"/>
    <mergeCell ref="H8:O8"/>
    <mergeCell ref="P8:W8"/>
    <mergeCell ref="X8:AE8"/>
    <mergeCell ref="AF8:AM8"/>
    <mergeCell ref="H9:AM9"/>
    <mergeCell ref="H10:AM10"/>
    <mergeCell ref="H11:AD11"/>
    <mergeCell ref="AF11:AG11"/>
    <mergeCell ref="H15:AD15"/>
  </mergeCells>
  <phoneticPr fontId="6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M28"/>
  <sheetViews>
    <sheetView zoomScaleNormal="100" workbookViewId="0">
      <pane xSplit="39" ySplit="15" topLeftCell="AN16" activePane="bottomRight" state="frozen"/>
      <selection activeCell="AE42" sqref="AE42"/>
      <selection pane="topRight" activeCell="AE42" sqref="AE42"/>
      <selection pane="bottomLeft" activeCell="AE42" sqref="AE42"/>
      <selection pane="bottomRight" activeCell="N34" sqref="N34"/>
    </sheetView>
  </sheetViews>
  <sheetFormatPr defaultRowHeight="14.2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5" thickBot="1">
      <c r="B1" s="12"/>
      <c r="F1" s="12"/>
      <c r="H1" s="229">
        <v>3</v>
      </c>
      <c r="I1" s="229"/>
      <c r="J1" s="229"/>
      <c r="K1" s="229"/>
      <c r="L1" s="229"/>
      <c r="M1" s="229"/>
      <c r="N1" s="229"/>
      <c r="O1" s="229"/>
      <c r="P1" s="229">
        <v>2</v>
      </c>
      <c r="Q1" s="229"/>
      <c r="R1" s="229"/>
      <c r="S1" s="229"/>
      <c r="T1" s="229"/>
      <c r="U1" s="229"/>
      <c r="V1" s="229"/>
      <c r="W1" s="229"/>
      <c r="X1" s="229">
        <v>1</v>
      </c>
      <c r="Y1" s="229"/>
      <c r="Z1" s="229"/>
      <c r="AA1" s="229"/>
      <c r="AB1" s="229"/>
      <c r="AC1" s="229"/>
      <c r="AD1" s="229"/>
      <c r="AE1" s="229"/>
      <c r="AF1" s="229">
        <v>0</v>
      </c>
      <c r="AG1" s="229"/>
      <c r="AH1" s="229"/>
      <c r="AI1" s="229"/>
      <c r="AJ1" s="229"/>
      <c r="AK1" s="229"/>
      <c r="AL1" s="229"/>
      <c r="AM1" s="229"/>
    </row>
    <row r="2" spans="1:39" ht="1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0" t="s">
        <v>375</v>
      </c>
      <c r="C3" s="164" t="s">
        <v>432</v>
      </c>
      <c r="D3" s="45" t="str">
        <f>DEC2HEX(A3*4, 3)</f>
        <v>000</v>
      </c>
      <c r="E3" s="167" t="s">
        <v>0</v>
      </c>
      <c r="F3" s="45" t="s">
        <v>6</v>
      </c>
      <c r="G3" s="69"/>
      <c r="H3" s="206" t="s">
        <v>374</v>
      </c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8"/>
    </row>
    <row r="4" spans="1:39">
      <c r="A4" s="12">
        <v>1</v>
      </c>
      <c r="B4" s="151"/>
      <c r="C4" s="165"/>
      <c r="D4" s="2" t="str">
        <f>DEC2HEX(A4*4, 3)</f>
        <v>004</v>
      </c>
      <c r="E4" s="168"/>
      <c r="F4" s="2" t="s">
        <v>6</v>
      </c>
      <c r="G4" s="13"/>
      <c r="H4" s="209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1"/>
    </row>
    <row r="5" spans="1:39" ht="16.5" customHeight="1">
      <c r="A5" s="12">
        <v>2</v>
      </c>
      <c r="B5" s="151"/>
      <c r="C5" s="165"/>
      <c r="D5" s="2" t="str">
        <f t="shared" ref="D5:D14" si="1">DEC2HEX(A5*4, 3)</f>
        <v>008</v>
      </c>
      <c r="E5" s="168"/>
      <c r="F5" s="2" t="s">
        <v>6</v>
      </c>
      <c r="G5" s="13"/>
      <c r="H5" s="209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1"/>
    </row>
    <row r="6" spans="1:39">
      <c r="A6" s="12">
        <v>3</v>
      </c>
      <c r="B6" s="151"/>
      <c r="C6" s="165"/>
      <c r="D6" s="2" t="str">
        <f t="shared" si="1"/>
        <v>00C</v>
      </c>
      <c r="E6" s="168"/>
      <c r="F6" s="2" t="s">
        <v>6</v>
      </c>
      <c r="G6" s="13"/>
      <c r="H6" s="209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1"/>
    </row>
    <row r="7" spans="1:39">
      <c r="A7" s="12">
        <v>4</v>
      </c>
      <c r="B7" s="151"/>
      <c r="C7" s="165"/>
      <c r="D7" s="2" t="str">
        <f t="shared" si="1"/>
        <v>010</v>
      </c>
      <c r="E7" s="14" t="s">
        <v>106</v>
      </c>
      <c r="F7" s="2" t="s">
        <v>6</v>
      </c>
      <c r="G7" s="13"/>
      <c r="H7" s="169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53" t="s">
        <v>54</v>
      </c>
      <c r="Y7" s="153"/>
      <c r="Z7" s="153"/>
      <c r="AA7" s="153"/>
      <c r="AB7" s="153"/>
      <c r="AC7" s="153"/>
      <c r="AD7" s="153"/>
      <c r="AE7" s="153"/>
      <c r="AF7" s="153" t="s">
        <v>55</v>
      </c>
      <c r="AG7" s="153"/>
      <c r="AH7" s="153"/>
      <c r="AI7" s="153"/>
      <c r="AJ7" s="153"/>
      <c r="AK7" s="153"/>
      <c r="AL7" s="153"/>
      <c r="AM7" s="154"/>
    </row>
    <row r="8" spans="1:39">
      <c r="A8" s="12">
        <v>5</v>
      </c>
      <c r="B8" s="151"/>
      <c r="C8" s="165"/>
      <c r="D8" s="2" t="str">
        <f t="shared" si="1"/>
        <v>014</v>
      </c>
      <c r="E8" s="14" t="s">
        <v>107</v>
      </c>
      <c r="F8" s="2" t="s">
        <v>6</v>
      </c>
      <c r="G8" s="13"/>
      <c r="H8" s="169"/>
      <c r="I8" s="170"/>
      <c r="J8" s="170"/>
      <c r="K8" s="170"/>
      <c r="L8" s="170"/>
      <c r="M8" s="170"/>
      <c r="N8" s="170"/>
      <c r="O8" s="170"/>
      <c r="P8" s="153" t="s">
        <v>56</v>
      </c>
      <c r="Q8" s="153"/>
      <c r="R8" s="153"/>
      <c r="S8" s="153"/>
      <c r="T8" s="153"/>
      <c r="U8" s="153"/>
      <c r="V8" s="153"/>
      <c r="W8" s="153"/>
      <c r="X8" s="153" t="s">
        <v>76</v>
      </c>
      <c r="Y8" s="153"/>
      <c r="Z8" s="153"/>
      <c r="AA8" s="153"/>
      <c r="AB8" s="153"/>
      <c r="AC8" s="153"/>
      <c r="AD8" s="153"/>
      <c r="AE8" s="153"/>
      <c r="AF8" s="153" t="s">
        <v>57</v>
      </c>
      <c r="AG8" s="153"/>
      <c r="AH8" s="153"/>
      <c r="AI8" s="153"/>
      <c r="AJ8" s="153"/>
      <c r="AK8" s="153"/>
      <c r="AL8" s="153"/>
      <c r="AM8" s="154"/>
    </row>
    <row r="9" spans="1:39" ht="16.5">
      <c r="A9" s="12">
        <v>6</v>
      </c>
      <c r="B9" s="151"/>
      <c r="C9" s="165"/>
      <c r="D9" s="2" t="str">
        <f t="shared" si="1"/>
        <v>018</v>
      </c>
      <c r="E9" s="51" t="s">
        <v>105</v>
      </c>
      <c r="F9" s="2" t="s">
        <v>4</v>
      </c>
      <c r="G9" s="13"/>
      <c r="H9" s="169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212"/>
    </row>
    <row r="10" spans="1:39" ht="16.5">
      <c r="A10" s="12">
        <v>7</v>
      </c>
      <c r="B10" s="151"/>
      <c r="C10" s="165"/>
      <c r="D10" s="2" t="str">
        <f t="shared" si="1"/>
        <v>01C</v>
      </c>
      <c r="E10" s="51" t="s">
        <v>105</v>
      </c>
      <c r="F10" s="53" t="s">
        <v>4</v>
      </c>
      <c r="G10" s="13"/>
      <c r="H10" s="169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212"/>
    </row>
    <row r="11" spans="1:39" ht="16.5">
      <c r="A11" s="12">
        <v>8</v>
      </c>
      <c r="B11" s="151"/>
      <c r="C11" s="165"/>
      <c r="D11" s="2" t="str">
        <f t="shared" si="1"/>
        <v>020</v>
      </c>
      <c r="E11" s="14" t="s">
        <v>89</v>
      </c>
      <c r="F11" s="2" t="s">
        <v>4</v>
      </c>
      <c r="G11" s="13"/>
      <c r="H11" s="181"/>
      <c r="I11" s="182"/>
      <c r="J11" s="182"/>
      <c r="K11" s="190"/>
      <c r="L11" s="55" t="s">
        <v>409</v>
      </c>
      <c r="M11" s="55" t="s">
        <v>410</v>
      </c>
      <c r="N11" s="125" t="s">
        <v>411</v>
      </c>
      <c r="O11" s="126" t="s">
        <v>412</v>
      </c>
      <c r="P11" s="298"/>
      <c r="Q11" s="190"/>
      <c r="R11" s="55" t="s">
        <v>413</v>
      </c>
      <c r="S11" s="55" t="s">
        <v>21</v>
      </c>
      <c r="T11" s="153" t="s">
        <v>423</v>
      </c>
      <c r="U11" s="153"/>
      <c r="V11" s="153"/>
      <c r="W11" s="153"/>
      <c r="X11" s="153"/>
      <c r="Y11" s="153"/>
      <c r="Z11" s="153" t="s">
        <v>414</v>
      </c>
      <c r="AA11" s="153"/>
      <c r="AB11" s="153" t="s">
        <v>415</v>
      </c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4"/>
    </row>
    <row r="12" spans="1:39">
      <c r="A12" s="12">
        <v>9</v>
      </c>
      <c r="B12" s="151"/>
      <c r="C12" s="165"/>
      <c r="D12" s="2" t="str">
        <f t="shared" si="1"/>
        <v>024</v>
      </c>
      <c r="E12" s="14"/>
      <c r="F12" s="2"/>
      <c r="G12" s="13"/>
      <c r="H12" s="169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212"/>
    </row>
    <row r="13" spans="1:39">
      <c r="A13" s="12">
        <v>10</v>
      </c>
      <c r="B13" s="151"/>
      <c r="C13" s="165"/>
      <c r="D13" s="2" t="str">
        <f t="shared" si="1"/>
        <v>028</v>
      </c>
      <c r="E13" s="14"/>
      <c r="F13" s="2"/>
      <c r="G13" s="13"/>
      <c r="H13" s="169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212"/>
    </row>
    <row r="14" spans="1:39" ht="16.5">
      <c r="A14" s="12">
        <v>11</v>
      </c>
      <c r="B14" s="151"/>
      <c r="C14" s="165"/>
      <c r="D14" s="2" t="str">
        <f t="shared" si="1"/>
        <v>02C</v>
      </c>
      <c r="E14" s="51"/>
      <c r="F14" s="53"/>
      <c r="H14" s="169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212"/>
    </row>
    <row r="15" spans="1:39" ht="17.25" thickBot="1">
      <c r="A15" s="12">
        <v>12</v>
      </c>
      <c r="B15" s="152"/>
      <c r="C15" s="166"/>
      <c r="D15" s="3" t="str">
        <f>DEC2HEX(A15*4, 3)</f>
        <v>030</v>
      </c>
      <c r="E15" s="42" t="s">
        <v>90</v>
      </c>
      <c r="F15" s="3" t="s">
        <v>6</v>
      </c>
      <c r="G15" s="124"/>
      <c r="H15" s="372"/>
      <c r="I15" s="373"/>
      <c r="J15" s="373"/>
      <c r="K15" s="371"/>
      <c r="L15" s="58" t="s">
        <v>43</v>
      </c>
      <c r="M15" s="58" t="s">
        <v>410</v>
      </c>
      <c r="N15" s="127" t="s">
        <v>411</v>
      </c>
      <c r="O15" s="128" t="s">
        <v>412</v>
      </c>
      <c r="P15" s="370"/>
      <c r="Q15" s="371"/>
      <c r="R15" s="58" t="s">
        <v>413</v>
      </c>
      <c r="S15" s="58" t="s">
        <v>21</v>
      </c>
      <c r="T15" s="290" t="s">
        <v>423</v>
      </c>
      <c r="U15" s="290"/>
      <c r="V15" s="290"/>
      <c r="W15" s="290"/>
      <c r="X15" s="290"/>
      <c r="Y15" s="290"/>
      <c r="Z15" s="290" t="s">
        <v>414</v>
      </c>
      <c r="AA15" s="290"/>
      <c r="AB15" s="290" t="s">
        <v>416</v>
      </c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369"/>
    </row>
    <row r="16" spans="1:39" ht="15" thickBot="1">
      <c r="A16" s="12"/>
    </row>
    <row r="17" spans="9:16" ht="17.25" thickBot="1">
      <c r="I17" s="219" t="s">
        <v>443</v>
      </c>
      <c r="J17" s="220"/>
      <c r="K17" s="220"/>
      <c r="L17" s="220"/>
      <c r="M17" s="220"/>
      <c r="N17" s="221"/>
    </row>
    <row r="18" spans="9:16" ht="16.5">
      <c r="I18" s="245" t="s">
        <v>417</v>
      </c>
      <c r="J18" s="246"/>
      <c r="K18" s="247" t="s">
        <v>279</v>
      </c>
      <c r="L18" s="248"/>
      <c r="M18" s="248"/>
      <c r="N18" s="248"/>
      <c r="O18" s="248"/>
      <c r="P18" s="249"/>
    </row>
    <row r="19" spans="9:16" ht="16.5">
      <c r="I19" s="317" t="s">
        <v>418</v>
      </c>
      <c r="J19" s="251"/>
      <c r="K19" s="252" t="s">
        <v>419</v>
      </c>
      <c r="L19" s="253"/>
      <c r="M19" s="253"/>
      <c r="N19" s="253"/>
      <c r="O19" s="253"/>
      <c r="P19" s="254"/>
    </row>
    <row r="20" spans="9:16" ht="16.5">
      <c r="I20" s="317" t="s">
        <v>420</v>
      </c>
      <c r="J20" s="251"/>
      <c r="K20" s="252" t="s">
        <v>421</v>
      </c>
      <c r="L20" s="253"/>
      <c r="M20" s="253"/>
      <c r="N20" s="253"/>
      <c r="O20" s="253"/>
      <c r="P20" s="254"/>
    </row>
    <row r="21" spans="9:16" ht="16.5">
      <c r="I21" s="317" t="s">
        <v>422</v>
      </c>
      <c r="J21" s="251"/>
      <c r="K21" s="252" t="s">
        <v>262</v>
      </c>
      <c r="L21" s="253"/>
      <c r="M21" s="253"/>
      <c r="N21" s="253"/>
      <c r="O21" s="253"/>
      <c r="P21" s="254"/>
    </row>
    <row r="22" spans="9:16" ht="16.5">
      <c r="I22" s="317" t="s">
        <v>424</v>
      </c>
      <c r="J22" s="251"/>
      <c r="K22" s="252" t="s">
        <v>425</v>
      </c>
      <c r="L22" s="253"/>
      <c r="M22" s="253"/>
      <c r="N22" s="253"/>
      <c r="O22" s="253"/>
      <c r="P22" s="254"/>
    </row>
    <row r="23" spans="9:16" ht="16.5">
      <c r="I23" s="317" t="s">
        <v>414</v>
      </c>
      <c r="J23" s="251"/>
      <c r="K23" s="252" t="s">
        <v>426</v>
      </c>
      <c r="L23" s="253"/>
      <c r="M23" s="253"/>
      <c r="N23" s="253"/>
      <c r="O23" s="253"/>
      <c r="P23" s="254"/>
    </row>
    <row r="24" spans="9:16" ht="17.25" thickBot="1">
      <c r="I24" s="260" t="s">
        <v>415</v>
      </c>
      <c r="J24" s="239"/>
      <c r="K24" s="305" t="s">
        <v>427</v>
      </c>
      <c r="L24" s="273"/>
      <c r="M24" s="273"/>
      <c r="N24" s="273"/>
      <c r="O24" s="273"/>
      <c r="P24" s="274"/>
    </row>
    <row r="25" spans="9:16" ht="15" thickBot="1"/>
    <row r="26" spans="9:16" ht="17.25" thickBot="1">
      <c r="I26" s="278" t="s">
        <v>444</v>
      </c>
      <c r="J26" s="279"/>
      <c r="K26" s="279"/>
      <c r="L26" s="279"/>
      <c r="M26" s="279"/>
      <c r="N26" s="280"/>
    </row>
    <row r="27" spans="9:16" ht="16.5">
      <c r="I27" s="245" t="s">
        <v>428</v>
      </c>
      <c r="J27" s="246"/>
      <c r="K27" s="248" t="s">
        <v>276</v>
      </c>
      <c r="L27" s="248"/>
      <c r="M27" s="248"/>
      <c r="N27" s="248"/>
      <c r="O27" s="248"/>
      <c r="P27" s="249"/>
    </row>
    <row r="28" spans="9:16" ht="17.25" thickBot="1">
      <c r="I28" s="238" t="s">
        <v>429</v>
      </c>
      <c r="J28" s="239"/>
      <c r="K28" s="305" t="s">
        <v>430</v>
      </c>
      <c r="L28" s="273"/>
      <c r="M28" s="273"/>
      <c r="N28" s="273"/>
      <c r="O28" s="273"/>
      <c r="P28" s="274"/>
    </row>
  </sheetData>
  <mergeCells count="50">
    <mergeCell ref="H14:AM14"/>
    <mergeCell ref="I17:N17"/>
    <mergeCell ref="I26:N26"/>
    <mergeCell ref="P11:Q11"/>
    <mergeCell ref="P15:Q15"/>
    <mergeCell ref="H11:K11"/>
    <mergeCell ref="H15:K15"/>
    <mergeCell ref="I22:J22"/>
    <mergeCell ref="K22:P22"/>
    <mergeCell ref="I23:J23"/>
    <mergeCell ref="K23:P23"/>
    <mergeCell ref="K24:P24"/>
    <mergeCell ref="I21:J21"/>
    <mergeCell ref="K21:P21"/>
    <mergeCell ref="I24:J24"/>
    <mergeCell ref="I20:J20"/>
    <mergeCell ref="H1:O1"/>
    <mergeCell ref="P1:W1"/>
    <mergeCell ref="X1:AE1"/>
    <mergeCell ref="AF1:AM1"/>
    <mergeCell ref="X8:AE8"/>
    <mergeCell ref="AF8:AM8"/>
    <mergeCell ref="H3:AM6"/>
    <mergeCell ref="H8:O8"/>
    <mergeCell ref="P8:W8"/>
    <mergeCell ref="B3:B15"/>
    <mergeCell ref="C3:C15"/>
    <mergeCell ref="H7:W7"/>
    <mergeCell ref="X7:AE7"/>
    <mergeCell ref="AF7:AM7"/>
    <mergeCell ref="H9:AM9"/>
    <mergeCell ref="H10:AM10"/>
    <mergeCell ref="E3:E6"/>
    <mergeCell ref="H12:AM12"/>
    <mergeCell ref="H13:AM13"/>
    <mergeCell ref="T11:Y11"/>
    <mergeCell ref="Z11:AA11"/>
    <mergeCell ref="AB11:AM11"/>
    <mergeCell ref="T15:Y15"/>
    <mergeCell ref="Z15:AA15"/>
    <mergeCell ref="AB15:AM15"/>
    <mergeCell ref="I28:J28"/>
    <mergeCell ref="K28:P28"/>
    <mergeCell ref="I18:J18"/>
    <mergeCell ref="K18:P18"/>
    <mergeCell ref="I19:J19"/>
    <mergeCell ref="K19:P19"/>
    <mergeCell ref="I27:J27"/>
    <mergeCell ref="K27:P27"/>
    <mergeCell ref="K20:P20"/>
  </mergeCells>
  <phoneticPr fontId="6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M56"/>
  <sheetViews>
    <sheetView zoomScaleNormal="100" workbookViewId="0">
      <pane xSplit="39" ySplit="24" topLeftCell="AN25" activePane="bottomRight" state="frozen"/>
      <selection activeCell="N33" sqref="N33"/>
      <selection pane="topRight" activeCell="N33" sqref="N33"/>
      <selection pane="bottomLeft" activeCell="N33" sqref="N33"/>
      <selection pane="bottomRight" activeCell="W39" sqref="W39"/>
    </sheetView>
  </sheetViews>
  <sheetFormatPr defaultRowHeight="14.2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5" thickBot="1"/>
    <row r="2" spans="1:39" ht="1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0" t="s">
        <v>377</v>
      </c>
      <c r="C3" s="164" t="s">
        <v>433</v>
      </c>
      <c r="D3" s="45" t="str">
        <f>DEC2HEX(A3*4, 3)</f>
        <v>000</v>
      </c>
      <c r="E3" s="167" t="s">
        <v>0</v>
      </c>
      <c r="F3" s="45" t="s">
        <v>6</v>
      </c>
      <c r="G3" s="69"/>
      <c r="H3" s="210" t="s">
        <v>376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</row>
    <row r="4" spans="1:39">
      <c r="A4" s="12">
        <v>1</v>
      </c>
      <c r="B4" s="151"/>
      <c r="C4" s="165"/>
      <c r="D4" s="2" t="str">
        <f>DEC2HEX(A4*4, 3)</f>
        <v>004</v>
      </c>
      <c r="E4" s="168"/>
      <c r="F4" s="2" t="s">
        <v>6</v>
      </c>
      <c r="G4" s="13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</row>
    <row r="5" spans="1:39">
      <c r="A5" s="12">
        <v>2</v>
      </c>
      <c r="B5" s="151"/>
      <c r="C5" s="165"/>
      <c r="D5" s="2" t="str">
        <f t="shared" ref="D5:D20" si="1">DEC2HEX(A5*4, 3)</f>
        <v>008</v>
      </c>
      <c r="E5" s="168"/>
      <c r="F5" s="2" t="s">
        <v>6</v>
      </c>
      <c r="G5" s="13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</row>
    <row r="6" spans="1:39">
      <c r="A6" s="12">
        <v>3</v>
      </c>
      <c r="B6" s="151"/>
      <c r="C6" s="165"/>
      <c r="D6" s="2" t="str">
        <f t="shared" si="1"/>
        <v>00C</v>
      </c>
      <c r="E6" s="168"/>
      <c r="F6" s="2" t="s">
        <v>6</v>
      </c>
      <c r="G6" s="13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</row>
    <row r="7" spans="1:39">
      <c r="A7" s="12">
        <v>4</v>
      </c>
      <c r="B7" s="151"/>
      <c r="C7" s="165"/>
      <c r="D7" s="2" t="str">
        <f t="shared" si="1"/>
        <v>010</v>
      </c>
      <c r="E7" s="14" t="s">
        <v>106</v>
      </c>
      <c r="F7" s="2" t="s">
        <v>6</v>
      </c>
      <c r="G7" s="13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53" t="s">
        <v>54</v>
      </c>
      <c r="Y7" s="153"/>
      <c r="Z7" s="153"/>
      <c r="AA7" s="153"/>
      <c r="AB7" s="153"/>
      <c r="AC7" s="153"/>
      <c r="AD7" s="153"/>
      <c r="AE7" s="153"/>
      <c r="AF7" s="153" t="s">
        <v>55</v>
      </c>
      <c r="AG7" s="153"/>
      <c r="AH7" s="153"/>
      <c r="AI7" s="153"/>
      <c r="AJ7" s="153"/>
      <c r="AK7" s="153"/>
      <c r="AL7" s="153"/>
      <c r="AM7" s="153"/>
    </row>
    <row r="8" spans="1:39">
      <c r="A8" s="12">
        <v>5</v>
      </c>
      <c r="B8" s="151"/>
      <c r="C8" s="165"/>
      <c r="D8" s="2" t="str">
        <f t="shared" si="1"/>
        <v>014</v>
      </c>
      <c r="E8" s="14" t="s">
        <v>107</v>
      </c>
      <c r="F8" s="2" t="s">
        <v>6</v>
      </c>
      <c r="G8" s="13"/>
      <c r="H8" s="170"/>
      <c r="I8" s="170"/>
      <c r="J8" s="170"/>
      <c r="K8" s="170"/>
      <c r="L8" s="170"/>
      <c r="M8" s="170"/>
      <c r="N8" s="170"/>
      <c r="O8" s="170"/>
      <c r="P8" s="153" t="s">
        <v>56</v>
      </c>
      <c r="Q8" s="153"/>
      <c r="R8" s="153"/>
      <c r="S8" s="153"/>
      <c r="T8" s="153"/>
      <c r="U8" s="153"/>
      <c r="V8" s="153"/>
      <c r="W8" s="153"/>
      <c r="X8" s="153" t="s">
        <v>76</v>
      </c>
      <c r="Y8" s="153"/>
      <c r="Z8" s="153"/>
      <c r="AA8" s="153"/>
      <c r="AB8" s="153"/>
      <c r="AC8" s="153"/>
      <c r="AD8" s="153"/>
      <c r="AE8" s="153"/>
      <c r="AF8" s="153" t="s">
        <v>57</v>
      </c>
      <c r="AG8" s="153"/>
      <c r="AH8" s="153"/>
      <c r="AI8" s="153"/>
      <c r="AJ8" s="153"/>
      <c r="AK8" s="153"/>
      <c r="AL8" s="153"/>
      <c r="AM8" s="153"/>
    </row>
    <row r="9" spans="1:39" ht="16.5">
      <c r="A9" s="12">
        <v>6</v>
      </c>
      <c r="B9" s="151"/>
      <c r="C9" s="165"/>
      <c r="D9" s="2" t="str">
        <f t="shared" si="1"/>
        <v>018</v>
      </c>
      <c r="E9" s="51" t="s">
        <v>105</v>
      </c>
      <c r="F9" s="2" t="s">
        <v>4</v>
      </c>
      <c r="G9" s="13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</row>
    <row r="10" spans="1:39" ht="16.5">
      <c r="A10" s="12">
        <v>7</v>
      </c>
      <c r="B10" s="151"/>
      <c r="C10" s="165"/>
      <c r="D10" s="2" t="str">
        <f t="shared" si="1"/>
        <v>01C</v>
      </c>
      <c r="E10" s="51" t="s">
        <v>105</v>
      </c>
      <c r="F10" s="53" t="s">
        <v>4</v>
      </c>
      <c r="G10" s="13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</row>
    <row r="11" spans="1:39" ht="16.5">
      <c r="A11" s="12">
        <v>8</v>
      </c>
      <c r="B11" s="151"/>
      <c r="C11" s="165"/>
      <c r="D11" s="2" t="str">
        <f t="shared" si="1"/>
        <v>020</v>
      </c>
      <c r="E11" s="51" t="s">
        <v>89</v>
      </c>
      <c r="F11" s="53" t="s">
        <v>4</v>
      </c>
      <c r="H11" s="66" t="s">
        <v>66</v>
      </c>
      <c r="I11" s="66" t="s">
        <v>67</v>
      </c>
      <c r="J11" s="96"/>
      <c r="K11" s="66" t="s">
        <v>339</v>
      </c>
      <c r="L11" s="298"/>
      <c r="M11" s="182"/>
      <c r="N11" s="190"/>
      <c r="O11" s="66" t="s">
        <v>313</v>
      </c>
      <c r="P11" s="375" t="s">
        <v>149</v>
      </c>
      <c r="Q11" s="153"/>
      <c r="R11" s="153"/>
      <c r="S11" s="153"/>
      <c r="T11" s="153"/>
      <c r="U11" s="153"/>
      <c r="V11" s="153"/>
      <c r="W11" s="153"/>
      <c r="X11" s="375" t="s">
        <v>266</v>
      </c>
      <c r="Y11" s="153"/>
      <c r="Z11" s="153"/>
      <c r="AA11" s="153"/>
      <c r="AB11" s="153"/>
      <c r="AC11" s="153"/>
      <c r="AD11" s="153"/>
      <c r="AE11" s="153"/>
      <c r="AF11" s="375" t="s">
        <v>166</v>
      </c>
      <c r="AG11" s="153"/>
      <c r="AH11" s="153"/>
      <c r="AI11" s="153"/>
      <c r="AJ11" s="153"/>
      <c r="AK11" s="153"/>
      <c r="AL11" s="153"/>
      <c r="AM11" s="153"/>
    </row>
    <row r="12" spans="1:39" ht="16.5">
      <c r="A12" s="12">
        <v>9</v>
      </c>
      <c r="B12" s="151"/>
      <c r="C12" s="165"/>
      <c r="D12" s="2" t="str">
        <f t="shared" si="1"/>
        <v>024</v>
      </c>
      <c r="E12" s="51" t="s">
        <v>388</v>
      </c>
      <c r="F12" s="53" t="s">
        <v>4</v>
      </c>
      <c r="H12" s="298"/>
      <c r="I12" s="182"/>
      <c r="J12" s="182"/>
      <c r="K12" s="182"/>
      <c r="L12" s="182"/>
      <c r="M12" s="182"/>
      <c r="N12" s="190"/>
      <c r="O12" s="109" t="s">
        <v>392</v>
      </c>
      <c r="P12" s="298"/>
      <c r="Q12" s="182"/>
      <c r="R12" s="182"/>
      <c r="S12" s="182"/>
      <c r="T12" s="182"/>
      <c r="U12" s="182"/>
      <c r="V12" s="190"/>
      <c r="W12" s="109" t="s">
        <v>391</v>
      </c>
      <c r="X12" s="375" t="s">
        <v>390</v>
      </c>
      <c r="Y12" s="153"/>
      <c r="Z12" s="153"/>
      <c r="AA12" s="153"/>
      <c r="AB12" s="153"/>
      <c r="AC12" s="153"/>
      <c r="AD12" s="153"/>
      <c r="AE12" s="153"/>
      <c r="AF12" s="298"/>
      <c r="AG12" s="182"/>
      <c r="AH12" s="182"/>
      <c r="AI12" s="182"/>
      <c r="AJ12" s="182"/>
      <c r="AK12" s="190"/>
      <c r="AL12" s="306" t="s">
        <v>389</v>
      </c>
      <c r="AM12" s="307"/>
    </row>
    <row r="13" spans="1:39" ht="16.5">
      <c r="A13" s="12">
        <v>10</v>
      </c>
      <c r="B13" s="151"/>
      <c r="C13" s="165"/>
      <c r="D13" s="2" t="str">
        <f t="shared" si="1"/>
        <v>028</v>
      </c>
      <c r="E13" s="51" t="s">
        <v>164</v>
      </c>
      <c r="F13" s="53" t="s">
        <v>4</v>
      </c>
      <c r="H13" s="298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23" t="s">
        <v>479</v>
      </c>
      <c r="X13" s="137"/>
      <c r="Y13" s="138"/>
      <c r="Z13" s="138"/>
      <c r="AA13" s="138"/>
      <c r="AB13" s="138"/>
      <c r="AC13" s="123"/>
      <c r="AD13" s="306" t="s">
        <v>399</v>
      </c>
      <c r="AE13" s="194"/>
      <c r="AF13" s="194"/>
      <c r="AG13" s="194"/>
      <c r="AH13" s="194"/>
      <c r="AI13" s="194"/>
      <c r="AJ13" s="194"/>
      <c r="AK13" s="194"/>
      <c r="AL13" s="194"/>
      <c r="AM13" s="307"/>
    </row>
    <row r="14" spans="1:39" ht="16.5">
      <c r="A14" s="12">
        <v>11</v>
      </c>
      <c r="B14" s="151"/>
      <c r="C14" s="165"/>
      <c r="D14" s="2" t="str">
        <f t="shared" si="1"/>
        <v>02C</v>
      </c>
      <c r="E14" s="51" t="s">
        <v>379</v>
      </c>
      <c r="F14" s="53" t="s">
        <v>4</v>
      </c>
      <c r="H14" s="96"/>
      <c r="I14" s="64"/>
      <c r="J14" s="64"/>
      <c r="K14" s="64"/>
      <c r="L14" s="64"/>
      <c r="M14" s="64"/>
      <c r="N14" s="306" t="s">
        <v>381</v>
      </c>
      <c r="O14" s="194"/>
      <c r="P14" s="194"/>
      <c r="Q14" s="194"/>
      <c r="R14" s="194"/>
      <c r="S14" s="194"/>
      <c r="T14" s="194"/>
      <c r="U14" s="194"/>
      <c r="V14" s="194"/>
      <c r="W14" s="307"/>
      <c r="X14" s="64"/>
      <c r="Y14" s="64"/>
      <c r="Z14" s="64"/>
      <c r="AA14" s="64"/>
      <c r="AB14" s="64"/>
      <c r="AC14" s="64"/>
      <c r="AD14" s="306" t="s">
        <v>380</v>
      </c>
      <c r="AE14" s="194"/>
      <c r="AF14" s="194"/>
      <c r="AG14" s="194"/>
      <c r="AH14" s="194"/>
      <c r="AI14" s="194"/>
      <c r="AJ14" s="194"/>
      <c r="AK14" s="194"/>
      <c r="AL14" s="194"/>
      <c r="AM14" s="307"/>
    </row>
    <row r="15" spans="1:39" ht="16.5">
      <c r="A15" s="12">
        <v>12</v>
      </c>
      <c r="B15" s="151"/>
      <c r="C15" s="165"/>
      <c r="D15" s="2" t="str">
        <f t="shared" si="1"/>
        <v>030</v>
      </c>
      <c r="E15" s="51" t="s">
        <v>90</v>
      </c>
      <c r="F15" s="53" t="s">
        <v>6</v>
      </c>
      <c r="H15" s="375" t="s">
        <v>382</v>
      </c>
      <c r="I15" s="153"/>
      <c r="J15" s="153"/>
      <c r="K15" s="153"/>
      <c r="L15" s="298"/>
      <c r="M15" s="190"/>
      <c r="N15" s="306" t="s">
        <v>378</v>
      </c>
      <c r="O15" s="194"/>
      <c r="P15" s="194"/>
      <c r="Q15" s="194"/>
      <c r="R15" s="194"/>
      <c r="S15" s="194"/>
      <c r="T15" s="194"/>
      <c r="U15" s="194"/>
      <c r="V15" s="194"/>
      <c r="W15" s="307"/>
      <c r="X15" s="298"/>
      <c r="Y15" s="182"/>
      <c r="Z15" s="182"/>
      <c r="AA15" s="182"/>
      <c r="AB15" s="182"/>
      <c r="AC15" s="182"/>
      <c r="AD15" s="182"/>
      <c r="AE15" s="190"/>
      <c r="AF15" s="55" t="s">
        <v>43</v>
      </c>
      <c r="AG15" s="298"/>
      <c r="AH15" s="182"/>
      <c r="AI15" s="190"/>
      <c r="AJ15" s="55" t="s">
        <v>83</v>
      </c>
      <c r="AK15" s="298"/>
      <c r="AL15" s="190"/>
      <c r="AM15" s="55" t="s">
        <v>60</v>
      </c>
    </row>
    <row r="16" spans="1:39" ht="16.5">
      <c r="A16" s="12">
        <v>13</v>
      </c>
      <c r="B16" s="151"/>
      <c r="C16" s="165"/>
      <c r="D16" s="2" t="str">
        <f t="shared" si="1"/>
        <v>034</v>
      </c>
      <c r="E16" s="51" t="s">
        <v>384</v>
      </c>
      <c r="F16" s="53" t="s">
        <v>6</v>
      </c>
      <c r="H16" s="298"/>
      <c r="I16" s="182"/>
      <c r="J16" s="182"/>
      <c r="K16" s="182"/>
      <c r="L16" s="182"/>
      <c r="M16" s="182"/>
      <c r="N16" s="182"/>
      <c r="O16" s="182"/>
      <c r="P16" s="182"/>
      <c r="Q16" s="182"/>
      <c r="R16" s="190"/>
      <c r="S16" s="306" t="s">
        <v>405</v>
      </c>
      <c r="T16" s="194"/>
      <c r="U16" s="194"/>
      <c r="V16" s="194"/>
      <c r="W16" s="307"/>
      <c r="X16" s="298"/>
      <c r="Y16" s="182"/>
      <c r="Z16" s="182"/>
      <c r="AA16" s="182"/>
      <c r="AB16" s="182"/>
      <c r="AC16" s="190"/>
      <c r="AD16" s="306" t="s">
        <v>402</v>
      </c>
      <c r="AE16" s="194"/>
      <c r="AF16" s="194"/>
      <c r="AG16" s="194"/>
      <c r="AH16" s="194"/>
      <c r="AI16" s="194"/>
      <c r="AJ16" s="194"/>
      <c r="AK16" s="194"/>
      <c r="AL16" s="194"/>
      <c r="AM16" s="307"/>
    </row>
    <row r="17" spans="1:39" ht="16.5">
      <c r="A17" s="12">
        <v>14</v>
      </c>
      <c r="B17" s="151"/>
      <c r="C17" s="165"/>
      <c r="D17" s="2" t="str">
        <f t="shared" si="1"/>
        <v>038</v>
      </c>
      <c r="E17" s="51" t="s">
        <v>385</v>
      </c>
      <c r="F17" s="53" t="s">
        <v>6</v>
      </c>
      <c r="H17" s="298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90"/>
      <c r="W17" s="66" t="s">
        <v>163</v>
      </c>
      <c r="X17" s="298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90"/>
      <c r="AL17" s="66" t="s">
        <v>386</v>
      </c>
      <c r="AM17" s="66" t="s">
        <v>387</v>
      </c>
    </row>
    <row r="18" spans="1:39" ht="16.5">
      <c r="A18" s="12">
        <v>15</v>
      </c>
      <c r="B18" s="151"/>
      <c r="C18" s="165"/>
      <c r="D18" s="2" t="str">
        <f t="shared" si="1"/>
        <v>03C</v>
      </c>
      <c r="E18" s="51" t="s">
        <v>393</v>
      </c>
      <c r="F18" s="53" t="s">
        <v>4</v>
      </c>
      <c r="H18" s="298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90"/>
      <c r="AA18" s="306" t="s">
        <v>395</v>
      </c>
      <c r="AB18" s="194"/>
      <c r="AC18" s="194"/>
      <c r="AD18" s="194"/>
      <c r="AE18" s="307"/>
      <c r="AF18" s="298"/>
      <c r="AG18" s="182"/>
      <c r="AH18" s="190"/>
      <c r="AI18" s="306" t="s">
        <v>394</v>
      </c>
      <c r="AJ18" s="194"/>
      <c r="AK18" s="194"/>
      <c r="AL18" s="194"/>
      <c r="AM18" s="307"/>
    </row>
    <row r="19" spans="1:39" ht="16.5" customHeight="1">
      <c r="A19" s="12">
        <v>16</v>
      </c>
      <c r="B19" s="151"/>
      <c r="C19" s="165"/>
      <c r="D19" s="2" t="str">
        <f t="shared" si="1"/>
        <v>040</v>
      </c>
      <c r="E19" s="218" t="s">
        <v>154</v>
      </c>
      <c r="F19" s="2" t="s">
        <v>17</v>
      </c>
      <c r="H19" s="153" t="s">
        <v>82</v>
      </c>
      <c r="I19" s="153"/>
      <c r="J19" s="153"/>
      <c r="K19" s="153"/>
      <c r="L19" s="153"/>
      <c r="M19" s="153"/>
      <c r="N19" s="153"/>
      <c r="O19" s="153"/>
      <c r="P19" s="153" t="s">
        <v>81</v>
      </c>
      <c r="Q19" s="153"/>
      <c r="R19" s="153"/>
      <c r="S19" s="153"/>
      <c r="T19" s="153"/>
      <c r="U19" s="153"/>
      <c r="V19" s="153"/>
      <c r="W19" s="153"/>
      <c r="X19" s="153" t="s">
        <v>80</v>
      </c>
      <c r="Y19" s="153"/>
      <c r="Z19" s="153"/>
      <c r="AA19" s="153"/>
      <c r="AB19" s="153"/>
      <c r="AC19" s="153"/>
      <c r="AD19" s="153"/>
      <c r="AE19" s="153"/>
      <c r="AF19" s="153" t="s">
        <v>79</v>
      </c>
      <c r="AG19" s="153"/>
      <c r="AH19" s="153"/>
      <c r="AI19" s="153"/>
      <c r="AJ19" s="153"/>
      <c r="AK19" s="153"/>
      <c r="AL19" s="153"/>
      <c r="AM19" s="153"/>
    </row>
    <row r="20" spans="1:39" ht="16.5">
      <c r="A20" s="12">
        <v>17</v>
      </c>
      <c r="B20" s="151"/>
      <c r="C20" s="165"/>
      <c r="D20" s="2" t="str">
        <f t="shared" si="1"/>
        <v>044</v>
      </c>
      <c r="E20" s="218"/>
      <c r="F20" s="2" t="s">
        <v>17</v>
      </c>
      <c r="H20" s="153" t="s">
        <v>153</v>
      </c>
      <c r="I20" s="153"/>
      <c r="J20" s="153"/>
      <c r="K20" s="153"/>
      <c r="L20" s="153"/>
      <c r="M20" s="153"/>
      <c r="N20" s="153"/>
      <c r="O20" s="153"/>
      <c r="P20" s="153" t="s">
        <v>152</v>
      </c>
      <c r="Q20" s="153"/>
      <c r="R20" s="153"/>
      <c r="S20" s="153"/>
      <c r="T20" s="153"/>
      <c r="U20" s="153"/>
      <c r="V20" s="153"/>
      <c r="W20" s="153"/>
      <c r="X20" s="153" t="s">
        <v>151</v>
      </c>
      <c r="Y20" s="153"/>
      <c r="Z20" s="153"/>
      <c r="AA20" s="153"/>
      <c r="AB20" s="153"/>
      <c r="AC20" s="153"/>
      <c r="AD20" s="153"/>
      <c r="AE20" s="153"/>
      <c r="AF20" s="153" t="s">
        <v>150</v>
      </c>
      <c r="AG20" s="153"/>
      <c r="AH20" s="153"/>
      <c r="AI20" s="153"/>
      <c r="AJ20" s="153"/>
      <c r="AK20" s="153"/>
      <c r="AL20" s="153"/>
      <c r="AM20" s="153"/>
    </row>
    <row r="21" spans="1:39">
      <c r="A21" s="12"/>
      <c r="B21" s="151"/>
      <c r="C21" s="165"/>
      <c r="D21" s="21"/>
      <c r="E21" s="218"/>
      <c r="F21" s="21"/>
      <c r="H21" s="374"/>
      <c r="I21" s="374"/>
      <c r="J21" s="374"/>
      <c r="K21" s="374"/>
      <c r="L21" s="374"/>
      <c r="M21" s="374"/>
      <c r="N21" s="374"/>
      <c r="O21" s="374"/>
      <c r="P21" s="374"/>
      <c r="Q21" s="374"/>
      <c r="R21" s="374"/>
      <c r="S21" s="374"/>
      <c r="T21" s="374"/>
      <c r="U21" s="374"/>
      <c r="V21" s="374"/>
      <c r="W21" s="374"/>
      <c r="X21" s="374"/>
      <c r="Y21" s="374"/>
      <c r="Z21" s="374"/>
      <c r="AA21" s="374"/>
      <c r="AB21" s="374"/>
      <c r="AC21" s="374"/>
      <c r="AD21" s="374"/>
      <c r="AE21" s="374"/>
      <c r="AF21" s="374"/>
      <c r="AG21" s="374"/>
      <c r="AH21" s="374"/>
      <c r="AI21" s="374"/>
      <c r="AJ21" s="374"/>
      <c r="AK21" s="374"/>
      <c r="AL21" s="374"/>
      <c r="AM21" s="374"/>
    </row>
    <row r="22" spans="1:39">
      <c r="A22" s="12"/>
      <c r="B22" s="151"/>
      <c r="C22" s="165"/>
      <c r="D22" s="21"/>
      <c r="E22" s="218"/>
      <c r="F22" s="21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4"/>
      <c r="X22" s="374"/>
      <c r="Y22" s="374"/>
      <c r="Z22" s="374"/>
      <c r="AA22" s="374"/>
      <c r="AB22" s="374"/>
      <c r="AC22" s="374"/>
      <c r="AD22" s="374"/>
      <c r="AE22" s="374"/>
      <c r="AF22" s="374"/>
      <c r="AG22" s="374"/>
      <c r="AH22" s="374"/>
      <c r="AI22" s="374"/>
      <c r="AJ22" s="374"/>
      <c r="AK22" s="374"/>
      <c r="AL22" s="374"/>
      <c r="AM22" s="374"/>
    </row>
    <row r="23" spans="1:39" ht="16.5">
      <c r="A23" s="12">
        <v>270</v>
      </c>
      <c r="B23" s="151"/>
      <c r="C23" s="165"/>
      <c r="D23" s="2" t="str">
        <f>DEC2HEX(A23*4, 3)</f>
        <v>438</v>
      </c>
      <c r="E23" s="218"/>
      <c r="F23" s="2" t="s">
        <v>17</v>
      </c>
      <c r="H23" s="153" t="s">
        <v>159</v>
      </c>
      <c r="I23" s="153"/>
      <c r="J23" s="153"/>
      <c r="K23" s="153"/>
      <c r="L23" s="153"/>
      <c r="M23" s="153"/>
      <c r="N23" s="153"/>
      <c r="O23" s="153"/>
      <c r="P23" s="153" t="s">
        <v>160</v>
      </c>
      <c r="Q23" s="153"/>
      <c r="R23" s="153"/>
      <c r="S23" s="153"/>
      <c r="T23" s="153"/>
      <c r="U23" s="153"/>
      <c r="V23" s="153"/>
      <c r="W23" s="153"/>
      <c r="X23" s="153" t="s">
        <v>161</v>
      </c>
      <c r="Y23" s="153"/>
      <c r="Z23" s="153"/>
      <c r="AA23" s="153"/>
      <c r="AB23" s="153"/>
      <c r="AC23" s="153"/>
      <c r="AD23" s="153"/>
      <c r="AE23" s="153"/>
      <c r="AF23" s="153" t="s">
        <v>162</v>
      </c>
      <c r="AG23" s="153"/>
      <c r="AH23" s="153"/>
      <c r="AI23" s="153"/>
      <c r="AJ23" s="153"/>
      <c r="AK23" s="153"/>
      <c r="AL23" s="153"/>
      <c r="AM23" s="153"/>
    </row>
    <row r="24" spans="1:39" ht="17.25" thickBot="1">
      <c r="A24" s="12">
        <v>271</v>
      </c>
      <c r="B24" s="152"/>
      <c r="C24" s="166"/>
      <c r="D24" s="3" t="str">
        <f>DEC2HEX(A24*4, 3)</f>
        <v>43C</v>
      </c>
      <c r="E24" s="376"/>
      <c r="F24" s="3" t="s">
        <v>17</v>
      </c>
      <c r="H24" s="153" t="s">
        <v>155</v>
      </c>
      <c r="I24" s="153"/>
      <c r="J24" s="153"/>
      <c r="K24" s="153"/>
      <c r="L24" s="153"/>
      <c r="M24" s="153"/>
      <c r="N24" s="153"/>
      <c r="O24" s="153"/>
      <c r="P24" s="153" t="s">
        <v>156</v>
      </c>
      <c r="Q24" s="153"/>
      <c r="R24" s="153"/>
      <c r="S24" s="153"/>
      <c r="T24" s="153"/>
      <c r="U24" s="153"/>
      <c r="V24" s="153"/>
      <c r="W24" s="153"/>
      <c r="X24" s="153" t="s">
        <v>157</v>
      </c>
      <c r="Y24" s="153"/>
      <c r="Z24" s="153"/>
      <c r="AA24" s="153"/>
      <c r="AB24" s="153"/>
      <c r="AC24" s="153"/>
      <c r="AD24" s="153"/>
      <c r="AE24" s="153"/>
      <c r="AF24" s="153" t="s">
        <v>158</v>
      </c>
      <c r="AG24" s="153"/>
      <c r="AH24" s="153"/>
      <c r="AI24" s="153"/>
      <c r="AJ24" s="153"/>
      <c r="AK24" s="153"/>
      <c r="AL24" s="153"/>
      <c r="AM24" s="153"/>
    </row>
    <row r="25" spans="1:39" ht="15" thickBot="1"/>
    <row r="26" spans="1:39" ht="17.25" thickBot="1">
      <c r="I26" s="213" t="s">
        <v>434</v>
      </c>
      <c r="J26" s="214"/>
      <c r="K26" s="214"/>
      <c r="L26" s="214"/>
      <c r="M26" s="214"/>
      <c r="N26" s="214"/>
      <c r="O26" s="214"/>
      <c r="P26" s="214"/>
      <c r="Q26" s="214"/>
      <c r="R26" s="220"/>
      <c r="S26" s="220"/>
      <c r="T26" s="220"/>
      <c r="U26" s="220"/>
      <c r="V26" s="220"/>
      <c r="W26" s="220"/>
      <c r="X26" s="220"/>
      <c r="Y26" s="220"/>
      <c r="Z26" s="221"/>
    </row>
    <row r="27" spans="1:39" ht="16.5">
      <c r="I27" s="245" t="s">
        <v>263</v>
      </c>
      <c r="J27" s="246"/>
      <c r="K27" s="247" t="s">
        <v>288</v>
      </c>
      <c r="L27" s="248"/>
      <c r="M27" s="248"/>
      <c r="N27" s="248"/>
      <c r="O27" s="248"/>
      <c r="P27" s="249"/>
      <c r="R27" s="402" t="s">
        <v>267</v>
      </c>
      <c r="S27" s="403"/>
      <c r="T27" s="247" t="s">
        <v>268</v>
      </c>
      <c r="U27" s="248"/>
      <c r="V27" s="248"/>
      <c r="W27" s="248"/>
      <c r="X27" s="248"/>
      <c r="Y27" s="248"/>
      <c r="Z27" s="249"/>
    </row>
    <row r="28" spans="1:39" ht="16.5">
      <c r="I28" s="317" t="s">
        <v>264</v>
      </c>
      <c r="J28" s="251"/>
      <c r="K28" s="252" t="s">
        <v>289</v>
      </c>
      <c r="L28" s="253"/>
      <c r="M28" s="253"/>
      <c r="N28" s="253"/>
      <c r="O28" s="253"/>
      <c r="P28" s="254"/>
      <c r="R28" s="404"/>
      <c r="S28" s="405"/>
      <c r="T28" s="252" t="s">
        <v>269</v>
      </c>
      <c r="U28" s="253"/>
      <c r="V28" s="253"/>
      <c r="W28" s="253"/>
      <c r="X28" s="253"/>
      <c r="Y28" s="253"/>
      <c r="Z28" s="254"/>
    </row>
    <row r="29" spans="1:39" ht="17.25" thickBot="1">
      <c r="I29" s="317" t="s">
        <v>340</v>
      </c>
      <c r="J29" s="251"/>
      <c r="K29" s="413" t="s">
        <v>341</v>
      </c>
      <c r="L29" s="414"/>
      <c r="M29" s="414"/>
      <c r="N29" s="414"/>
      <c r="O29" s="414"/>
      <c r="P29" s="415"/>
      <c r="R29" s="260" t="s">
        <v>270</v>
      </c>
      <c r="S29" s="261"/>
      <c r="T29" s="305" t="s">
        <v>271</v>
      </c>
      <c r="U29" s="273"/>
      <c r="V29" s="273"/>
      <c r="W29" s="273"/>
      <c r="X29" s="273"/>
      <c r="Y29" s="273"/>
      <c r="Z29" s="274"/>
    </row>
    <row r="30" spans="1:39" ht="17.25" thickBot="1">
      <c r="I30" s="260" t="s">
        <v>265</v>
      </c>
      <c r="J30" s="406"/>
      <c r="K30" s="399" t="s">
        <v>383</v>
      </c>
      <c r="L30" s="400"/>
      <c r="M30" s="400"/>
      <c r="N30" s="400"/>
      <c r="O30" s="400"/>
      <c r="P30" s="400"/>
      <c r="Q30" s="401"/>
      <c r="R30" s="99"/>
    </row>
    <row r="31" spans="1:39" ht="15" thickBot="1"/>
    <row r="32" spans="1:39" ht="17.25" thickBot="1">
      <c r="I32" s="278" t="s">
        <v>435</v>
      </c>
      <c r="J32" s="279"/>
      <c r="K32" s="279"/>
      <c r="L32" s="279"/>
      <c r="M32" s="279"/>
      <c r="N32" s="279"/>
      <c r="O32" s="279"/>
      <c r="P32" s="280"/>
      <c r="T32" s="255" t="s">
        <v>436</v>
      </c>
      <c r="U32" s="256"/>
      <c r="V32" s="256"/>
      <c r="W32" s="256"/>
      <c r="X32" s="256"/>
      <c r="Y32" s="256"/>
      <c r="Z32" s="256"/>
      <c r="AA32" s="257"/>
    </row>
    <row r="33" spans="1:31" ht="16.5">
      <c r="I33" s="382" t="s">
        <v>396</v>
      </c>
      <c r="J33" s="383"/>
      <c r="K33" s="383"/>
      <c r="L33" s="383"/>
      <c r="M33" s="384" t="s">
        <v>272</v>
      </c>
      <c r="N33" s="384"/>
      <c r="O33" s="384"/>
      <c r="P33" s="384"/>
      <c r="Q33" s="384"/>
      <c r="R33" s="385"/>
      <c r="T33" s="382" t="s">
        <v>400</v>
      </c>
      <c r="U33" s="383"/>
      <c r="V33" s="383"/>
      <c r="W33" s="383"/>
      <c r="X33" s="384" t="s">
        <v>272</v>
      </c>
      <c r="Y33" s="384"/>
      <c r="Z33" s="384"/>
      <c r="AA33" s="384"/>
      <c r="AB33" s="384"/>
      <c r="AC33" s="385"/>
    </row>
    <row r="34" spans="1:31" ht="17.25" thickBot="1">
      <c r="I34" s="409" t="s">
        <v>397</v>
      </c>
      <c r="J34" s="410"/>
      <c r="K34" s="410"/>
      <c r="L34" s="410"/>
      <c r="M34" s="411" t="s">
        <v>272</v>
      </c>
      <c r="N34" s="411"/>
      <c r="O34" s="411"/>
      <c r="P34" s="411"/>
      <c r="Q34" s="411"/>
      <c r="R34" s="412"/>
      <c r="T34" s="186" t="s">
        <v>399</v>
      </c>
      <c r="U34" s="386"/>
      <c r="V34" s="386"/>
      <c r="W34" s="386"/>
      <c r="X34" s="407" t="s">
        <v>272</v>
      </c>
      <c r="Y34" s="407"/>
      <c r="Z34" s="407"/>
      <c r="AA34" s="407"/>
      <c r="AB34" s="407"/>
      <c r="AC34" s="408"/>
    </row>
    <row r="35" spans="1:31" ht="16.5">
      <c r="A35" s="65"/>
      <c r="I35" s="409" t="s">
        <v>390</v>
      </c>
      <c r="J35" s="410"/>
      <c r="K35" s="410"/>
      <c r="L35" s="410"/>
      <c r="M35" s="411" t="s">
        <v>272</v>
      </c>
      <c r="N35" s="411"/>
      <c r="O35" s="411"/>
      <c r="P35" s="411"/>
      <c r="Q35" s="411"/>
      <c r="R35" s="412"/>
    </row>
    <row r="36" spans="1:31" ht="17.25" thickBot="1">
      <c r="I36" s="186" t="s">
        <v>398</v>
      </c>
      <c r="J36" s="386"/>
      <c r="K36" s="386"/>
      <c r="L36" s="386"/>
      <c r="M36" s="407" t="s">
        <v>272</v>
      </c>
      <c r="N36" s="407"/>
      <c r="O36" s="407"/>
      <c r="P36" s="407"/>
      <c r="Q36" s="407"/>
      <c r="R36" s="408"/>
    </row>
    <row r="37" spans="1:31" ht="17.25" thickBot="1">
      <c r="A37" s="65"/>
    </row>
    <row r="38" spans="1:31" ht="17.25" thickBot="1">
      <c r="I38" s="278" t="s">
        <v>437</v>
      </c>
      <c r="J38" s="279"/>
      <c r="K38" s="279"/>
      <c r="L38" s="279"/>
      <c r="M38" s="279"/>
      <c r="N38" s="279"/>
      <c r="O38" s="279"/>
      <c r="P38" s="280"/>
    </row>
    <row r="39" spans="1:31" ht="16.5">
      <c r="I39" s="387" t="s">
        <v>401</v>
      </c>
      <c r="J39" s="388"/>
      <c r="K39" s="388"/>
      <c r="L39" s="380" t="s">
        <v>272</v>
      </c>
      <c r="M39" s="380"/>
      <c r="N39" s="380"/>
      <c r="O39" s="380"/>
      <c r="P39" s="380"/>
      <c r="Q39" s="380"/>
      <c r="R39" s="380"/>
      <c r="S39" s="381"/>
    </row>
    <row r="40" spans="1:31" ht="17.25" thickBot="1">
      <c r="I40" s="389" t="s">
        <v>380</v>
      </c>
      <c r="J40" s="390"/>
      <c r="K40" s="390"/>
      <c r="L40" s="391" t="s">
        <v>272</v>
      </c>
      <c r="M40" s="391"/>
      <c r="N40" s="391"/>
      <c r="O40" s="391"/>
      <c r="P40" s="391"/>
      <c r="Q40" s="391"/>
      <c r="R40" s="391"/>
      <c r="S40" s="392"/>
    </row>
    <row r="41" spans="1:31" ht="15" thickBot="1"/>
    <row r="42" spans="1:31" ht="17.25" thickBot="1">
      <c r="I42" s="255" t="s">
        <v>438</v>
      </c>
      <c r="J42" s="256"/>
      <c r="K42" s="256"/>
      <c r="L42" s="256"/>
      <c r="M42" s="256"/>
      <c r="N42" s="256"/>
      <c r="O42" s="256"/>
      <c r="P42" s="257"/>
    </row>
    <row r="43" spans="1:31" ht="16.5">
      <c r="I43" s="245" t="s">
        <v>165</v>
      </c>
      <c r="J43" s="246"/>
      <c r="K43" s="247" t="s">
        <v>277</v>
      </c>
      <c r="L43" s="248"/>
      <c r="M43" s="248"/>
      <c r="N43" s="248"/>
      <c r="O43" s="248"/>
      <c r="P43" s="248"/>
      <c r="Q43" s="248"/>
      <c r="R43" s="248"/>
      <c r="S43" s="249"/>
    </row>
    <row r="44" spans="1:31" ht="16.5">
      <c r="I44" s="250" t="s">
        <v>274</v>
      </c>
      <c r="J44" s="251"/>
      <c r="K44" s="253" t="s">
        <v>275</v>
      </c>
      <c r="L44" s="253"/>
      <c r="M44" s="253"/>
      <c r="N44" s="253"/>
      <c r="O44" s="253"/>
      <c r="P44" s="253"/>
      <c r="Q44" s="253"/>
      <c r="R44" s="253"/>
      <c r="S44" s="254"/>
    </row>
    <row r="45" spans="1:31" ht="17.25" thickBot="1">
      <c r="I45" s="238" t="s">
        <v>65</v>
      </c>
      <c r="J45" s="239"/>
      <c r="K45" s="273" t="s">
        <v>238</v>
      </c>
      <c r="L45" s="273"/>
      <c r="M45" s="273"/>
      <c r="N45" s="273"/>
      <c r="O45" s="273"/>
      <c r="P45" s="273"/>
      <c r="Q45" s="273"/>
      <c r="R45" s="273"/>
      <c r="S45" s="274"/>
    </row>
    <row r="46" spans="1:31" ht="15" thickBot="1"/>
    <row r="47" spans="1:31" ht="17.25" thickBot="1">
      <c r="I47" s="255" t="s">
        <v>439</v>
      </c>
      <c r="J47" s="256"/>
      <c r="K47" s="256"/>
      <c r="L47" s="256"/>
      <c r="M47" s="256"/>
      <c r="N47" s="256"/>
      <c r="O47" s="256"/>
      <c r="P47" s="257"/>
      <c r="U47" s="255" t="s">
        <v>440</v>
      </c>
      <c r="V47" s="256"/>
      <c r="W47" s="256"/>
      <c r="X47" s="256"/>
      <c r="Y47" s="256"/>
      <c r="Z47" s="256"/>
      <c r="AA47" s="256"/>
      <c r="AB47" s="257"/>
    </row>
    <row r="48" spans="1:31" ht="16.5">
      <c r="I48" s="387" t="s">
        <v>405</v>
      </c>
      <c r="J48" s="388"/>
      <c r="K48" s="388"/>
      <c r="L48" s="380" t="s">
        <v>404</v>
      </c>
      <c r="M48" s="380"/>
      <c r="N48" s="380"/>
      <c r="O48" s="380"/>
      <c r="P48" s="380"/>
      <c r="Q48" s="380"/>
      <c r="R48" s="380"/>
      <c r="S48" s="381"/>
      <c r="U48" s="387" t="s">
        <v>406</v>
      </c>
      <c r="V48" s="388"/>
      <c r="W48" s="388"/>
      <c r="X48" s="380" t="s">
        <v>272</v>
      </c>
      <c r="Y48" s="380"/>
      <c r="Z48" s="380"/>
      <c r="AA48" s="380"/>
      <c r="AB48" s="380"/>
      <c r="AC48" s="380"/>
      <c r="AD48" s="380"/>
      <c r="AE48" s="381"/>
    </row>
    <row r="49" spans="9:31" ht="17.25" thickBot="1">
      <c r="I49" s="389" t="s">
        <v>402</v>
      </c>
      <c r="J49" s="390"/>
      <c r="K49" s="390"/>
      <c r="L49" s="391" t="s">
        <v>403</v>
      </c>
      <c r="M49" s="391"/>
      <c r="N49" s="391"/>
      <c r="O49" s="391"/>
      <c r="P49" s="391"/>
      <c r="Q49" s="391"/>
      <c r="R49" s="391"/>
      <c r="S49" s="392"/>
      <c r="U49" s="393" t="s">
        <v>407</v>
      </c>
      <c r="V49" s="394"/>
      <c r="W49" s="395"/>
      <c r="X49" s="396" t="s">
        <v>272</v>
      </c>
      <c r="Y49" s="397"/>
      <c r="Z49" s="397"/>
      <c r="AA49" s="397"/>
      <c r="AB49" s="397"/>
      <c r="AC49" s="397"/>
      <c r="AD49" s="397"/>
      <c r="AE49" s="398"/>
    </row>
    <row r="50" spans="9:31" ht="17.25" thickBot="1">
      <c r="U50" s="393" t="s">
        <v>408</v>
      </c>
      <c r="V50" s="394"/>
      <c r="W50" s="395"/>
      <c r="X50" s="396" t="s">
        <v>272</v>
      </c>
      <c r="Y50" s="397"/>
      <c r="Z50" s="397"/>
      <c r="AA50" s="397"/>
      <c r="AB50" s="397"/>
      <c r="AC50" s="397"/>
      <c r="AD50" s="397"/>
      <c r="AE50" s="398"/>
    </row>
    <row r="51" spans="9:31" ht="17.25" thickBot="1">
      <c r="I51" s="278" t="s">
        <v>441</v>
      </c>
      <c r="J51" s="279"/>
      <c r="K51" s="279"/>
      <c r="L51" s="279"/>
      <c r="M51" s="279"/>
      <c r="N51" s="279"/>
      <c r="O51" s="279"/>
      <c r="P51" s="280"/>
    </row>
    <row r="52" spans="9:31" ht="16.5">
      <c r="I52" s="387" t="s">
        <v>395</v>
      </c>
      <c r="J52" s="388"/>
      <c r="K52" s="388"/>
      <c r="L52" s="380"/>
      <c r="M52" s="380"/>
      <c r="N52" s="380"/>
      <c r="O52" s="380"/>
      <c r="P52" s="380"/>
      <c r="Q52" s="380"/>
      <c r="R52" s="380"/>
      <c r="S52" s="381"/>
    </row>
    <row r="53" spans="9:31" ht="17.25" thickBot="1">
      <c r="I53" s="389" t="s">
        <v>394</v>
      </c>
      <c r="J53" s="390"/>
      <c r="K53" s="390"/>
      <c r="L53" s="391"/>
      <c r="M53" s="391"/>
      <c r="N53" s="391"/>
      <c r="O53" s="391"/>
      <c r="P53" s="391"/>
      <c r="Q53" s="391"/>
      <c r="R53" s="391"/>
      <c r="S53" s="392"/>
    </row>
    <row r="54" spans="9:31" ht="15" thickBot="1"/>
    <row r="55" spans="9:31" ht="17.25" thickBot="1">
      <c r="I55" s="255" t="s">
        <v>442</v>
      </c>
      <c r="J55" s="256"/>
      <c r="K55" s="256"/>
      <c r="L55" s="256"/>
      <c r="M55" s="256"/>
      <c r="N55" s="256"/>
      <c r="O55" s="256"/>
      <c r="P55" s="256"/>
      <c r="Q55" s="256"/>
      <c r="R55" s="256"/>
      <c r="S55" s="257"/>
    </row>
    <row r="56" spans="9:31" ht="17.25" thickBot="1">
      <c r="I56" s="377" t="s">
        <v>273</v>
      </c>
      <c r="J56" s="378"/>
      <c r="K56" s="378"/>
      <c r="L56" s="378"/>
      <c r="M56" s="378"/>
      <c r="N56" s="378"/>
      <c r="O56" s="378"/>
      <c r="P56" s="378"/>
      <c r="Q56" s="378"/>
      <c r="R56" s="378"/>
      <c r="S56" s="379"/>
    </row>
  </sheetData>
  <mergeCells count="119">
    <mergeCell ref="I51:P51"/>
    <mergeCell ref="I52:K52"/>
    <mergeCell ref="L52:S52"/>
    <mergeCell ref="U47:AB47"/>
    <mergeCell ref="U48:W48"/>
    <mergeCell ref="X48:AE48"/>
    <mergeCell ref="U49:W49"/>
    <mergeCell ref="X49:AE49"/>
    <mergeCell ref="K29:P29"/>
    <mergeCell ref="R29:S29"/>
    <mergeCell ref="T29:Z29"/>
    <mergeCell ref="I30:J30"/>
    <mergeCell ref="I26:Z26"/>
    <mergeCell ref="X34:AC34"/>
    <mergeCell ref="I39:K39"/>
    <mergeCell ref="I40:K40"/>
    <mergeCell ref="L40:S40"/>
    <mergeCell ref="I34:L34"/>
    <mergeCell ref="M34:R34"/>
    <mergeCell ref="I35:L35"/>
    <mergeCell ref="M35:R35"/>
    <mergeCell ref="I36:L36"/>
    <mergeCell ref="M36:R36"/>
    <mergeCell ref="N15:W15"/>
    <mergeCell ref="L15:M15"/>
    <mergeCell ref="AD14:AM14"/>
    <mergeCell ref="N14:W14"/>
    <mergeCell ref="AG15:AI15"/>
    <mergeCell ref="X15:AE15"/>
    <mergeCell ref="I32:P32"/>
    <mergeCell ref="I33:L33"/>
    <mergeCell ref="M33:R33"/>
    <mergeCell ref="AI18:AM18"/>
    <mergeCell ref="AA18:AE18"/>
    <mergeCell ref="AF18:AH18"/>
    <mergeCell ref="H18:Z18"/>
    <mergeCell ref="H17:V17"/>
    <mergeCell ref="X17:AK17"/>
    <mergeCell ref="K30:Q30"/>
    <mergeCell ref="I27:J27"/>
    <mergeCell ref="K27:P27"/>
    <mergeCell ref="T27:Z27"/>
    <mergeCell ref="I28:J28"/>
    <mergeCell ref="K28:P28"/>
    <mergeCell ref="T28:Z28"/>
    <mergeCell ref="I29:J29"/>
    <mergeCell ref="R27:S28"/>
    <mergeCell ref="I55:S55"/>
    <mergeCell ref="I56:S56"/>
    <mergeCell ref="T32:AA32"/>
    <mergeCell ref="I38:P38"/>
    <mergeCell ref="L39:S39"/>
    <mergeCell ref="T33:W33"/>
    <mergeCell ref="X33:AC33"/>
    <mergeCell ref="T34:W34"/>
    <mergeCell ref="K44:S44"/>
    <mergeCell ref="I45:J45"/>
    <mergeCell ref="K45:S45"/>
    <mergeCell ref="I43:J43"/>
    <mergeCell ref="I44:J44"/>
    <mergeCell ref="K43:S43"/>
    <mergeCell ref="I48:K48"/>
    <mergeCell ref="L48:S48"/>
    <mergeCell ref="I49:K49"/>
    <mergeCell ref="L49:S49"/>
    <mergeCell ref="I42:P42"/>
    <mergeCell ref="I47:P47"/>
    <mergeCell ref="I53:K53"/>
    <mergeCell ref="L53:S53"/>
    <mergeCell ref="U50:W50"/>
    <mergeCell ref="X50:AE50"/>
    <mergeCell ref="E3:E6"/>
    <mergeCell ref="B3:B24"/>
    <mergeCell ref="C3:C24"/>
    <mergeCell ref="H9:AM9"/>
    <mergeCell ref="H10:AM10"/>
    <mergeCell ref="P11:W11"/>
    <mergeCell ref="X11:AE11"/>
    <mergeCell ref="AF11:AM11"/>
    <mergeCell ref="AF7:AM7"/>
    <mergeCell ref="H8:O8"/>
    <mergeCell ref="P8:W8"/>
    <mergeCell ref="X8:AE8"/>
    <mergeCell ref="AF8:AM8"/>
    <mergeCell ref="E19:E24"/>
    <mergeCell ref="H23:O23"/>
    <mergeCell ref="P23:W23"/>
    <mergeCell ref="L11:N11"/>
    <mergeCell ref="H20:O20"/>
    <mergeCell ref="P20:W20"/>
    <mergeCell ref="X20:AE20"/>
    <mergeCell ref="H19:O19"/>
    <mergeCell ref="P19:W19"/>
    <mergeCell ref="H15:K15"/>
    <mergeCell ref="AK15:AL15"/>
    <mergeCell ref="H3:AM6"/>
    <mergeCell ref="H7:W7"/>
    <mergeCell ref="X7:AE7"/>
    <mergeCell ref="X23:AE23"/>
    <mergeCell ref="H24:O24"/>
    <mergeCell ref="P24:W24"/>
    <mergeCell ref="X24:AE24"/>
    <mergeCell ref="H21:AM22"/>
    <mergeCell ref="AF23:AM23"/>
    <mergeCell ref="AF24:AM24"/>
    <mergeCell ref="AF19:AM19"/>
    <mergeCell ref="AF20:AM20"/>
    <mergeCell ref="X19:AE19"/>
    <mergeCell ref="AL12:AM12"/>
    <mergeCell ref="AF12:AK12"/>
    <mergeCell ref="X12:AE12"/>
    <mergeCell ref="H12:N12"/>
    <mergeCell ref="P12:V12"/>
    <mergeCell ref="H13:V13"/>
    <mergeCell ref="AD16:AM16"/>
    <mergeCell ref="S16:W16"/>
    <mergeCell ref="X16:AC16"/>
    <mergeCell ref="H16:R16"/>
    <mergeCell ref="AD13:AM13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296B-B615-4F34-A34B-48D990475E4E}">
  <dimension ref="A1:AM42"/>
  <sheetViews>
    <sheetView workbookViewId="0">
      <selection activeCell="I28" sqref="I28"/>
    </sheetView>
  </sheetViews>
  <sheetFormatPr defaultRowHeight="14.2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5" thickBot="1"/>
    <row r="2" spans="1:39" ht="1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0" t="s">
        <v>452</v>
      </c>
      <c r="C3" s="164" t="s">
        <v>453</v>
      </c>
      <c r="D3" s="45" t="str">
        <f>DEC2HEX(A3*4, 3)</f>
        <v>000</v>
      </c>
      <c r="E3" s="167" t="s">
        <v>0</v>
      </c>
      <c r="F3" s="45" t="s">
        <v>6</v>
      </c>
      <c r="G3" s="69"/>
      <c r="H3" s="210" t="s">
        <v>454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</row>
    <row r="4" spans="1:39">
      <c r="A4" s="12">
        <v>1</v>
      </c>
      <c r="B4" s="151"/>
      <c r="C4" s="165"/>
      <c r="D4" s="2" t="str">
        <f>DEC2HEX(A4*4, 3)</f>
        <v>004</v>
      </c>
      <c r="E4" s="168"/>
      <c r="F4" s="2" t="s">
        <v>6</v>
      </c>
      <c r="G4" s="13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</row>
    <row r="5" spans="1:39">
      <c r="A5" s="12">
        <v>2</v>
      </c>
      <c r="B5" s="151"/>
      <c r="C5" s="165"/>
      <c r="D5" s="2" t="str">
        <f t="shared" ref="D5:D20" si="1">DEC2HEX(A5*4, 3)</f>
        <v>008</v>
      </c>
      <c r="E5" s="168"/>
      <c r="F5" s="2" t="s">
        <v>6</v>
      </c>
      <c r="G5" s="13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</row>
    <row r="6" spans="1:39">
      <c r="A6" s="12">
        <v>3</v>
      </c>
      <c r="B6" s="151"/>
      <c r="C6" s="165"/>
      <c r="D6" s="2" t="str">
        <f t="shared" si="1"/>
        <v>00C</v>
      </c>
      <c r="E6" s="168"/>
      <c r="F6" s="2" t="s">
        <v>6</v>
      </c>
      <c r="G6" s="13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</row>
    <row r="7" spans="1:39">
      <c r="A7" s="12">
        <v>4</v>
      </c>
      <c r="B7" s="151"/>
      <c r="C7" s="165"/>
      <c r="D7" s="2" t="str">
        <f t="shared" si="1"/>
        <v>010</v>
      </c>
      <c r="E7" s="14" t="s">
        <v>106</v>
      </c>
      <c r="F7" s="2" t="s">
        <v>6</v>
      </c>
      <c r="G7" s="13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53" t="s">
        <v>54</v>
      </c>
      <c r="Y7" s="153"/>
      <c r="Z7" s="153"/>
      <c r="AA7" s="153"/>
      <c r="AB7" s="153"/>
      <c r="AC7" s="153"/>
      <c r="AD7" s="153"/>
      <c r="AE7" s="153"/>
      <c r="AF7" s="153" t="s">
        <v>55</v>
      </c>
      <c r="AG7" s="153"/>
      <c r="AH7" s="153"/>
      <c r="AI7" s="153"/>
      <c r="AJ7" s="153"/>
      <c r="AK7" s="153"/>
      <c r="AL7" s="153"/>
      <c r="AM7" s="153"/>
    </row>
    <row r="8" spans="1:39">
      <c r="A8" s="12">
        <v>5</v>
      </c>
      <c r="B8" s="151"/>
      <c r="C8" s="165"/>
      <c r="D8" s="2" t="str">
        <f t="shared" si="1"/>
        <v>014</v>
      </c>
      <c r="E8" s="14" t="s">
        <v>107</v>
      </c>
      <c r="F8" s="2" t="s">
        <v>6</v>
      </c>
      <c r="G8" s="13"/>
      <c r="H8" s="170"/>
      <c r="I8" s="170"/>
      <c r="J8" s="170"/>
      <c r="K8" s="170"/>
      <c r="L8" s="170"/>
      <c r="M8" s="170"/>
      <c r="N8" s="170"/>
      <c r="O8" s="170"/>
      <c r="P8" s="153" t="s">
        <v>56</v>
      </c>
      <c r="Q8" s="153"/>
      <c r="R8" s="153"/>
      <c r="S8" s="153"/>
      <c r="T8" s="153"/>
      <c r="U8" s="153"/>
      <c r="V8" s="153"/>
      <c r="W8" s="153"/>
      <c r="X8" s="153" t="s">
        <v>76</v>
      </c>
      <c r="Y8" s="153"/>
      <c r="Z8" s="153"/>
      <c r="AA8" s="153"/>
      <c r="AB8" s="153"/>
      <c r="AC8" s="153"/>
      <c r="AD8" s="153"/>
      <c r="AE8" s="153"/>
      <c r="AF8" s="153" t="s">
        <v>57</v>
      </c>
      <c r="AG8" s="153"/>
      <c r="AH8" s="153"/>
      <c r="AI8" s="153"/>
      <c r="AJ8" s="153"/>
      <c r="AK8" s="153"/>
      <c r="AL8" s="153"/>
      <c r="AM8" s="153"/>
    </row>
    <row r="9" spans="1:39" ht="16.5">
      <c r="A9" s="12">
        <v>6</v>
      </c>
      <c r="B9" s="151"/>
      <c r="C9" s="165"/>
      <c r="D9" s="2" t="str">
        <f t="shared" si="1"/>
        <v>018</v>
      </c>
      <c r="E9" s="51" t="s">
        <v>105</v>
      </c>
      <c r="F9" s="2" t="s">
        <v>4</v>
      </c>
      <c r="G9" s="13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</row>
    <row r="10" spans="1:39" ht="16.5">
      <c r="A10" s="12">
        <v>7</v>
      </c>
      <c r="B10" s="151"/>
      <c r="C10" s="165"/>
      <c r="D10" s="2" t="str">
        <f t="shared" si="1"/>
        <v>01C</v>
      </c>
      <c r="E10" s="51" t="s">
        <v>105</v>
      </c>
      <c r="F10" s="53" t="s">
        <v>4</v>
      </c>
      <c r="G10" s="13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</row>
    <row r="11" spans="1:39" ht="16.5">
      <c r="A11" s="12">
        <v>8</v>
      </c>
      <c r="B11" s="151"/>
      <c r="C11" s="165"/>
      <c r="D11" s="2" t="str">
        <f t="shared" si="1"/>
        <v>020</v>
      </c>
      <c r="E11" s="133" t="s">
        <v>226</v>
      </c>
      <c r="F11" s="53" t="s">
        <v>4</v>
      </c>
      <c r="H11" s="416" t="s">
        <v>455</v>
      </c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307"/>
    </row>
    <row r="12" spans="1:39" ht="16.5">
      <c r="A12" s="12">
        <v>9</v>
      </c>
      <c r="B12" s="151"/>
      <c r="C12" s="165"/>
      <c r="D12" s="2" t="str">
        <f t="shared" si="1"/>
        <v>024</v>
      </c>
      <c r="E12" s="133" t="s">
        <v>456</v>
      </c>
      <c r="F12" s="134" t="s">
        <v>351</v>
      </c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66" t="s">
        <v>66</v>
      </c>
      <c r="Y12" s="66" t="s">
        <v>67</v>
      </c>
      <c r="Z12" s="298"/>
      <c r="AA12" s="182"/>
      <c r="AB12" s="182"/>
      <c r="AC12" s="182"/>
      <c r="AD12" s="190"/>
      <c r="AE12" s="66" t="s">
        <v>457</v>
      </c>
      <c r="AF12" s="375" t="s">
        <v>458</v>
      </c>
      <c r="AG12" s="153"/>
      <c r="AH12" s="153"/>
      <c r="AI12" s="153"/>
      <c r="AJ12" s="153"/>
      <c r="AK12" s="153"/>
      <c r="AL12" s="153"/>
      <c r="AM12" s="153"/>
    </row>
    <row r="13" spans="1:39" ht="16.5">
      <c r="A13" s="12">
        <v>10</v>
      </c>
      <c r="B13" s="151"/>
      <c r="C13" s="165"/>
      <c r="D13" s="2" t="str">
        <f t="shared" si="1"/>
        <v>028</v>
      </c>
      <c r="E13" s="51"/>
      <c r="F13" s="53" t="s">
        <v>4</v>
      </c>
      <c r="H13" s="298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90"/>
    </row>
    <row r="14" spans="1:39" ht="16.5">
      <c r="A14" s="12">
        <v>11</v>
      </c>
      <c r="B14" s="151"/>
      <c r="C14" s="165"/>
      <c r="D14" s="2" t="str">
        <f t="shared" si="1"/>
        <v>02C</v>
      </c>
      <c r="E14" s="51"/>
      <c r="F14" s="53" t="s">
        <v>4</v>
      </c>
      <c r="H14" s="298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90"/>
    </row>
    <row r="15" spans="1:39" ht="16.5">
      <c r="A15" s="12">
        <v>12</v>
      </c>
      <c r="B15" s="151"/>
      <c r="C15" s="165"/>
      <c r="D15" s="2" t="str">
        <f t="shared" si="1"/>
        <v>030</v>
      </c>
      <c r="E15" s="51" t="s">
        <v>90</v>
      </c>
      <c r="F15" s="53" t="s">
        <v>6</v>
      </c>
      <c r="H15" s="298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90"/>
      <c r="AF15" s="55" t="s">
        <v>43</v>
      </c>
      <c r="AG15" s="298"/>
      <c r="AH15" s="182"/>
      <c r="AI15" s="190"/>
      <c r="AJ15" s="55" t="s">
        <v>83</v>
      </c>
      <c r="AK15" s="298"/>
      <c r="AL15" s="190"/>
      <c r="AM15" s="55" t="s">
        <v>60</v>
      </c>
    </row>
    <row r="16" spans="1:39" ht="16.5">
      <c r="A16" s="12">
        <v>13</v>
      </c>
      <c r="B16" s="151"/>
      <c r="C16" s="165"/>
      <c r="D16" s="2" t="str">
        <f t="shared" si="1"/>
        <v>034</v>
      </c>
      <c r="E16" s="51"/>
      <c r="F16" s="53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</row>
    <row r="17" spans="1:39" ht="16.5">
      <c r="A17" s="12">
        <v>14</v>
      </c>
      <c r="B17" s="151"/>
      <c r="C17" s="165"/>
      <c r="D17" s="2" t="str">
        <f t="shared" si="1"/>
        <v>038</v>
      </c>
      <c r="E17" s="51"/>
      <c r="F17" s="53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</row>
    <row r="18" spans="1:39" ht="16.5">
      <c r="A18" s="12">
        <v>15</v>
      </c>
      <c r="B18" s="151"/>
      <c r="C18" s="165"/>
      <c r="D18" s="2" t="str">
        <f t="shared" si="1"/>
        <v>03C</v>
      </c>
      <c r="E18" s="51"/>
      <c r="F18" s="53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</row>
    <row r="19" spans="1:39" ht="16.5" customHeight="1">
      <c r="A19" s="12">
        <v>16</v>
      </c>
      <c r="B19" s="151"/>
      <c r="C19" s="165"/>
      <c r="D19" s="2" t="str">
        <f t="shared" si="1"/>
        <v>040</v>
      </c>
      <c r="E19" s="218" t="s">
        <v>154</v>
      </c>
      <c r="F19" s="2" t="s">
        <v>4</v>
      </c>
      <c r="H19" s="153" t="s">
        <v>82</v>
      </c>
      <c r="I19" s="153"/>
      <c r="J19" s="153"/>
      <c r="K19" s="153"/>
      <c r="L19" s="153"/>
      <c r="M19" s="153"/>
      <c r="N19" s="153"/>
      <c r="O19" s="153"/>
      <c r="P19" s="153" t="s">
        <v>81</v>
      </c>
      <c r="Q19" s="153"/>
      <c r="R19" s="153"/>
      <c r="S19" s="153"/>
      <c r="T19" s="153"/>
      <c r="U19" s="153"/>
      <c r="V19" s="153"/>
      <c r="W19" s="153"/>
      <c r="X19" s="153" t="s">
        <v>80</v>
      </c>
      <c r="Y19" s="153"/>
      <c r="Z19" s="153"/>
      <c r="AA19" s="153"/>
      <c r="AB19" s="153"/>
      <c r="AC19" s="153"/>
      <c r="AD19" s="153"/>
      <c r="AE19" s="153"/>
      <c r="AF19" s="153" t="s">
        <v>79</v>
      </c>
      <c r="AG19" s="153"/>
      <c r="AH19" s="153"/>
      <c r="AI19" s="153"/>
      <c r="AJ19" s="153"/>
      <c r="AK19" s="153"/>
      <c r="AL19" s="153"/>
      <c r="AM19" s="153"/>
    </row>
    <row r="20" spans="1:39" ht="16.5">
      <c r="A20" s="12">
        <v>17</v>
      </c>
      <c r="B20" s="151"/>
      <c r="C20" s="165"/>
      <c r="D20" s="2" t="str">
        <f t="shared" si="1"/>
        <v>044</v>
      </c>
      <c r="E20" s="218"/>
      <c r="F20" s="2" t="s">
        <v>4</v>
      </c>
      <c r="H20" s="153" t="s">
        <v>153</v>
      </c>
      <c r="I20" s="153"/>
      <c r="J20" s="153"/>
      <c r="K20" s="153"/>
      <c r="L20" s="153"/>
      <c r="M20" s="153"/>
      <c r="N20" s="153"/>
      <c r="O20" s="153"/>
      <c r="P20" s="153" t="s">
        <v>152</v>
      </c>
      <c r="Q20" s="153"/>
      <c r="R20" s="153"/>
      <c r="S20" s="153"/>
      <c r="T20" s="153"/>
      <c r="U20" s="153"/>
      <c r="V20" s="153"/>
      <c r="W20" s="153"/>
      <c r="X20" s="153" t="s">
        <v>151</v>
      </c>
      <c r="Y20" s="153"/>
      <c r="Z20" s="153"/>
      <c r="AA20" s="153"/>
      <c r="AB20" s="153"/>
      <c r="AC20" s="153"/>
      <c r="AD20" s="153"/>
      <c r="AE20" s="153"/>
      <c r="AF20" s="153" t="s">
        <v>150</v>
      </c>
      <c r="AG20" s="153"/>
      <c r="AH20" s="153"/>
      <c r="AI20" s="153"/>
      <c r="AJ20" s="153"/>
      <c r="AK20" s="153"/>
      <c r="AL20" s="153"/>
      <c r="AM20" s="153"/>
    </row>
    <row r="21" spans="1:39">
      <c r="A21" s="12"/>
      <c r="B21" s="151"/>
      <c r="C21" s="165"/>
      <c r="D21" s="21"/>
      <c r="E21" s="218"/>
      <c r="F21" s="21"/>
      <c r="H21" s="374"/>
      <c r="I21" s="374"/>
      <c r="J21" s="374"/>
      <c r="K21" s="374"/>
      <c r="L21" s="374"/>
      <c r="M21" s="374"/>
      <c r="N21" s="374"/>
      <c r="O21" s="374"/>
      <c r="P21" s="374"/>
      <c r="Q21" s="374"/>
      <c r="R21" s="374"/>
      <c r="S21" s="374"/>
      <c r="T21" s="374"/>
      <c r="U21" s="374"/>
      <c r="V21" s="374"/>
      <c r="W21" s="374"/>
      <c r="X21" s="374"/>
      <c r="Y21" s="374"/>
      <c r="Z21" s="374"/>
      <c r="AA21" s="374"/>
      <c r="AB21" s="374"/>
      <c r="AC21" s="374"/>
      <c r="AD21" s="374"/>
      <c r="AE21" s="374"/>
      <c r="AF21" s="374"/>
      <c r="AG21" s="374"/>
      <c r="AH21" s="374"/>
      <c r="AI21" s="374"/>
      <c r="AJ21" s="374"/>
      <c r="AK21" s="374"/>
      <c r="AL21" s="374"/>
      <c r="AM21" s="374"/>
    </row>
    <row r="22" spans="1:39">
      <c r="A22" s="12"/>
      <c r="B22" s="151"/>
      <c r="C22" s="165"/>
      <c r="D22" s="21"/>
      <c r="E22" s="218"/>
      <c r="F22" s="21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4"/>
      <c r="X22" s="374"/>
      <c r="Y22" s="374"/>
      <c r="Z22" s="374"/>
      <c r="AA22" s="374"/>
      <c r="AB22" s="374"/>
      <c r="AC22" s="374"/>
      <c r="AD22" s="374"/>
      <c r="AE22" s="374"/>
      <c r="AF22" s="374"/>
      <c r="AG22" s="374"/>
      <c r="AH22" s="374"/>
      <c r="AI22" s="374"/>
      <c r="AJ22" s="374"/>
      <c r="AK22" s="374"/>
      <c r="AL22" s="374"/>
      <c r="AM22" s="374"/>
    </row>
    <row r="23" spans="1:39" ht="16.5">
      <c r="A23" s="12">
        <v>270</v>
      </c>
      <c r="B23" s="151"/>
      <c r="C23" s="165"/>
      <c r="D23" s="2" t="str">
        <f>DEC2HEX(A23*4, 3)</f>
        <v>438</v>
      </c>
      <c r="E23" s="218"/>
      <c r="F23" s="2" t="s">
        <v>4</v>
      </c>
      <c r="H23" s="153" t="s">
        <v>159</v>
      </c>
      <c r="I23" s="153"/>
      <c r="J23" s="153"/>
      <c r="K23" s="153"/>
      <c r="L23" s="153"/>
      <c r="M23" s="153"/>
      <c r="N23" s="153"/>
      <c r="O23" s="153"/>
      <c r="P23" s="153" t="s">
        <v>160</v>
      </c>
      <c r="Q23" s="153"/>
      <c r="R23" s="153"/>
      <c r="S23" s="153"/>
      <c r="T23" s="153"/>
      <c r="U23" s="153"/>
      <c r="V23" s="153"/>
      <c r="W23" s="153"/>
      <c r="X23" s="153" t="s">
        <v>161</v>
      </c>
      <c r="Y23" s="153"/>
      <c r="Z23" s="153"/>
      <c r="AA23" s="153"/>
      <c r="AB23" s="153"/>
      <c r="AC23" s="153"/>
      <c r="AD23" s="153"/>
      <c r="AE23" s="153"/>
      <c r="AF23" s="153" t="s">
        <v>162</v>
      </c>
      <c r="AG23" s="153"/>
      <c r="AH23" s="153"/>
      <c r="AI23" s="153"/>
      <c r="AJ23" s="153"/>
      <c r="AK23" s="153"/>
      <c r="AL23" s="153"/>
      <c r="AM23" s="153"/>
    </row>
    <row r="24" spans="1:39" ht="17.25" thickBot="1">
      <c r="A24" s="12">
        <v>271</v>
      </c>
      <c r="B24" s="152"/>
      <c r="C24" s="166"/>
      <c r="D24" s="3" t="str">
        <f>DEC2HEX(A24*4, 3)</f>
        <v>43C</v>
      </c>
      <c r="E24" s="376"/>
      <c r="F24" s="3" t="s">
        <v>4</v>
      </c>
      <c r="H24" s="153" t="s">
        <v>155</v>
      </c>
      <c r="I24" s="153"/>
      <c r="J24" s="153"/>
      <c r="K24" s="153"/>
      <c r="L24" s="153"/>
      <c r="M24" s="153"/>
      <c r="N24" s="153"/>
      <c r="O24" s="153"/>
      <c r="P24" s="153" t="s">
        <v>156</v>
      </c>
      <c r="Q24" s="153"/>
      <c r="R24" s="153"/>
      <c r="S24" s="153"/>
      <c r="T24" s="153"/>
      <c r="U24" s="153"/>
      <c r="V24" s="153"/>
      <c r="W24" s="153"/>
      <c r="X24" s="153" t="s">
        <v>157</v>
      </c>
      <c r="Y24" s="153"/>
      <c r="Z24" s="153"/>
      <c r="AA24" s="153"/>
      <c r="AB24" s="153"/>
      <c r="AC24" s="153"/>
      <c r="AD24" s="153"/>
      <c r="AE24" s="153"/>
      <c r="AF24" s="153" t="s">
        <v>158</v>
      </c>
      <c r="AG24" s="153"/>
      <c r="AH24" s="153"/>
      <c r="AI24" s="153"/>
      <c r="AJ24" s="153"/>
      <c r="AK24" s="153"/>
      <c r="AL24" s="153"/>
      <c r="AM24" s="153"/>
    </row>
    <row r="25" spans="1:39" ht="15" thickBot="1"/>
    <row r="26" spans="1:39" ht="17.25" thickBot="1">
      <c r="I26" s="213" t="s">
        <v>459</v>
      </c>
      <c r="J26" s="214"/>
      <c r="K26" s="214"/>
      <c r="L26" s="214"/>
      <c r="M26" s="214"/>
      <c r="N26" s="214"/>
      <c r="O26" s="214"/>
      <c r="P26" s="215"/>
    </row>
    <row r="27" spans="1:39" ht="17.25" thickBot="1">
      <c r="I27" s="342" t="s">
        <v>489</v>
      </c>
      <c r="J27" s="309"/>
      <c r="K27" s="343" t="s">
        <v>460</v>
      </c>
      <c r="L27" s="310"/>
      <c r="M27" s="310"/>
      <c r="N27" s="310"/>
      <c r="O27" s="310"/>
      <c r="P27" s="311"/>
    </row>
    <row r="28" spans="1:39" ht="15" thickBot="1"/>
    <row r="29" spans="1:39" ht="17.25" thickBot="1">
      <c r="I29" s="278" t="s">
        <v>461</v>
      </c>
      <c r="J29" s="220"/>
      <c r="K29" s="220"/>
      <c r="L29" s="220"/>
      <c r="M29" s="220"/>
      <c r="N29" s="220"/>
      <c r="O29" s="220"/>
      <c r="P29" s="221"/>
    </row>
    <row r="30" spans="1:39" ht="16.5">
      <c r="I30" s="245" t="s">
        <v>462</v>
      </c>
      <c r="J30" s="246"/>
      <c r="K30" s="247" t="s">
        <v>463</v>
      </c>
      <c r="L30" s="248"/>
      <c r="M30" s="248"/>
      <c r="N30" s="248"/>
      <c r="O30" s="248"/>
      <c r="P30" s="249"/>
    </row>
    <row r="31" spans="1:39" ht="16.5">
      <c r="I31" s="317" t="s">
        <v>464</v>
      </c>
      <c r="J31" s="251"/>
      <c r="K31" s="252" t="s">
        <v>465</v>
      </c>
      <c r="L31" s="253"/>
      <c r="M31" s="253"/>
      <c r="N31" s="253"/>
      <c r="O31" s="253"/>
      <c r="P31" s="254"/>
    </row>
    <row r="32" spans="1:39" ht="16.5">
      <c r="I32" s="317" t="s">
        <v>466</v>
      </c>
      <c r="J32" s="251"/>
      <c r="K32" s="252" t="s">
        <v>467</v>
      </c>
      <c r="L32" s="253"/>
      <c r="M32" s="253"/>
      <c r="N32" s="253"/>
      <c r="O32" s="253"/>
      <c r="P32" s="254"/>
    </row>
    <row r="33" spans="1:19" ht="16.5">
      <c r="I33" s="317" t="s">
        <v>468</v>
      </c>
      <c r="J33" s="349"/>
      <c r="K33" s="252" t="s">
        <v>469</v>
      </c>
      <c r="L33" s="252"/>
      <c r="M33" s="252"/>
      <c r="N33" s="252"/>
      <c r="O33" s="252"/>
      <c r="P33" s="417"/>
    </row>
    <row r="34" spans="1:19" ht="17.25" thickBot="1">
      <c r="I34" s="260"/>
      <c r="J34" s="261"/>
      <c r="K34" s="305" t="s">
        <v>269</v>
      </c>
      <c r="L34" s="305"/>
      <c r="M34" s="305"/>
      <c r="N34" s="305"/>
      <c r="O34" s="305"/>
      <c r="P34" s="352"/>
      <c r="R34" s="99"/>
    </row>
    <row r="35" spans="1:19" ht="15" thickBot="1"/>
    <row r="36" spans="1:19" ht="17.25" thickBot="1">
      <c r="A36" s="65"/>
      <c r="I36" s="255" t="s">
        <v>470</v>
      </c>
      <c r="J36" s="256"/>
      <c r="K36" s="256"/>
      <c r="L36" s="256"/>
      <c r="M36" s="256"/>
      <c r="N36" s="256"/>
      <c r="O36" s="256"/>
      <c r="P36" s="256"/>
      <c r="Q36" s="256"/>
      <c r="R36" s="256"/>
      <c r="S36" s="257"/>
    </row>
    <row r="37" spans="1:19" ht="16.5">
      <c r="I37" s="418" t="s">
        <v>165</v>
      </c>
      <c r="J37" s="419"/>
      <c r="K37" s="366" t="s">
        <v>277</v>
      </c>
      <c r="L37" s="367"/>
      <c r="M37" s="367"/>
      <c r="N37" s="367"/>
      <c r="O37" s="367"/>
      <c r="P37" s="367"/>
      <c r="Q37" s="367"/>
      <c r="R37" s="367"/>
      <c r="S37" s="368"/>
    </row>
    <row r="38" spans="1:19" ht="16.5">
      <c r="A38" s="65"/>
      <c r="I38" s="420" t="s">
        <v>274</v>
      </c>
      <c r="J38" s="421"/>
      <c r="K38" s="253" t="s">
        <v>471</v>
      </c>
      <c r="L38" s="253"/>
      <c r="M38" s="253"/>
      <c r="N38" s="253"/>
      <c r="O38" s="253"/>
      <c r="P38" s="253"/>
      <c r="Q38" s="253"/>
      <c r="R38" s="253"/>
      <c r="S38" s="254"/>
    </row>
    <row r="39" spans="1:19" ht="17.25" thickBot="1">
      <c r="I39" s="271" t="s">
        <v>65</v>
      </c>
      <c r="J39" s="272"/>
      <c r="K39" s="273" t="s">
        <v>238</v>
      </c>
      <c r="L39" s="273"/>
      <c r="M39" s="273"/>
      <c r="N39" s="273"/>
      <c r="O39" s="273"/>
      <c r="P39" s="273"/>
      <c r="Q39" s="273"/>
      <c r="R39" s="273"/>
      <c r="S39" s="274"/>
    </row>
    <row r="40" spans="1:19" ht="15" thickBot="1"/>
    <row r="41" spans="1:19" ht="17.25" thickBot="1">
      <c r="I41" s="255" t="s">
        <v>472</v>
      </c>
      <c r="J41" s="256"/>
      <c r="K41" s="256"/>
      <c r="L41" s="256"/>
      <c r="M41" s="256"/>
      <c r="N41" s="256"/>
      <c r="O41" s="256"/>
      <c r="P41" s="256"/>
      <c r="Q41" s="256"/>
      <c r="R41" s="256"/>
      <c r="S41" s="257"/>
    </row>
    <row r="42" spans="1:19" ht="17.25" thickBot="1">
      <c r="I42" s="377" t="s">
        <v>273</v>
      </c>
      <c r="J42" s="378"/>
      <c r="K42" s="378"/>
      <c r="L42" s="378"/>
      <c r="M42" s="378"/>
      <c r="N42" s="378"/>
      <c r="O42" s="378"/>
      <c r="P42" s="378"/>
      <c r="Q42" s="378"/>
      <c r="R42" s="378"/>
      <c r="S42" s="379"/>
    </row>
  </sheetData>
  <mergeCells count="65">
    <mergeCell ref="I42:S42"/>
    <mergeCell ref="I33:J34"/>
    <mergeCell ref="K33:P33"/>
    <mergeCell ref="K34:P34"/>
    <mergeCell ref="I36:S36"/>
    <mergeCell ref="I37:J37"/>
    <mergeCell ref="K37:S37"/>
    <mergeCell ref="I38:J38"/>
    <mergeCell ref="K38:S38"/>
    <mergeCell ref="I39:J39"/>
    <mergeCell ref="K39:S39"/>
    <mergeCell ref="I41:S41"/>
    <mergeCell ref="I32:J32"/>
    <mergeCell ref="K32:P32"/>
    <mergeCell ref="H24:O24"/>
    <mergeCell ref="P24:W24"/>
    <mergeCell ref="X24:AE24"/>
    <mergeCell ref="I29:P29"/>
    <mergeCell ref="I30:J30"/>
    <mergeCell ref="K30:P30"/>
    <mergeCell ref="I31:J31"/>
    <mergeCell ref="K31:P31"/>
    <mergeCell ref="I26:P26"/>
    <mergeCell ref="I27:J27"/>
    <mergeCell ref="K27:P27"/>
    <mergeCell ref="AF20:AM20"/>
    <mergeCell ref="H21:AM22"/>
    <mergeCell ref="H23:O23"/>
    <mergeCell ref="P23:W23"/>
    <mergeCell ref="X23:AE23"/>
    <mergeCell ref="AF23:AM23"/>
    <mergeCell ref="H17:AM17"/>
    <mergeCell ref="H18:AM18"/>
    <mergeCell ref="E19:E24"/>
    <mergeCell ref="H19:O19"/>
    <mergeCell ref="P19:W19"/>
    <mergeCell ref="X19:AE19"/>
    <mergeCell ref="AF19:AM19"/>
    <mergeCell ref="H20:O20"/>
    <mergeCell ref="P20:W20"/>
    <mergeCell ref="X20:AE20"/>
    <mergeCell ref="AF24:AM24"/>
    <mergeCell ref="Z12:AD12"/>
    <mergeCell ref="AF12:AM12"/>
    <mergeCell ref="H13:AM13"/>
    <mergeCell ref="H14:AM14"/>
    <mergeCell ref="H15:AE15"/>
    <mergeCell ref="AG15:AI15"/>
    <mergeCell ref="AK15:AL15"/>
    <mergeCell ref="B3:B24"/>
    <mergeCell ref="C3:C24"/>
    <mergeCell ref="E3:E6"/>
    <mergeCell ref="H3:AM6"/>
    <mergeCell ref="H7:W7"/>
    <mergeCell ref="X7:AE7"/>
    <mergeCell ref="AF7:AM7"/>
    <mergeCell ref="H8:O8"/>
    <mergeCell ref="P8:W8"/>
    <mergeCell ref="X8:AE8"/>
    <mergeCell ref="H16:AM16"/>
    <mergeCell ref="AF8:AM8"/>
    <mergeCell ref="H9:AM9"/>
    <mergeCell ref="H10:AM10"/>
    <mergeCell ref="H11:AM11"/>
    <mergeCell ref="H12:W12"/>
  </mergeCells>
  <phoneticPr fontId="24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4B8C-11E3-4677-8853-DA0E4807041A}">
  <sheetPr>
    <tabColor rgb="FFFF0000"/>
  </sheetPr>
  <dimension ref="A1:AM29"/>
  <sheetViews>
    <sheetView zoomScale="85" zoomScaleNormal="85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T58" sqref="T58"/>
    </sheetView>
  </sheetViews>
  <sheetFormatPr defaultRowHeight="14.2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5" thickBot="1">
      <c r="B1" s="12"/>
      <c r="F1" s="12"/>
      <c r="H1" s="229">
        <v>3</v>
      </c>
      <c r="I1" s="229"/>
      <c r="J1" s="229"/>
      <c r="K1" s="229"/>
      <c r="L1" s="229"/>
      <c r="M1" s="229"/>
      <c r="N1" s="229"/>
      <c r="O1" s="229"/>
      <c r="P1" s="229">
        <v>2</v>
      </c>
      <c r="Q1" s="229"/>
      <c r="R1" s="229"/>
      <c r="S1" s="229"/>
      <c r="T1" s="229"/>
      <c r="U1" s="229"/>
      <c r="V1" s="229"/>
      <c r="W1" s="229"/>
      <c r="X1" s="229">
        <v>1</v>
      </c>
      <c r="Y1" s="229"/>
      <c r="Z1" s="229"/>
      <c r="AA1" s="229"/>
      <c r="AB1" s="229"/>
      <c r="AC1" s="229"/>
      <c r="AD1" s="229"/>
      <c r="AE1" s="229"/>
      <c r="AF1" s="229">
        <v>0</v>
      </c>
      <c r="AG1" s="229"/>
      <c r="AH1" s="229"/>
      <c r="AI1" s="229"/>
      <c r="AJ1" s="229"/>
      <c r="AK1" s="229"/>
      <c r="AL1" s="229"/>
      <c r="AM1" s="229"/>
    </row>
    <row r="2" spans="1:39" ht="1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0" t="s">
        <v>323</v>
      </c>
      <c r="C3" s="164" t="s">
        <v>324</v>
      </c>
      <c r="D3" s="45" t="str">
        <f>DEC2HEX(A3*4, 3)</f>
        <v>000</v>
      </c>
      <c r="E3" s="167" t="s">
        <v>0</v>
      </c>
      <c r="F3" s="45" t="s">
        <v>6</v>
      </c>
      <c r="G3" s="10"/>
      <c r="H3" s="206" t="s">
        <v>327</v>
      </c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8"/>
    </row>
    <row r="4" spans="1:39">
      <c r="A4" s="12">
        <v>1</v>
      </c>
      <c r="B4" s="151"/>
      <c r="C4" s="165"/>
      <c r="D4" s="2" t="str">
        <f>DEC2HEX(A4*4, 3)</f>
        <v>004</v>
      </c>
      <c r="E4" s="168"/>
      <c r="F4" s="2" t="s">
        <v>6</v>
      </c>
      <c r="G4" s="1"/>
      <c r="H4" s="209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1"/>
    </row>
    <row r="5" spans="1:39" ht="16.5" customHeight="1">
      <c r="A5" s="12">
        <v>2</v>
      </c>
      <c r="B5" s="151"/>
      <c r="C5" s="165"/>
      <c r="D5" s="2" t="str">
        <f t="shared" ref="D5:D14" si="1">DEC2HEX(A5*4, 3)</f>
        <v>008</v>
      </c>
      <c r="E5" s="168"/>
      <c r="F5" s="2" t="s">
        <v>6</v>
      </c>
      <c r="G5" s="1"/>
      <c r="H5" s="209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1"/>
    </row>
    <row r="6" spans="1:39">
      <c r="A6" s="12">
        <v>3</v>
      </c>
      <c r="B6" s="151"/>
      <c r="C6" s="165"/>
      <c r="D6" s="2" t="str">
        <f t="shared" si="1"/>
        <v>00C</v>
      </c>
      <c r="E6" s="168"/>
      <c r="F6" s="2" t="s">
        <v>6</v>
      </c>
      <c r="G6" s="1"/>
      <c r="H6" s="209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1"/>
    </row>
    <row r="7" spans="1:39">
      <c r="A7" s="12">
        <v>4</v>
      </c>
      <c r="B7" s="151"/>
      <c r="C7" s="165"/>
      <c r="D7" s="2" t="str">
        <f t="shared" si="1"/>
        <v>010</v>
      </c>
      <c r="E7" s="14" t="s">
        <v>106</v>
      </c>
      <c r="F7" s="2" t="s">
        <v>6</v>
      </c>
      <c r="G7" s="1"/>
      <c r="H7" s="169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53" t="s">
        <v>54</v>
      </c>
      <c r="Y7" s="153"/>
      <c r="Z7" s="153"/>
      <c r="AA7" s="153"/>
      <c r="AB7" s="153"/>
      <c r="AC7" s="153"/>
      <c r="AD7" s="153"/>
      <c r="AE7" s="153"/>
      <c r="AF7" s="153" t="s">
        <v>55</v>
      </c>
      <c r="AG7" s="153"/>
      <c r="AH7" s="153"/>
      <c r="AI7" s="153"/>
      <c r="AJ7" s="153"/>
      <c r="AK7" s="153"/>
      <c r="AL7" s="153"/>
      <c r="AM7" s="154"/>
    </row>
    <row r="8" spans="1:39">
      <c r="A8" s="12">
        <v>5</v>
      </c>
      <c r="B8" s="151"/>
      <c r="C8" s="165"/>
      <c r="D8" s="2" t="str">
        <f t="shared" si="1"/>
        <v>014</v>
      </c>
      <c r="E8" s="14" t="s">
        <v>107</v>
      </c>
      <c r="F8" s="2" t="s">
        <v>6</v>
      </c>
      <c r="G8" s="1"/>
      <c r="H8" s="169"/>
      <c r="I8" s="170"/>
      <c r="J8" s="170"/>
      <c r="K8" s="170"/>
      <c r="L8" s="170"/>
      <c r="M8" s="170"/>
      <c r="N8" s="170"/>
      <c r="O8" s="170"/>
      <c r="P8" s="153" t="s">
        <v>56</v>
      </c>
      <c r="Q8" s="153"/>
      <c r="R8" s="153"/>
      <c r="S8" s="153"/>
      <c r="T8" s="153"/>
      <c r="U8" s="153"/>
      <c r="V8" s="153"/>
      <c r="W8" s="153"/>
      <c r="X8" s="153" t="s">
        <v>76</v>
      </c>
      <c r="Y8" s="153"/>
      <c r="Z8" s="153"/>
      <c r="AA8" s="153"/>
      <c r="AB8" s="153"/>
      <c r="AC8" s="153"/>
      <c r="AD8" s="153"/>
      <c r="AE8" s="153"/>
      <c r="AF8" s="153" t="s">
        <v>57</v>
      </c>
      <c r="AG8" s="153"/>
      <c r="AH8" s="153"/>
      <c r="AI8" s="153"/>
      <c r="AJ8" s="153"/>
      <c r="AK8" s="153"/>
      <c r="AL8" s="153"/>
      <c r="AM8" s="154"/>
    </row>
    <row r="9" spans="1:39" ht="16.5">
      <c r="A9" s="12">
        <v>6</v>
      </c>
      <c r="B9" s="151"/>
      <c r="C9" s="165"/>
      <c r="D9" s="2" t="str">
        <f t="shared" si="1"/>
        <v>018</v>
      </c>
      <c r="E9" s="51" t="s">
        <v>105</v>
      </c>
      <c r="F9" s="2" t="s">
        <v>4</v>
      </c>
      <c r="G9" s="1"/>
      <c r="H9" s="169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212"/>
    </row>
    <row r="10" spans="1:39" ht="16.5">
      <c r="A10" s="12">
        <v>7</v>
      </c>
      <c r="B10" s="151"/>
      <c r="C10" s="165"/>
      <c r="D10" s="2" t="str">
        <f t="shared" si="1"/>
        <v>01C</v>
      </c>
      <c r="E10" s="51" t="s">
        <v>105</v>
      </c>
      <c r="F10" s="53" t="s">
        <v>4</v>
      </c>
      <c r="G10" s="1"/>
      <c r="H10" s="169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212"/>
    </row>
    <row r="11" spans="1:39" ht="16.5">
      <c r="A11" s="12">
        <v>8</v>
      </c>
      <c r="B11" s="151"/>
      <c r="C11" s="165"/>
      <c r="D11" s="2" t="str">
        <f t="shared" si="1"/>
        <v>020</v>
      </c>
      <c r="E11" s="14" t="s">
        <v>89</v>
      </c>
      <c r="F11" s="2" t="s">
        <v>4</v>
      </c>
      <c r="G11" s="1"/>
      <c r="H11" s="14" t="s">
        <v>18</v>
      </c>
      <c r="I11" s="55" t="s">
        <v>78</v>
      </c>
      <c r="J11" s="298"/>
      <c r="K11" s="182"/>
      <c r="L11" s="182"/>
      <c r="M11" s="182"/>
      <c r="N11" s="190"/>
      <c r="O11" s="55" t="s">
        <v>21</v>
      </c>
      <c r="P11" s="191" t="s">
        <v>329</v>
      </c>
      <c r="Q11" s="192"/>
      <c r="R11" s="192"/>
      <c r="S11" s="422"/>
      <c r="T11" s="191" t="s">
        <v>314</v>
      </c>
      <c r="U11" s="192"/>
      <c r="V11" s="192"/>
      <c r="W11" s="422"/>
      <c r="X11" s="191" t="s">
        <v>328</v>
      </c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3"/>
    </row>
    <row r="12" spans="1:39">
      <c r="A12" s="12">
        <v>9</v>
      </c>
      <c r="B12" s="151"/>
      <c r="C12" s="165"/>
      <c r="D12" s="2" t="str">
        <f t="shared" si="1"/>
        <v>024</v>
      </c>
      <c r="E12" s="14"/>
      <c r="F12" s="2"/>
      <c r="G12" s="1"/>
      <c r="H12" s="181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423"/>
    </row>
    <row r="13" spans="1:39">
      <c r="A13" s="12">
        <v>10</v>
      </c>
      <c r="B13" s="151"/>
      <c r="C13" s="165"/>
      <c r="D13" s="2" t="str">
        <f t="shared" si="1"/>
        <v>028</v>
      </c>
      <c r="E13" s="14"/>
      <c r="F13" s="2"/>
      <c r="G13" s="1"/>
      <c r="H13" s="181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423"/>
    </row>
    <row r="14" spans="1:39">
      <c r="A14" s="12">
        <v>11</v>
      </c>
      <c r="B14" s="151"/>
      <c r="C14" s="165"/>
      <c r="D14" s="2" t="str">
        <f t="shared" si="1"/>
        <v>02C</v>
      </c>
      <c r="E14" s="14"/>
      <c r="F14" s="2"/>
      <c r="G14" s="1"/>
      <c r="H14" s="181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423"/>
    </row>
    <row r="15" spans="1:39" ht="17.25" thickBot="1">
      <c r="A15" s="12">
        <v>12</v>
      </c>
      <c r="B15" s="152"/>
      <c r="C15" s="166"/>
      <c r="D15" s="3" t="str">
        <f>DEC2HEX(A15*4, 3)</f>
        <v>030</v>
      </c>
      <c r="E15" s="42" t="s">
        <v>90</v>
      </c>
      <c r="F15" s="3" t="s">
        <v>6</v>
      </c>
      <c r="G15" s="11"/>
      <c r="H15" s="42" t="s">
        <v>43</v>
      </c>
      <c r="I15" s="85" t="s">
        <v>83</v>
      </c>
      <c r="J15" s="370"/>
      <c r="K15" s="373"/>
      <c r="L15" s="373"/>
      <c r="M15" s="373"/>
      <c r="N15" s="373"/>
      <c r="O15" s="371"/>
      <c r="P15" s="424" t="s">
        <v>329</v>
      </c>
      <c r="Q15" s="226"/>
      <c r="R15" s="226"/>
      <c r="S15" s="425"/>
      <c r="T15" s="424" t="s">
        <v>314</v>
      </c>
      <c r="U15" s="226"/>
      <c r="V15" s="226"/>
      <c r="W15" s="425"/>
      <c r="X15" s="424" t="s">
        <v>328</v>
      </c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7"/>
    </row>
    <row r="16" spans="1:39" ht="15" thickBot="1">
      <c r="A16" s="12"/>
    </row>
    <row r="17" spans="2:26" ht="17.25" thickBot="1">
      <c r="I17" s="213" t="s">
        <v>325</v>
      </c>
      <c r="J17" s="214"/>
      <c r="K17" s="214"/>
      <c r="L17" s="214"/>
      <c r="M17" s="214"/>
      <c r="N17" s="214"/>
      <c r="O17" s="214"/>
      <c r="P17" s="214"/>
      <c r="Q17" s="214"/>
      <c r="R17" s="220"/>
      <c r="S17" s="220"/>
      <c r="T17" s="220"/>
      <c r="U17" s="220"/>
      <c r="V17" s="220"/>
      <c r="W17" s="220"/>
      <c r="X17" s="220"/>
      <c r="Y17" s="220"/>
      <c r="Z17" s="221"/>
    </row>
    <row r="18" spans="2:26" ht="16.5">
      <c r="I18" s="364" t="s">
        <v>260</v>
      </c>
      <c r="J18" s="365"/>
      <c r="K18" s="366" t="s">
        <v>331</v>
      </c>
      <c r="L18" s="367"/>
      <c r="M18" s="367"/>
      <c r="N18" s="367"/>
      <c r="O18" s="367"/>
      <c r="P18" s="368"/>
      <c r="R18" s="258" t="s">
        <v>332</v>
      </c>
      <c r="S18" s="259"/>
      <c r="T18" s="247" t="s">
        <v>333</v>
      </c>
      <c r="U18" s="248"/>
      <c r="V18" s="248"/>
      <c r="W18" s="248"/>
      <c r="X18" s="248"/>
      <c r="Y18" s="248"/>
      <c r="Z18" s="249"/>
    </row>
    <row r="19" spans="2:26" ht="16.5">
      <c r="I19" s="317" t="s">
        <v>261</v>
      </c>
      <c r="J19" s="251"/>
      <c r="K19" s="252" t="s">
        <v>279</v>
      </c>
      <c r="L19" s="253"/>
      <c r="M19" s="253"/>
      <c r="N19" s="253"/>
      <c r="O19" s="253"/>
      <c r="P19" s="254"/>
      <c r="R19" s="317" t="s">
        <v>316</v>
      </c>
      <c r="S19" s="349"/>
      <c r="T19" s="252" t="s">
        <v>334</v>
      </c>
      <c r="U19" s="253"/>
      <c r="V19" s="253"/>
      <c r="W19" s="253"/>
      <c r="X19" s="253"/>
      <c r="Y19" s="253"/>
      <c r="Z19" s="254"/>
    </row>
    <row r="20" spans="2:26" ht="17.25" thickBot="1">
      <c r="I20" s="260" t="s">
        <v>315</v>
      </c>
      <c r="J20" s="239"/>
      <c r="K20" s="305" t="s">
        <v>330</v>
      </c>
      <c r="L20" s="273"/>
      <c r="M20" s="273"/>
      <c r="N20" s="273"/>
      <c r="O20" s="273"/>
      <c r="P20" s="274"/>
      <c r="R20" s="260" t="s">
        <v>336</v>
      </c>
      <c r="S20" s="261"/>
      <c r="T20" s="305" t="s">
        <v>335</v>
      </c>
      <c r="U20" s="273"/>
      <c r="V20" s="273"/>
      <c r="W20" s="273"/>
      <c r="X20" s="273"/>
      <c r="Y20" s="273"/>
      <c r="Z20" s="274"/>
    </row>
    <row r="21" spans="2:26" ht="15" thickBot="1"/>
    <row r="22" spans="2:26" ht="21.75" thickBot="1">
      <c r="B22" s="100"/>
      <c r="I22" s="255" t="s">
        <v>326</v>
      </c>
      <c r="J22" s="256"/>
      <c r="K22" s="256"/>
      <c r="L22" s="256"/>
      <c r="M22" s="256"/>
      <c r="N22" s="256"/>
      <c r="O22" s="256"/>
      <c r="P22" s="256"/>
      <c r="Q22" s="256"/>
      <c r="R22" s="279"/>
      <c r="S22" s="279"/>
      <c r="T22" s="279"/>
      <c r="U22" s="279"/>
      <c r="V22" s="279"/>
      <c r="W22" s="279"/>
      <c r="X22" s="279"/>
      <c r="Y22" s="280"/>
    </row>
    <row r="23" spans="2:26" ht="17.25" thickBot="1">
      <c r="I23" s="342" t="s">
        <v>317</v>
      </c>
      <c r="J23" s="309"/>
      <c r="K23" s="310" t="s">
        <v>276</v>
      </c>
      <c r="L23" s="310"/>
      <c r="M23" s="310"/>
      <c r="N23" s="310"/>
      <c r="O23" s="310"/>
      <c r="P23" s="311"/>
      <c r="R23" s="258" t="s">
        <v>320</v>
      </c>
      <c r="S23" s="246"/>
      <c r="T23" s="247" t="s">
        <v>321</v>
      </c>
      <c r="U23" s="248"/>
      <c r="V23" s="248"/>
      <c r="W23" s="248"/>
      <c r="X23" s="248"/>
      <c r="Y23" s="249"/>
    </row>
    <row r="24" spans="2:26" ht="17.25" thickBot="1">
      <c r="I24" s="342" t="s">
        <v>318</v>
      </c>
      <c r="J24" s="309"/>
      <c r="K24" s="343" t="s">
        <v>319</v>
      </c>
      <c r="L24" s="310"/>
      <c r="M24" s="310"/>
      <c r="N24" s="310"/>
      <c r="O24" s="310"/>
      <c r="P24" s="311"/>
      <c r="R24" s="260" t="s">
        <v>336</v>
      </c>
      <c r="S24" s="261"/>
      <c r="T24" s="305" t="s">
        <v>337</v>
      </c>
      <c r="U24" s="305"/>
      <c r="V24" s="305"/>
      <c r="W24" s="305"/>
      <c r="X24" s="305"/>
      <c r="Y24" s="352"/>
    </row>
    <row r="29" spans="2:26" ht="16.5">
      <c r="Q29" s="89"/>
    </row>
  </sheetData>
  <mergeCells count="50">
    <mergeCell ref="R18:S18"/>
    <mergeCell ref="T18:Z18"/>
    <mergeCell ref="I19:J19"/>
    <mergeCell ref="K19:P19"/>
    <mergeCell ref="R19:S19"/>
    <mergeCell ref="I24:J24"/>
    <mergeCell ref="K24:P24"/>
    <mergeCell ref="R24:S24"/>
    <mergeCell ref="T24:Y24"/>
    <mergeCell ref="I20:J20"/>
    <mergeCell ref="K20:P20"/>
    <mergeCell ref="R20:S20"/>
    <mergeCell ref="T20:Z20"/>
    <mergeCell ref="I22:Y22"/>
    <mergeCell ref="I23:J23"/>
    <mergeCell ref="K23:P23"/>
    <mergeCell ref="R23:S23"/>
    <mergeCell ref="T23:Y23"/>
    <mergeCell ref="X8:AE8"/>
    <mergeCell ref="AF8:AM8"/>
    <mergeCell ref="H9:AM9"/>
    <mergeCell ref="T19:Z19"/>
    <mergeCell ref="H12:AM12"/>
    <mergeCell ref="H13:AM13"/>
    <mergeCell ref="H14:AM14"/>
    <mergeCell ref="J15:O15"/>
    <mergeCell ref="P15:S15"/>
    <mergeCell ref="T15:W15"/>
    <mergeCell ref="X11:AM11"/>
    <mergeCell ref="X15:AM15"/>
    <mergeCell ref="J11:N11"/>
    <mergeCell ref="I17:Z17"/>
    <mergeCell ref="I18:J18"/>
    <mergeCell ref="K18:P18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  <mergeCell ref="H10:AM10"/>
    <mergeCell ref="P11:S11"/>
    <mergeCell ref="T11:W11"/>
    <mergeCell ref="AF7:AM7"/>
    <mergeCell ref="H8:O8"/>
    <mergeCell ref="P8:W8"/>
  </mergeCells>
  <phoneticPr fontId="24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IP List w Rev.His</vt:lpstr>
      <vt:lpstr>Block Diagram</vt:lpstr>
      <vt:lpstr>Addres Map</vt:lpstr>
      <vt:lpstr>PJT-INFO</vt:lpstr>
      <vt:lpstr>BOARD-ID</vt:lpstr>
      <vt:lpstr>CFGx8-C2X</vt:lpstr>
      <vt:lpstr>LBx8-C2P</vt:lpstr>
      <vt:lpstr>LBx8-C2T</vt:lpstr>
      <vt:lpstr>ADC-AD7606</vt:lpstr>
      <vt:lpstr>DAC-AD5381</vt:lpstr>
      <vt:lpstr>PPS</vt:lpstr>
      <vt:lpstr>CFG-PROM</vt:lpstr>
      <vt:lpstr>DPS-ADC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JZXU</dc:creator>
  <cp:lastModifiedBy>Jingzhe Xu</cp:lastModifiedBy>
  <cp:lastPrinted>2018-07-16T07:17:19Z</cp:lastPrinted>
  <dcterms:created xsi:type="dcterms:W3CDTF">2016-07-27T07:39:59Z</dcterms:created>
  <dcterms:modified xsi:type="dcterms:W3CDTF">2023-07-13T02:53:53Z</dcterms:modified>
</cp:coreProperties>
</file>